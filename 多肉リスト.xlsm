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G:\マイドライブ\多肉リスト\"/>
    </mc:Choice>
  </mc:AlternateContent>
  <xr:revisionPtr revIDLastSave="0" documentId="13_ncr:1_{DA53A70D-9E70-48D0-B806-A9AE91C3A847}" xr6:coauthVersionLast="47" xr6:coauthVersionMax="47" xr10:uidLastSave="{00000000-0000-0000-0000-000000000000}"/>
  <bookViews>
    <workbookView xWindow="-110" yWindow="-110" windowWidth="38620" windowHeight="21100" activeTab="5" xr2:uid="{00000000-000D-0000-FFFF-FFFF00000000}"/>
  </bookViews>
  <sheets>
    <sheet name="所持リスト" sheetId="1" r:id="rId1"/>
    <sheet name="別名リスト" sheetId="2" state="hidden" r:id="rId2"/>
    <sheet name="説明用文章" sheetId="4" r:id="rId3"/>
    <sheet name="設定ファイル" sheetId="24" r:id="rId4"/>
    <sheet name="購入者リスト" sheetId="3" r:id="rId5"/>
    <sheet name="フォロワー" sheetId="19" r:id="rId6"/>
    <sheet name="販売実績" sheetId="10" r:id="rId7"/>
    <sheet name="帳簿" sheetId="15" r:id="rId8"/>
    <sheet name="メルカリ多肉屋さん" sheetId="20" r:id="rId9"/>
    <sheet name="26-02-27" sheetId="25" r:id="rId10"/>
    <sheet name="26-01-30" sheetId="23" r:id="rId11"/>
    <sheet name="25-11-28" sheetId="22" r:id="rId12"/>
    <sheet name="25-11-07" sheetId="21" r:id="rId13"/>
  </sheets>
  <externalReferences>
    <externalReference r:id="rId14"/>
  </externalReferences>
  <definedNames>
    <definedName name="_xlnm._FilterDatabase" localSheetId="5" hidden="1">フォロワー!$C$4:$L$240</definedName>
    <definedName name="_xlnm._FilterDatabase" localSheetId="8" hidden="1">メルカリ多肉屋さん!$B$4:$K$303</definedName>
    <definedName name="_xlnm._FilterDatabase" localSheetId="4" hidden="1">購入者リスト!$D$5:$W$89</definedName>
    <definedName name="_xlnm._FilterDatabase" localSheetId="0" hidden="1">所持リスト!$A$2:$Q$605</definedName>
    <definedName name="_xlnm._FilterDatabase" localSheetId="7" hidden="1">帳簿!$C$3:$L$1064</definedName>
    <definedName name="_xlnm._FilterDatabase" localSheetId="6" hidden="1">販売実績!$B$3:$F$135</definedName>
    <definedName name="_xlnm._FilterDatabase" localSheetId="1" hidden="1">別名リスト!$B$4:$M$545</definedName>
    <definedName name="CELL_FOLDER_NAME1" localSheetId="3">設定ファイル!#REF!</definedName>
    <definedName name="CELL_FOLDER_NAME1">説明用文章!$E$20</definedName>
    <definedName name="CELL_FOLDER_NAME2" localSheetId="3">設定ファイル!#REF!</definedName>
    <definedName name="CELL_FOLDER_NAME2">説明用文章!$M$20</definedName>
    <definedName name="CELL_FOLDER_NAME3" localSheetId="3">設定ファイル!#REF!</definedName>
    <definedName name="CELL_FOLDER_NAME3">説明用文章!$U$20</definedName>
    <definedName name="CELL_FOLDER_NAME4" localSheetId="3">設定ファイル!#REF!</definedName>
    <definedName name="CELL_FOLDER_NAME4">説明用文章!$AC$20</definedName>
    <definedName name="CELL_FOLDER_NAME5" localSheetId="3">設定ファイル!#REF!</definedName>
    <definedName name="CELL_FOLDER_NAME5">説明用文章!$AK$20</definedName>
    <definedName name="_xlnm.Print_Area" localSheetId="12">'25-11-07'!$C$4:$BI$78</definedName>
    <definedName name="_xlnm.Print_Area" localSheetId="11">'25-11-28'!$C$4:$BI$78</definedName>
    <definedName name="_xlnm.Print_Area" localSheetId="10">'26-01-30'!$C$4:$BI$78</definedName>
    <definedName name="_xlnm.Print_Area" localSheetId="9">'26-02-27'!$C$4:$BI$78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 i="19" l="1"/>
  <c r="E6" i="19"/>
  <c r="C6" i="19"/>
  <c r="L1058" i="15"/>
  <c r="K1058" i="15"/>
  <c r="I1058" i="15"/>
  <c r="B1058" i="15"/>
  <c r="AI12" i="24"/>
  <c r="AI11" i="24"/>
  <c r="AI10" i="24"/>
  <c r="AI9" i="24"/>
  <c r="AI8" i="24"/>
  <c r="AI7" i="24"/>
  <c r="AA12" i="24"/>
  <c r="AA11" i="24"/>
  <c r="AA10" i="24"/>
  <c r="AA9" i="24"/>
  <c r="AA8" i="24"/>
  <c r="AA7" i="24"/>
  <c r="S12" i="24"/>
  <c r="S11" i="24"/>
  <c r="S10" i="24"/>
  <c r="S9" i="24"/>
  <c r="S8" i="24"/>
  <c r="S7" i="24"/>
  <c r="K12" i="24"/>
  <c r="K11" i="24"/>
  <c r="K10" i="24"/>
  <c r="K9" i="24"/>
  <c r="K8" i="24"/>
  <c r="K7" i="24"/>
  <c r="C8" i="24"/>
  <c r="C9" i="24"/>
  <c r="C10" i="24"/>
  <c r="C11" i="24"/>
  <c r="C12" i="24"/>
  <c r="C7" i="24"/>
  <c r="L1057" i="15"/>
  <c r="K1057" i="15"/>
  <c r="I1057" i="15"/>
  <c r="B1057" i="15"/>
  <c r="L1056" i="15"/>
  <c r="K1056" i="15"/>
  <c r="I1056" i="15"/>
  <c r="B1056" i="15"/>
  <c r="L1055" i="15"/>
  <c r="K1055" i="15"/>
  <c r="I1055" i="15"/>
  <c r="B1055" i="15"/>
  <c r="L1054" i="15"/>
  <c r="K1054" i="15"/>
  <c r="I1054" i="15"/>
  <c r="B1054" i="15"/>
  <c r="L1053" i="15"/>
  <c r="K1053" i="15"/>
  <c r="I1053" i="15"/>
  <c r="B1053" i="15"/>
  <c r="L1050" i="15"/>
  <c r="K1050" i="15"/>
  <c r="I1050" i="15"/>
  <c r="B1050" i="15"/>
  <c r="L1051" i="15"/>
  <c r="K1051" i="15"/>
  <c r="I1051" i="15"/>
  <c r="B1051" i="15"/>
  <c r="L1052" i="15"/>
  <c r="K1052" i="15"/>
  <c r="I1052" i="15"/>
  <c r="B1052" i="15"/>
  <c r="L1049" i="15"/>
  <c r="K1049" i="15"/>
  <c r="I1049" i="15"/>
  <c r="B1049" i="15"/>
  <c r="L1048" i="15"/>
  <c r="K1048" i="15"/>
  <c r="I1048" i="15"/>
  <c r="B1048" i="15"/>
  <c r="L1047" i="15"/>
  <c r="K1047" i="15"/>
  <c r="I1047" i="15"/>
  <c r="B1047" i="15"/>
  <c r="L1045" i="15"/>
  <c r="K1045" i="15"/>
  <c r="I1045" i="15"/>
  <c r="B1045" i="15"/>
  <c r="L1046" i="15"/>
  <c r="K1046" i="15"/>
  <c r="I1046" i="15"/>
  <c r="B1046" i="15"/>
  <c r="L1044" i="15"/>
  <c r="K1044" i="15"/>
  <c r="I1044" i="15"/>
  <c r="B1044" i="15"/>
  <c r="L1043" i="15"/>
  <c r="K1043" i="15"/>
  <c r="I1043" i="15"/>
  <c r="B1043" i="15"/>
  <c r="L1042" i="15"/>
  <c r="K1042" i="15"/>
  <c r="I1042" i="15"/>
  <c r="B1042" i="15"/>
  <c r="L1039" i="15"/>
  <c r="K1039" i="15"/>
  <c r="I1039" i="15"/>
  <c r="B1039" i="15"/>
  <c r="L1038" i="15"/>
  <c r="K1038" i="15"/>
  <c r="I1038" i="15"/>
  <c r="B1038" i="15"/>
  <c r="L1037" i="15"/>
  <c r="K1037" i="15"/>
  <c r="I1037" i="15"/>
  <c r="B1037" i="15"/>
  <c r="K1040" i="15"/>
  <c r="L1040" i="15"/>
  <c r="I1040" i="15"/>
  <c r="B1040" i="15"/>
  <c r="L1041" i="15"/>
  <c r="K1041" i="15"/>
  <c r="I1041" i="15"/>
  <c r="B1041" i="15"/>
  <c r="F71" i="25"/>
  <c r="D68" i="25"/>
  <c r="K65" i="25"/>
  <c r="J65" i="25"/>
  <c r="I65" i="25"/>
  <c r="H65" i="25"/>
  <c r="F65" i="25"/>
  <c r="E65" i="25"/>
  <c r="D65" i="25"/>
  <c r="F56" i="25"/>
  <c r="D53" i="25"/>
  <c r="K50" i="25"/>
  <c r="J50" i="25"/>
  <c r="I50" i="25"/>
  <c r="H50" i="25"/>
  <c r="F50" i="25"/>
  <c r="E50" i="25"/>
  <c r="D50" i="25"/>
  <c r="F41" i="25"/>
  <c r="D38" i="25"/>
  <c r="K35" i="25"/>
  <c r="J35" i="25"/>
  <c r="I35" i="25"/>
  <c r="H35" i="25"/>
  <c r="F35" i="25"/>
  <c r="E35" i="25"/>
  <c r="D35" i="25"/>
  <c r="F26" i="25"/>
  <c r="D23" i="25"/>
  <c r="K20" i="25"/>
  <c r="J20" i="25"/>
  <c r="I20" i="25"/>
  <c r="H20" i="25"/>
  <c r="F20" i="25"/>
  <c r="E20" i="25"/>
  <c r="D20" i="25"/>
  <c r="F11" i="25"/>
  <c r="D8" i="25"/>
  <c r="K5" i="25"/>
  <c r="J5" i="25"/>
  <c r="I5" i="25"/>
  <c r="H5" i="25"/>
  <c r="F5" i="25"/>
  <c r="E5" i="25"/>
  <c r="D5" i="25"/>
  <c r="M1028" i="15"/>
  <c r="L1028" i="15" s="1"/>
  <c r="G1028" i="15"/>
  <c r="G1029" i="15" s="1"/>
  <c r="E1028" i="15"/>
  <c r="M1026" i="15"/>
  <c r="L1026" i="15" s="1"/>
  <c r="G1026" i="15"/>
  <c r="G1027" i="15" s="1"/>
  <c r="E1026" i="15"/>
  <c r="M1024" i="15"/>
  <c r="J1025" i="15" s="1"/>
  <c r="G1024" i="15"/>
  <c r="G1025" i="15" s="1"/>
  <c r="E1024" i="15"/>
  <c r="M1022" i="15"/>
  <c r="J1023" i="15" s="1"/>
  <c r="G1022" i="15"/>
  <c r="G1023" i="15" s="1"/>
  <c r="E1022" i="15"/>
  <c r="M1020" i="15"/>
  <c r="L1020" i="15" s="1"/>
  <c r="G1020" i="15"/>
  <c r="G1021" i="15" s="1"/>
  <c r="E1020" i="15"/>
  <c r="M999" i="15"/>
  <c r="J1000" i="15" s="1"/>
  <c r="G999" i="15"/>
  <c r="G1000" i="15" s="1"/>
  <c r="E999" i="15"/>
  <c r="M997" i="15"/>
  <c r="J998" i="15" s="1"/>
  <c r="G997" i="15"/>
  <c r="G998" i="15" s="1"/>
  <c r="E997" i="15"/>
  <c r="M995" i="15"/>
  <c r="J996" i="15" s="1"/>
  <c r="G995" i="15"/>
  <c r="G996" i="15" s="1"/>
  <c r="E995" i="15"/>
  <c r="M993" i="15"/>
  <c r="J994" i="15" s="1"/>
  <c r="G993" i="15"/>
  <c r="G994" i="15" s="1"/>
  <c r="E993" i="15"/>
  <c r="M991" i="15"/>
  <c r="J992" i="15" s="1"/>
  <c r="G991" i="15"/>
  <c r="G992" i="15" s="1"/>
  <c r="E991" i="15"/>
  <c r="M967" i="15"/>
  <c r="L967" i="15" s="1"/>
  <c r="G967" i="15"/>
  <c r="G968" i="15" s="1"/>
  <c r="E967" i="15"/>
  <c r="M965" i="15"/>
  <c r="L965" i="15" s="1"/>
  <c r="G965" i="15"/>
  <c r="G966" i="15" s="1"/>
  <c r="E965" i="15"/>
  <c r="M963" i="15"/>
  <c r="J964" i="15" s="1"/>
  <c r="G963" i="15"/>
  <c r="G964" i="15" s="1"/>
  <c r="E963" i="15"/>
  <c r="M961" i="15"/>
  <c r="J962" i="15" s="1"/>
  <c r="G961" i="15"/>
  <c r="G962" i="15" s="1"/>
  <c r="E961" i="15"/>
  <c r="M959" i="15"/>
  <c r="J960" i="15" s="1"/>
  <c r="G959" i="15"/>
  <c r="G960" i="15" s="1"/>
  <c r="E959" i="15"/>
  <c r="M928" i="15"/>
  <c r="J929" i="15" s="1"/>
  <c r="G928" i="15"/>
  <c r="G929" i="15" s="1"/>
  <c r="E928" i="15"/>
  <c r="M926" i="15"/>
  <c r="L926" i="15" s="1"/>
  <c r="G926" i="15"/>
  <c r="G927" i="15" s="1"/>
  <c r="E926" i="15"/>
  <c r="M924" i="15"/>
  <c r="J925" i="15" s="1"/>
  <c r="G924" i="15"/>
  <c r="G925" i="15" s="1"/>
  <c r="E924" i="15"/>
  <c r="M922" i="15"/>
  <c r="J923" i="15" s="1"/>
  <c r="G922" i="15"/>
  <c r="G923" i="15" s="1"/>
  <c r="E922" i="15"/>
  <c r="M920" i="15"/>
  <c r="L920" i="15" s="1"/>
  <c r="G920" i="15"/>
  <c r="G921" i="15" s="1"/>
  <c r="E920" i="15"/>
  <c r="M905" i="15"/>
  <c r="J906" i="15" s="1"/>
  <c r="G905" i="15"/>
  <c r="G906" i="15" s="1"/>
  <c r="E905" i="15"/>
  <c r="M903" i="15"/>
  <c r="J904" i="15" s="1"/>
  <c r="G903" i="15"/>
  <c r="G904" i="15" s="1"/>
  <c r="E903" i="15"/>
  <c r="M901" i="15"/>
  <c r="L901" i="15" s="1"/>
  <c r="G901" i="15"/>
  <c r="G902" i="15" s="1"/>
  <c r="E901" i="15"/>
  <c r="M899" i="15"/>
  <c r="J900" i="15" s="1"/>
  <c r="G899" i="15"/>
  <c r="G900" i="15" s="1"/>
  <c r="E899" i="15"/>
  <c r="M897" i="15"/>
  <c r="J898" i="15" s="1"/>
  <c r="G897" i="15"/>
  <c r="G898" i="15" s="1"/>
  <c r="E897" i="15"/>
  <c r="M882" i="15"/>
  <c r="J883" i="15" s="1"/>
  <c r="G882" i="15"/>
  <c r="G883" i="15" s="1"/>
  <c r="E882" i="15"/>
  <c r="M880" i="15"/>
  <c r="L880" i="15" s="1"/>
  <c r="G880" i="15"/>
  <c r="G881" i="15" s="1"/>
  <c r="E880" i="15"/>
  <c r="M878" i="15"/>
  <c r="J879" i="15" s="1"/>
  <c r="G878" i="15"/>
  <c r="G879" i="15" s="1"/>
  <c r="E878" i="15"/>
  <c r="M876" i="15"/>
  <c r="J877" i="15" s="1"/>
  <c r="G876" i="15"/>
  <c r="G877" i="15" s="1"/>
  <c r="E876" i="15"/>
  <c r="M874" i="15"/>
  <c r="J875" i="15" s="1"/>
  <c r="K875" i="15" s="1"/>
  <c r="G874" i="15"/>
  <c r="G875" i="15" s="1"/>
  <c r="E874" i="15"/>
  <c r="M847" i="15"/>
  <c r="J848" i="15" s="1"/>
  <c r="G847" i="15"/>
  <c r="G848" i="15" s="1"/>
  <c r="E847" i="15"/>
  <c r="M845" i="15"/>
  <c r="J846" i="15" s="1"/>
  <c r="G845" i="15"/>
  <c r="G846" i="15" s="1"/>
  <c r="E845" i="15"/>
  <c r="M843" i="15"/>
  <c r="L843" i="15" s="1"/>
  <c r="G843" i="15"/>
  <c r="G844" i="15" s="1"/>
  <c r="E843" i="15"/>
  <c r="M841" i="15"/>
  <c r="J842" i="15" s="1"/>
  <c r="G841" i="15"/>
  <c r="G842" i="15" s="1"/>
  <c r="E841" i="15"/>
  <c r="M836" i="15"/>
  <c r="J837" i="15" s="1"/>
  <c r="G836" i="15"/>
  <c r="G837" i="15" s="1"/>
  <c r="G838" i="15" s="1"/>
  <c r="G839" i="15" s="1"/>
  <c r="E836" i="15"/>
  <c r="M826" i="15"/>
  <c r="J827" i="15" s="1"/>
  <c r="G826" i="15"/>
  <c r="G827" i="15" s="1"/>
  <c r="E826" i="15"/>
  <c r="M819" i="15"/>
  <c r="J820" i="15" s="1"/>
  <c r="G819" i="15"/>
  <c r="G820" i="15" s="1"/>
  <c r="E819" i="15"/>
  <c r="M796" i="15"/>
  <c r="J797" i="15" s="1"/>
  <c r="G796" i="15"/>
  <c r="G797" i="15" s="1"/>
  <c r="E796" i="15"/>
  <c r="M789" i="15"/>
  <c r="J790" i="15" s="1"/>
  <c r="G789" i="15"/>
  <c r="G790" i="15" s="1"/>
  <c r="E789" i="15"/>
  <c r="M787" i="15"/>
  <c r="J788" i="15" s="1"/>
  <c r="G787" i="15"/>
  <c r="G788" i="15" s="1"/>
  <c r="E787" i="15"/>
  <c r="M770" i="15"/>
  <c r="J771" i="15" s="1"/>
  <c r="I771" i="15" s="1"/>
  <c r="G770" i="15"/>
  <c r="G771" i="15" s="1"/>
  <c r="E770" i="15"/>
  <c r="M768" i="15"/>
  <c r="J769" i="15" s="1"/>
  <c r="G768" i="15"/>
  <c r="G769" i="15" s="1"/>
  <c r="E768" i="15"/>
  <c r="M766" i="15"/>
  <c r="J767" i="15" s="1"/>
  <c r="G766" i="15"/>
  <c r="G767" i="15" s="1"/>
  <c r="E766" i="15"/>
  <c r="M764" i="15"/>
  <c r="L764" i="15" s="1"/>
  <c r="G764" i="15"/>
  <c r="G765" i="15" s="1"/>
  <c r="E764" i="15"/>
  <c r="M760" i="15"/>
  <c r="L760" i="15" s="1"/>
  <c r="G760" i="15"/>
  <c r="G761" i="15" s="1"/>
  <c r="G762" i="15" s="1"/>
  <c r="G763" i="15" s="1"/>
  <c r="E760" i="15"/>
  <c r="M748" i="15"/>
  <c r="J749" i="15" s="1"/>
  <c r="G748" i="15"/>
  <c r="G749" i="15" s="1"/>
  <c r="E748" i="15"/>
  <c r="M746" i="15"/>
  <c r="J747" i="15" s="1"/>
  <c r="G746" i="15"/>
  <c r="G747" i="15" s="1"/>
  <c r="E746" i="15"/>
  <c r="M744" i="15"/>
  <c r="J745" i="15" s="1"/>
  <c r="G744" i="15"/>
  <c r="G745" i="15" s="1"/>
  <c r="E744" i="15"/>
  <c r="M742" i="15"/>
  <c r="L742" i="15" s="1"/>
  <c r="G742" i="15"/>
  <c r="G743" i="15" s="1"/>
  <c r="E742" i="15"/>
  <c r="M740" i="15"/>
  <c r="L740" i="15" s="1"/>
  <c r="G740" i="15"/>
  <c r="G741" i="15" s="1"/>
  <c r="E740" i="15"/>
  <c r="M673" i="15"/>
  <c r="J674" i="15" s="1"/>
  <c r="G673" i="15"/>
  <c r="G674" i="15" s="1"/>
  <c r="E673" i="15"/>
  <c r="M671" i="15"/>
  <c r="J672" i="15" s="1"/>
  <c r="G671" i="15"/>
  <c r="G672" i="15" s="1"/>
  <c r="E671" i="15"/>
  <c r="M669" i="15"/>
  <c r="J670" i="15" s="1"/>
  <c r="G669" i="15"/>
  <c r="G670" i="15" s="1"/>
  <c r="E669" i="15"/>
  <c r="M667" i="15"/>
  <c r="J668" i="15" s="1"/>
  <c r="G667" i="15"/>
  <c r="G668" i="15" s="1"/>
  <c r="E667" i="15"/>
  <c r="M665" i="15"/>
  <c r="J666" i="15" s="1"/>
  <c r="G665" i="15"/>
  <c r="G666" i="15" s="1"/>
  <c r="E665" i="15"/>
  <c r="M653" i="15"/>
  <c r="L653" i="15" s="1"/>
  <c r="G653" i="15"/>
  <c r="G654" i="15" s="1"/>
  <c r="E653" i="15"/>
  <c r="M651" i="15"/>
  <c r="J652" i="15" s="1"/>
  <c r="G651" i="15"/>
  <c r="G652" i="15" s="1"/>
  <c r="E651" i="15"/>
  <c r="M649" i="15"/>
  <c r="J650" i="15" s="1"/>
  <c r="G649" i="15"/>
  <c r="G650" i="15" s="1"/>
  <c r="E649" i="15"/>
  <c r="M647" i="15"/>
  <c r="L647" i="15" s="1"/>
  <c r="G647" i="15"/>
  <c r="G648" i="15" s="1"/>
  <c r="E647" i="15"/>
  <c r="M645" i="15"/>
  <c r="L645" i="15" s="1"/>
  <c r="G645" i="15"/>
  <c r="G646" i="15" s="1"/>
  <c r="E645" i="15"/>
  <c r="M621" i="15"/>
  <c r="J622" i="15" s="1"/>
  <c r="G621" i="15"/>
  <c r="G622" i="15" s="1"/>
  <c r="E621" i="15"/>
  <c r="M619" i="15"/>
  <c r="J620" i="15" s="1"/>
  <c r="G619" i="15"/>
  <c r="G620" i="15" s="1"/>
  <c r="E619" i="15"/>
  <c r="M617" i="15"/>
  <c r="L617" i="15" s="1"/>
  <c r="G617" i="15"/>
  <c r="G618" i="15" s="1"/>
  <c r="E617" i="15"/>
  <c r="M613" i="15"/>
  <c r="J614" i="15" s="1"/>
  <c r="G613" i="15"/>
  <c r="G614" i="15" s="1"/>
  <c r="G615" i="15" s="1"/>
  <c r="G616" i="15" s="1"/>
  <c r="E613" i="15"/>
  <c r="M611" i="15"/>
  <c r="L611" i="15" s="1"/>
  <c r="G611" i="15"/>
  <c r="G612" i="15" s="1"/>
  <c r="E611" i="15"/>
  <c r="M600" i="15"/>
  <c r="J601" i="15" s="1"/>
  <c r="G600" i="15"/>
  <c r="G601" i="15" s="1"/>
  <c r="E600" i="15"/>
  <c r="M598" i="15"/>
  <c r="J599" i="15" s="1"/>
  <c r="G598" i="15"/>
  <c r="G599" i="15" s="1"/>
  <c r="E598" i="15"/>
  <c r="M596" i="15"/>
  <c r="J597" i="15" s="1"/>
  <c r="G596" i="15"/>
  <c r="G597" i="15" s="1"/>
  <c r="E596" i="15"/>
  <c r="M594" i="15"/>
  <c r="J595" i="15" s="1"/>
  <c r="G594" i="15"/>
  <c r="G595" i="15" s="1"/>
  <c r="E594" i="15"/>
  <c r="M592" i="15"/>
  <c r="L592" i="15" s="1"/>
  <c r="G592" i="15"/>
  <c r="G593" i="15" s="1"/>
  <c r="E592" i="15"/>
  <c r="M590" i="15"/>
  <c r="J591" i="15" s="1"/>
  <c r="G590" i="15"/>
  <c r="G591" i="15" s="1"/>
  <c r="E590" i="15"/>
  <c r="M571" i="15"/>
  <c r="J572" i="15" s="1"/>
  <c r="K572" i="15" s="1"/>
  <c r="G571" i="15"/>
  <c r="G572" i="15" s="1"/>
  <c r="E571" i="15"/>
  <c r="M569" i="15"/>
  <c r="J570" i="15" s="1"/>
  <c r="G569" i="15"/>
  <c r="G570" i="15" s="1"/>
  <c r="E569" i="15"/>
  <c r="M567" i="15"/>
  <c r="J568" i="15" s="1"/>
  <c r="G567" i="15"/>
  <c r="G568" i="15" s="1"/>
  <c r="E567" i="15"/>
  <c r="M565" i="15"/>
  <c r="J566" i="15" s="1"/>
  <c r="G565" i="15"/>
  <c r="G566" i="15" s="1"/>
  <c r="E565" i="15"/>
  <c r="M555" i="15"/>
  <c r="J556" i="15" s="1"/>
  <c r="G555" i="15"/>
  <c r="G556" i="15" s="1"/>
  <c r="E555" i="15"/>
  <c r="M553" i="15"/>
  <c r="J554" i="15" s="1"/>
  <c r="K554" i="15" s="1"/>
  <c r="G553" i="15"/>
  <c r="G554" i="15" s="1"/>
  <c r="E553" i="15"/>
  <c r="M545" i="15"/>
  <c r="L545" i="15" s="1"/>
  <c r="G545" i="15"/>
  <c r="G546" i="15" s="1"/>
  <c r="E545" i="15"/>
  <c r="M543" i="15"/>
  <c r="J544" i="15" s="1"/>
  <c r="G543" i="15"/>
  <c r="G544" i="15" s="1"/>
  <c r="E543" i="15"/>
  <c r="M541" i="15"/>
  <c r="L541" i="15" s="1"/>
  <c r="G541" i="15"/>
  <c r="G542" i="15" s="1"/>
  <c r="E541" i="15"/>
  <c r="M539" i="15"/>
  <c r="J540" i="15" s="1"/>
  <c r="G539" i="15"/>
  <c r="G540" i="15" s="1"/>
  <c r="E539" i="15"/>
  <c r="M537" i="15"/>
  <c r="J538" i="15" s="1"/>
  <c r="G537" i="15"/>
  <c r="G538" i="15" s="1"/>
  <c r="E537" i="15"/>
  <c r="M535" i="15"/>
  <c r="J536" i="15" s="1"/>
  <c r="G535" i="15"/>
  <c r="G536" i="15" s="1"/>
  <c r="E535" i="15"/>
  <c r="M467" i="15"/>
  <c r="J468" i="15" s="1"/>
  <c r="G467" i="15"/>
  <c r="G468" i="15" s="1"/>
  <c r="E467" i="15"/>
  <c r="M465" i="15"/>
  <c r="J466" i="15" s="1"/>
  <c r="G465" i="15"/>
  <c r="G466" i="15" s="1"/>
  <c r="E465" i="15"/>
  <c r="M436" i="15"/>
  <c r="J437" i="15" s="1"/>
  <c r="G436" i="15"/>
  <c r="G437" i="15" s="1"/>
  <c r="E436" i="15"/>
  <c r="M414" i="15"/>
  <c r="L414" i="15" s="1"/>
  <c r="G414" i="15"/>
  <c r="G415" i="15" s="1"/>
  <c r="E414" i="15"/>
  <c r="M412" i="15"/>
  <c r="G412" i="15"/>
  <c r="G413" i="15" s="1"/>
  <c r="E412" i="15"/>
  <c r="M390" i="15"/>
  <c r="L390" i="15" s="1"/>
  <c r="G390" i="15"/>
  <c r="G391" i="15" s="1"/>
  <c r="E390" i="15"/>
  <c r="E138" i="10"/>
  <c r="D138" i="10"/>
  <c r="E137" i="10"/>
  <c r="D137" i="10"/>
  <c r="E136" i="10"/>
  <c r="D136" i="10"/>
  <c r="E135" i="10"/>
  <c r="D135" i="10"/>
  <c r="E134" i="10"/>
  <c r="D134" i="10"/>
  <c r="E133" i="10"/>
  <c r="D133" i="10"/>
  <c r="E132" i="10"/>
  <c r="D132" i="10"/>
  <c r="E131" i="10"/>
  <c r="D131" i="10"/>
  <c r="E130" i="10"/>
  <c r="D130" i="10"/>
  <c r="E129" i="10"/>
  <c r="D129" i="10"/>
  <c r="E128" i="10"/>
  <c r="D128" i="10"/>
  <c r="E127" i="10"/>
  <c r="D127" i="10"/>
  <c r="E126" i="10"/>
  <c r="D126" i="10"/>
  <c r="E125" i="10"/>
  <c r="D125" i="10"/>
  <c r="E124" i="10"/>
  <c r="D124" i="10"/>
  <c r="E123" i="10"/>
  <c r="D123" i="10"/>
  <c r="E122" i="10"/>
  <c r="D122" i="10"/>
  <c r="E121" i="10"/>
  <c r="D121" i="10"/>
  <c r="E120" i="10"/>
  <c r="D120" i="10"/>
  <c r="E119" i="10"/>
  <c r="D119" i="10"/>
  <c r="E118" i="10"/>
  <c r="D118" i="10"/>
  <c r="E117" i="10"/>
  <c r="D117" i="10"/>
  <c r="E116" i="10"/>
  <c r="D116" i="10"/>
  <c r="E115" i="10"/>
  <c r="D115" i="10"/>
  <c r="E114" i="10"/>
  <c r="D114" i="10"/>
  <c r="E113" i="10"/>
  <c r="D113" i="10"/>
  <c r="E112" i="10"/>
  <c r="D112" i="10"/>
  <c r="E111" i="10"/>
  <c r="D111" i="10"/>
  <c r="E110" i="10"/>
  <c r="D110" i="10"/>
  <c r="E109" i="10"/>
  <c r="D109" i="10"/>
  <c r="E108" i="10"/>
  <c r="D108" i="10"/>
  <c r="E107" i="10"/>
  <c r="D107" i="10"/>
  <c r="E106" i="10"/>
  <c r="D106" i="10"/>
  <c r="E105" i="10"/>
  <c r="D105" i="10"/>
  <c r="E104" i="10"/>
  <c r="D104" i="10"/>
  <c r="E103" i="10"/>
  <c r="D103" i="10"/>
  <c r="E102" i="10"/>
  <c r="D102" i="10"/>
  <c r="E101" i="10"/>
  <c r="D101" i="10"/>
  <c r="E100" i="10"/>
  <c r="D100" i="10"/>
  <c r="E99" i="10"/>
  <c r="D99" i="10"/>
  <c r="E98" i="10"/>
  <c r="D98" i="10"/>
  <c r="E97" i="10"/>
  <c r="D97" i="10"/>
  <c r="E96" i="10"/>
  <c r="D96" i="10"/>
  <c r="E95" i="10"/>
  <c r="D95" i="10"/>
  <c r="E94" i="10"/>
  <c r="D94" i="10"/>
  <c r="E93" i="10"/>
  <c r="D93" i="10"/>
  <c r="E92" i="10"/>
  <c r="D92" i="10"/>
  <c r="E91" i="10"/>
  <c r="D91" i="10"/>
  <c r="E90" i="10"/>
  <c r="D90" i="10"/>
  <c r="E89" i="10"/>
  <c r="D89" i="10"/>
  <c r="E88" i="10"/>
  <c r="D88" i="10"/>
  <c r="E87" i="10"/>
  <c r="D87" i="10"/>
  <c r="E86" i="10"/>
  <c r="D86" i="10"/>
  <c r="E85" i="10"/>
  <c r="D85" i="10"/>
  <c r="E84" i="10"/>
  <c r="D84" i="10"/>
  <c r="E83" i="10"/>
  <c r="D83" i="10"/>
  <c r="E82" i="10"/>
  <c r="D82" i="10"/>
  <c r="E81" i="10"/>
  <c r="D81" i="10"/>
  <c r="E80" i="10"/>
  <c r="D80" i="10"/>
  <c r="F80" i="10" s="1"/>
  <c r="E79" i="10"/>
  <c r="D79" i="10"/>
  <c r="E78" i="10"/>
  <c r="D78" i="10"/>
  <c r="E77" i="10"/>
  <c r="D77" i="10"/>
  <c r="E76" i="10"/>
  <c r="D76" i="10"/>
  <c r="E75" i="10"/>
  <c r="D75" i="10"/>
  <c r="E74" i="10"/>
  <c r="D74" i="10"/>
  <c r="E73" i="10"/>
  <c r="D73" i="10"/>
  <c r="E72" i="10"/>
  <c r="D72" i="10"/>
  <c r="E71" i="10"/>
  <c r="D71" i="10"/>
  <c r="E70" i="10"/>
  <c r="D70" i="10"/>
  <c r="E69" i="10"/>
  <c r="D69" i="10"/>
  <c r="E68" i="10"/>
  <c r="D68" i="10"/>
  <c r="E67" i="10"/>
  <c r="D67" i="10"/>
  <c r="E66" i="10"/>
  <c r="D66" i="10"/>
  <c r="E65" i="10"/>
  <c r="D65" i="10"/>
  <c r="E64" i="10"/>
  <c r="D64" i="10"/>
  <c r="E63" i="10"/>
  <c r="D63" i="10"/>
  <c r="E62" i="10"/>
  <c r="D62" i="10"/>
  <c r="E61" i="10"/>
  <c r="D61" i="10"/>
  <c r="E60" i="10"/>
  <c r="D60" i="10"/>
  <c r="E59" i="10"/>
  <c r="D59" i="10"/>
  <c r="E58" i="10"/>
  <c r="D58" i="10"/>
  <c r="E57" i="10"/>
  <c r="D57" i="10"/>
  <c r="E56" i="10"/>
  <c r="D56" i="10"/>
  <c r="E55" i="10"/>
  <c r="D55" i="10"/>
  <c r="E54" i="10"/>
  <c r="D54" i="10"/>
  <c r="E53" i="10"/>
  <c r="D53" i="10"/>
  <c r="E52" i="10"/>
  <c r="D52" i="10"/>
  <c r="E51" i="10"/>
  <c r="D51" i="10"/>
  <c r="E50" i="10"/>
  <c r="D50" i="10"/>
  <c r="E49" i="10"/>
  <c r="D49" i="10"/>
  <c r="E48" i="10"/>
  <c r="D48" i="10"/>
  <c r="E47" i="10"/>
  <c r="D47" i="10"/>
  <c r="E46" i="10"/>
  <c r="D46" i="10"/>
  <c r="E45" i="10"/>
  <c r="D45" i="10"/>
  <c r="E44" i="10"/>
  <c r="D44" i="10"/>
  <c r="E43" i="10"/>
  <c r="D43" i="10"/>
  <c r="E42" i="10"/>
  <c r="D42" i="10"/>
  <c r="E41" i="10"/>
  <c r="D41" i="10"/>
  <c r="E40" i="10"/>
  <c r="D40" i="10"/>
  <c r="E39" i="10"/>
  <c r="D39" i="10"/>
  <c r="E38" i="10"/>
  <c r="D38" i="10"/>
  <c r="E37" i="10"/>
  <c r="D37" i="10"/>
  <c r="E36" i="10"/>
  <c r="D36" i="10"/>
  <c r="E35" i="10"/>
  <c r="D35" i="10"/>
  <c r="E34" i="10"/>
  <c r="D34" i="10"/>
  <c r="E33" i="10"/>
  <c r="D33" i="10"/>
  <c r="E32" i="10"/>
  <c r="D32" i="10"/>
  <c r="E31" i="10"/>
  <c r="D31" i="10"/>
  <c r="E30" i="10"/>
  <c r="D30" i="10"/>
  <c r="E29" i="10"/>
  <c r="D29" i="10"/>
  <c r="E28" i="10"/>
  <c r="D28" i="10"/>
  <c r="E27" i="10"/>
  <c r="D27" i="10"/>
  <c r="E26" i="10"/>
  <c r="D26" i="10"/>
  <c r="E25" i="10"/>
  <c r="D25" i="10"/>
  <c r="E24" i="10"/>
  <c r="D24" i="10"/>
  <c r="E23" i="10"/>
  <c r="D23" i="10"/>
  <c r="E22" i="10"/>
  <c r="D22" i="10"/>
  <c r="E21" i="10"/>
  <c r="D21" i="10"/>
  <c r="E20" i="10"/>
  <c r="D20" i="10"/>
  <c r="E19" i="10"/>
  <c r="D19" i="10"/>
  <c r="E18" i="10"/>
  <c r="D18" i="10"/>
  <c r="E17" i="10"/>
  <c r="D17" i="10"/>
  <c r="E16" i="10"/>
  <c r="D16" i="10"/>
  <c r="E15" i="10"/>
  <c r="D15" i="10"/>
  <c r="E14" i="10"/>
  <c r="D14" i="10"/>
  <c r="E13" i="10"/>
  <c r="D13" i="10"/>
  <c r="E12" i="10"/>
  <c r="D12" i="10"/>
  <c r="E11" i="10"/>
  <c r="D11" i="10"/>
  <c r="E10" i="10"/>
  <c r="D10" i="10"/>
  <c r="E9" i="10"/>
  <c r="D9" i="10"/>
  <c r="E8" i="10"/>
  <c r="D8" i="10"/>
  <c r="E7" i="10"/>
  <c r="D7" i="10"/>
  <c r="E6" i="10"/>
  <c r="D6" i="10"/>
  <c r="E5" i="10"/>
  <c r="D5" i="10"/>
  <c r="E4" i="10"/>
  <c r="D4" i="10"/>
  <c r="J3" i="10" a="1"/>
  <c r="J3" i="10" s="1"/>
  <c r="H3" i="10"/>
  <c r="G609" i="1"/>
  <c r="H609" i="1" s="1"/>
  <c r="F609" i="1" s="1"/>
  <c r="H608" i="1"/>
  <c r="F608" i="1" s="1"/>
  <c r="G608" i="1"/>
  <c r="G607" i="1"/>
  <c r="H607" i="1" s="1"/>
  <c r="F607" i="1" s="1"/>
  <c r="G606" i="1"/>
  <c r="H606" i="1" s="1"/>
  <c r="F606" i="1" s="1"/>
  <c r="G605" i="1"/>
  <c r="H605" i="1" s="1"/>
  <c r="F605" i="1" s="1"/>
  <c r="G604" i="1"/>
  <c r="H604" i="1" s="1"/>
  <c r="F604" i="1" s="1"/>
  <c r="G603" i="1"/>
  <c r="H603" i="1" s="1"/>
  <c r="F603" i="1" s="1"/>
  <c r="H602" i="1"/>
  <c r="F602" i="1" s="1"/>
  <c r="G602" i="1"/>
  <c r="H601" i="1"/>
  <c r="G601" i="1"/>
  <c r="F601" i="1"/>
  <c r="G600" i="1"/>
  <c r="H600" i="1" s="1"/>
  <c r="F600" i="1" s="1"/>
  <c r="G599" i="1"/>
  <c r="H599" i="1" s="1"/>
  <c r="F599" i="1" s="1"/>
  <c r="G598" i="1"/>
  <c r="H598" i="1" s="1"/>
  <c r="F598" i="1" s="1"/>
  <c r="H597" i="1"/>
  <c r="F597" i="1" s="1"/>
  <c r="G597" i="1"/>
  <c r="H596" i="1"/>
  <c r="F596" i="1" s="1"/>
  <c r="G596" i="1"/>
  <c r="H595" i="1"/>
  <c r="F595" i="1" s="1"/>
  <c r="G595" i="1"/>
  <c r="G594" i="1"/>
  <c r="H594" i="1" s="1"/>
  <c r="F594" i="1" s="1"/>
  <c r="H587" i="1"/>
  <c r="F587" i="1"/>
  <c r="H586" i="1"/>
  <c r="F586" i="1"/>
  <c r="H583" i="1"/>
  <c r="F583" i="1"/>
  <c r="H582" i="1"/>
  <c r="F582" i="1"/>
  <c r="H581" i="1"/>
  <c r="F581" i="1" s="1"/>
  <c r="H580" i="1"/>
  <c r="F580" i="1"/>
  <c r="H579" i="1"/>
  <c r="F579" i="1"/>
  <c r="H578" i="1"/>
  <c r="F578" i="1" s="1"/>
  <c r="H577" i="1"/>
  <c r="F577" i="1" s="1"/>
  <c r="H576" i="1"/>
  <c r="F576" i="1"/>
  <c r="H573" i="1"/>
  <c r="F573" i="1"/>
  <c r="H572" i="1"/>
  <c r="F572" i="1"/>
  <c r="H571" i="1"/>
  <c r="F571" i="1"/>
  <c r="H570" i="1"/>
  <c r="F570" i="1"/>
  <c r="H569" i="1"/>
  <c r="F569" i="1" s="1"/>
  <c r="H568" i="1"/>
  <c r="F568" i="1"/>
  <c r="H567" i="1"/>
  <c r="F567" i="1"/>
  <c r="H566" i="1"/>
  <c r="F566" i="1" s="1"/>
  <c r="H565" i="1"/>
  <c r="F565" i="1" s="1"/>
  <c r="H564" i="1"/>
  <c r="F564" i="1"/>
  <c r="H563" i="1"/>
  <c r="F563" i="1"/>
  <c r="H560" i="1"/>
  <c r="F560" i="1"/>
  <c r="H559" i="1"/>
  <c r="F559" i="1"/>
  <c r="H558" i="1"/>
  <c r="F558" i="1"/>
  <c r="H557" i="1"/>
  <c r="F557" i="1" s="1"/>
  <c r="H556" i="1"/>
  <c r="F556" i="1"/>
  <c r="H555" i="1"/>
  <c r="F555" i="1"/>
  <c r="H554" i="1"/>
  <c r="F554" i="1" s="1"/>
  <c r="H553" i="1"/>
  <c r="F553" i="1" s="1"/>
  <c r="H552" i="1"/>
  <c r="F552" i="1"/>
  <c r="H551" i="1"/>
  <c r="F551" i="1"/>
  <c r="H550" i="1"/>
  <c r="F550" i="1"/>
  <c r="H547" i="1"/>
  <c r="F547" i="1"/>
  <c r="H546" i="1"/>
  <c r="F546" i="1"/>
  <c r="H545" i="1"/>
  <c r="F545" i="1" s="1"/>
  <c r="H544" i="1"/>
  <c r="F544" i="1"/>
  <c r="H543" i="1"/>
  <c r="F543" i="1"/>
  <c r="H540" i="1"/>
  <c r="F540" i="1" s="1"/>
  <c r="H539" i="1"/>
  <c r="F539" i="1" s="1"/>
  <c r="H538" i="1"/>
  <c r="F538" i="1"/>
  <c r="H537" i="1"/>
  <c r="F537" i="1"/>
  <c r="H536" i="1"/>
  <c r="F536" i="1"/>
  <c r="H535" i="1"/>
  <c r="F535" i="1"/>
  <c r="H534" i="1"/>
  <c r="F534" i="1"/>
  <c r="H533" i="1"/>
  <c r="F533" i="1" s="1"/>
  <c r="H532" i="1"/>
  <c r="F532" i="1"/>
  <c r="H531" i="1"/>
  <c r="F531" i="1"/>
  <c r="H530" i="1"/>
  <c r="F530" i="1" s="1"/>
  <c r="H529" i="1"/>
  <c r="F529" i="1" s="1"/>
  <c r="H528" i="1"/>
  <c r="F528" i="1"/>
  <c r="H527" i="1"/>
  <c r="F527" i="1"/>
  <c r="H526" i="1"/>
  <c r="F526" i="1"/>
  <c r="H525" i="1"/>
  <c r="F525" i="1"/>
  <c r="H524" i="1"/>
  <c r="F524" i="1"/>
  <c r="H519" i="1"/>
  <c r="F519" i="1" s="1"/>
  <c r="H518" i="1"/>
  <c r="F518" i="1"/>
  <c r="H517" i="1"/>
  <c r="F517" i="1"/>
  <c r="H514" i="1"/>
  <c r="F514" i="1" s="1"/>
  <c r="H513" i="1"/>
  <c r="F513" i="1" s="1"/>
  <c r="H512" i="1"/>
  <c r="F512" i="1"/>
  <c r="H509" i="1"/>
  <c r="F509" i="1"/>
  <c r="H508" i="1"/>
  <c r="F508" i="1"/>
  <c r="H507" i="1"/>
  <c r="F507" i="1"/>
  <c r="H506" i="1"/>
  <c r="F506" i="1"/>
  <c r="H505" i="1"/>
  <c r="F505" i="1" s="1"/>
  <c r="H504" i="1"/>
  <c r="F504" i="1"/>
  <c r="H503" i="1"/>
  <c r="F503" i="1"/>
  <c r="H502" i="1"/>
  <c r="F502" i="1" s="1"/>
  <c r="H501" i="1"/>
  <c r="F501" i="1" s="1"/>
  <c r="H498" i="1"/>
  <c r="F498" i="1"/>
  <c r="H497" i="1"/>
  <c r="F497" i="1"/>
  <c r="H496" i="1"/>
  <c r="F496" i="1"/>
  <c r="H495" i="1"/>
  <c r="F495" i="1"/>
  <c r="H494" i="1"/>
  <c r="F494" i="1"/>
  <c r="H493" i="1"/>
  <c r="F493" i="1" s="1"/>
  <c r="H492" i="1"/>
  <c r="F492" i="1"/>
  <c r="H491" i="1"/>
  <c r="F491" i="1"/>
  <c r="H488" i="1"/>
  <c r="F488" i="1" s="1"/>
  <c r="H487" i="1"/>
  <c r="F487" i="1" s="1"/>
  <c r="H484" i="1"/>
  <c r="F484" i="1"/>
  <c r="H483" i="1"/>
  <c r="F483" i="1"/>
  <c r="H482" i="1"/>
  <c r="F482" i="1"/>
  <c r="H481" i="1"/>
  <c r="F481" i="1"/>
  <c r="H480" i="1"/>
  <c r="F480" i="1"/>
  <c r="H479" i="1"/>
  <c r="F479" i="1" s="1"/>
  <c r="H478" i="1"/>
  <c r="F478" i="1"/>
  <c r="H477" i="1"/>
  <c r="F477" i="1"/>
  <c r="H476" i="1"/>
  <c r="F476" i="1" s="1"/>
  <c r="H475" i="1"/>
  <c r="F475" i="1" s="1"/>
  <c r="H472" i="1"/>
  <c r="F472" i="1"/>
  <c r="F471" i="1"/>
  <c r="H470" i="1"/>
  <c r="F470" i="1"/>
  <c r="H469" i="1"/>
  <c r="F469" i="1"/>
  <c r="H468" i="1"/>
  <c r="F468" i="1"/>
  <c r="H467" i="1"/>
  <c r="F467" i="1"/>
  <c r="H466" i="1"/>
  <c r="F466" i="1"/>
  <c r="H465" i="1"/>
  <c r="F465" i="1" s="1"/>
  <c r="H464" i="1"/>
  <c r="F464" i="1" s="1"/>
  <c r="H463" i="1"/>
  <c r="F463" i="1" s="1"/>
  <c r="F462" i="1"/>
  <c r="H461" i="1"/>
  <c r="F461" i="1"/>
  <c r="H458" i="1"/>
  <c r="F458" i="1"/>
  <c r="H457" i="1"/>
  <c r="F457" i="1"/>
  <c r="H456" i="1"/>
  <c r="F456" i="1"/>
  <c r="H455" i="1"/>
  <c r="F455" i="1"/>
  <c r="H454" i="1"/>
  <c r="F454" i="1" s="1"/>
  <c r="H453" i="1"/>
  <c r="F453" i="1"/>
  <c r="H452" i="1"/>
  <c r="F452" i="1"/>
  <c r="H451" i="1"/>
  <c r="F451" i="1" s="1"/>
  <c r="H450" i="1"/>
  <c r="F450" i="1" s="1"/>
  <c r="H447" i="1"/>
  <c r="F447" i="1"/>
  <c r="H446" i="1"/>
  <c r="F446" i="1"/>
  <c r="H445" i="1"/>
  <c r="F445" i="1"/>
  <c r="H444" i="1"/>
  <c r="F444" i="1"/>
  <c r="H443" i="1"/>
  <c r="F443" i="1"/>
  <c r="H442" i="1"/>
  <c r="F442" i="1" s="1"/>
  <c r="H441" i="1"/>
  <c r="F441" i="1"/>
  <c r="H440" i="1"/>
  <c r="F440" i="1"/>
  <c r="F439" i="1"/>
  <c r="H438" i="1"/>
  <c r="F438" i="1" s="1"/>
  <c r="H437" i="1"/>
  <c r="F437" i="1"/>
  <c r="H436" i="1"/>
  <c r="F436" i="1"/>
  <c r="H433" i="1"/>
  <c r="F433" i="1"/>
  <c r="H432" i="1"/>
  <c r="F432" i="1"/>
  <c r="H431" i="1"/>
  <c r="F431" i="1"/>
  <c r="H430" i="1"/>
  <c r="F430" i="1"/>
  <c r="H429" i="1"/>
  <c r="F429" i="1"/>
  <c r="H428" i="1"/>
  <c r="F428" i="1" s="1"/>
  <c r="H427" i="1"/>
  <c r="F427" i="1" s="1"/>
  <c r="H426" i="1"/>
  <c r="F426" i="1" s="1"/>
  <c r="H425" i="1"/>
  <c r="F425" i="1"/>
  <c r="H424" i="1"/>
  <c r="F424" i="1"/>
  <c r="H423" i="1"/>
  <c r="F423" i="1"/>
  <c r="H422" i="1"/>
  <c r="F422" i="1"/>
  <c r="H421" i="1"/>
  <c r="F421" i="1"/>
  <c r="H420" i="1"/>
  <c r="F420" i="1"/>
  <c r="H419" i="1"/>
  <c r="F419" i="1"/>
  <c r="H418" i="1"/>
  <c r="F418" i="1" s="1"/>
  <c r="H417" i="1"/>
  <c r="F417" i="1" s="1"/>
  <c r="H416" i="1"/>
  <c r="F416" i="1" s="1"/>
  <c r="H415" i="1"/>
  <c r="F415" i="1"/>
  <c r="H414" i="1"/>
  <c r="F414" i="1"/>
  <c r="H413" i="1"/>
  <c r="F413" i="1"/>
  <c r="H412" i="1"/>
  <c r="F412" i="1"/>
  <c r="H411" i="1"/>
  <c r="F411" i="1"/>
  <c r="H410" i="1"/>
  <c r="F410" i="1"/>
  <c r="H409" i="1"/>
  <c r="F409" i="1"/>
  <c r="H408" i="1"/>
  <c r="F408" i="1" s="1"/>
  <c r="H407" i="1"/>
  <c r="F407" i="1" s="1"/>
  <c r="H406" i="1"/>
  <c r="F406" i="1" s="1"/>
  <c r="H405" i="1"/>
  <c r="F405" i="1"/>
  <c r="H404" i="1"/>
  <c r="F404" i="1"/>
  <c r="H403" i="1"/>
  <c r="F403" i="1"/>
  <c r="H402" i="1"/>
  <c r="F402" i="1"/>
  <c r="H401" i="1"/>
  <c r="F401" i="1"/>
  <c r="H400" i="1"/>
  <c r="F400" i="1"/>
  <c r="H399" i="1"/>
  <c r="F399" i="1"/>
  <c r="H398" i="1"/>
  <c r="F398" i="1" s="1"/>
  <c r="H397" i="1"/>
  <c r="F397" i="1" s="1"/>
  <c r="H394" i="1"/>
  <c r="F394" i="1" s="1"/>
  <c r="H393" i="1"/>
  <c r="F393" i="1"/>
  <c r="H392" i="1"/>
  <c r="F392" i="1"/>
  <c r="H391" i="1"/>
  <c r="F391" i="1"/>
  <c r="H390" i="1"/>
  <c r="F390" i="1"/>
  <c r="H389" i="1"/>
  <c r="F389" i="1"/>
  <c r="H388" i="1"/>
  <c r="F388" i="1"/>
  <c r="H387" i="1"/>
  <c r="F387" i="1"/>
  <c r="H386" i="1"/>
  <c r="F386" i="1" s="1"/>
  <c r="H385" i="1"/>
  <c r="F385" i="1" s="1"/>
  <c r="H384" i="1"/>
  <c r="F384" i="1" s="1"/>
  <c r="H383" i="1"/>
  <c r="F383" i="1"/>
  <c r="H382" i="1"/>
  <c r="F382" i="1"/>
  <c r="H381" i="1"/>
  <c r="F381" i="1"/>
  <c r="H380" i="1"/>
  <c r="F380" i="1"/>
  <c r="H379" i="1"/>
  <c r="F379" i="1"/>
  <c r="H378" i="1"/>
  <c r="F378" i="1"/>
  <c r="H377" i="1"/>
  <c r="F377" i="1"/>
  <c r="H376" i="1"/>
  <c r="F376" i="1" s="1"/>
  <c r="H375" i="1"/>
  <c r="F375" i="1" s="1"/>
  <c r="H374" i="1"/>
  <c r="F374" i="1" s="1"/>
  <c r="H373" i="1"/>
  <c r="F373" i="1"/>
  <c r="H372" i="1"/>
  <c r="F372" i="1"/>
  <c r="H371" i="1"/>
  <c r="F371" i="1"/>
  <c r="H370" i="1"/>
  <c r="F370" i="1"/>
  <c r="H367" i="1"/>
  <c r="F367" i="1"/>
  <c r="H366" i="1"/>
  <c r="F366" i="1"/>
  <c r="H365" i="1"/>
  <c r="F365" i="1"/>
  <c r="H364" i="1"/>
  <c r="F364" i="1" s="1"/>
  <c r="H363" i="1"/>
  <c r="F363" i="1" s="1"/>
  <c r="H362" i="1"/>
  <c r="F362" i="1" s="1"/>
  <c r="H361" i="1"/>
  <c r="F361" i="1"/>
  <c r="H360" i="1"/>
  <c r="F360" i="1"/>
  <c r="H359" i="1"/>
  <c r="F359" i="1"/>
  <c r="H358" i="1"/>
  <c r="F358" i="1"/>
  <c r="H357" i="1"/>
  <c r="F357" i="1"/>
  <c r="H356" i="1"/>
  <c r="F356" i="1"/>
  <c r="H355" i="1"/>
  <c r="F355" i="1"/>
  <c r="H354" i="1"/>
  <c r="F354" i="1" s="1"/>
  <c r="H353" i="1"/>
  <c r="F353" i="1" s="1"/>
  <c r="H352" i="1"/>
  <c r="F352" i="1" s="1"/>
  <c r="H351" i="1"/>
  <c r="F351" i="1"/>
  <c r="H350" i="1"/>
  <c r="F350" i="1"/>
  <c r="H345" i="1"/>
  <c r="F345" i="1"/>
  <c r="H342" i="1"/>
  <c r="F342" i="1"/>
  <c r="H339" i="1"/>
  <c r="F339" i="1"/>
  <c r="H338" i="1"/>
  <c r="F338" i="1"/>
  <c r="H333" i="1"/>
  <c r="F333" i="1"/>
  <c r="F332" i="1"/>
  <c r="F331" i="1"/>
  <c r="F330" i="1"/>
  <c r="H329" i="1"/>
  <c r="F329" i="1" s="1"/>
  <c r="H328" i="1"/>
  <c r="F328" i="1" s="1"/>
  <c r="H327" i="1"/>
  <c r="F327" i="1"/>
  <c r="H326" i="1"/>
  <c r="F326" i="1"/>
  <c r="H325" i="1"/>
  <c r="F325" i="1"/>
  <c r="H324" i="1"/>
  <c r="F324" i="1"/>
  <c r="H323" i="1"/>
  <c r="F323" i="1"/>
  <c r="H322" i="1"/>
  <c r="F322" i="1" s="1"/>
  <c r="H321" i="1"/>
  <c r="F321" i="1"/>
  <c r="H320" i="1"/>
  <c r="F320" i="1"/>
  <c r="H317" i="1"/>
  <c r="F317" i="1" s="1"/>
  <c r="H316" i="1"/>
  <c r="F316" i="1" s="1"/>
  <c r="H315" i="1"/>
  <c r="F315" i="1"/>
  <c r="H314" i="1"/>
  <c r="F314" i="1"/>
  <c r="H313" i="1"/>
  <c r="F313" i="1"/>
  <c r="H310" i="1"/>
  <c r="F310" i="1"/>
  <c r="H309" i="1"/>
  <c r="F309" i="1"/>
  <c r="H306" i="1"/>
  <c r="F306" i="1" s="1"/>
  <c r="H305" i="1"/>
  <c r="F305" i="1"/>
  <c r="H304" i="1"/>
  <c r="F304" i="1"/>
  <c r="H303" i="1"/>
  <c r="F303" i="1" s="1"/>
  <c r="H302" i="1"/>
  <c r="F302" i="1" s="1"/>
  <c r="H301" i="1"/>
  <c r="F301" i="1"/>
  <c r="H300" i="1"/>
  <c r="F300" i="1"/>
  <c r="H297" i="1"/>
  <c r="F297" i="1"/>
  <c r="H296" i="1"/>
  <c r="F296" i="1"/>
  <c r="H295" i="1"/>
  <c r="F295" i="1"/>
  <c r="H294" i="1"/>
  <c r="F294" i="1" s="1"/>
  <c r="H293" i="1"/>
  <c r="F293" i="1"/>
  <c r="H292" i="1"/>
  <c r="F292" i="1"/>
  <c r="H291" i="1"/>
  <c r="F291" i="1" s="1"/>
  <c r="H288" i="1"/>
  <c r="F288" i="1" s="1"/>
  <c r="H287" i="1"/>
  <c r="F287" i="1"/>
  <c r="H286" i="1"/>
  <c r="F286" i="1"/>
  <c r="H283" i="1"/>
  <c r="F283" i="1"/>
  <c r="H282" i="1"/>
  <c r="F282" i="1"/>
  <c r="H279" i="1"/>
  <c r="F279" i="1"/>
  <c r="H278" i="1"/>
  <c r="F278" i="1" s="1"/>
  <c r="H277" i="1"/>
  <c r="F277" i="1"/>
  <c r="H276" i="1"/>
  <c r="F276" i="1"/>
  <c r="H275" i="1"/>
  <c r="F275" i="1" s="1"/>
  <c r="H274" i="1"/>
  <c r="F274" i="1" s="1"/>
  <c r="H273" i="1"/>
  <c r="F273" i="1"/>
  <c r="H272" i="1"/>
  <c r="F272" i="1"/>
  <c r="H271" i="1"/>
  <c r="F271" i="1"/>
  <c r="H268" i="1"/>
  <c r="F268" i="1"/>
  <c r="H267" i="1"/>
  <c r="F267" i="1"/>
  <c r="H266" i="1"/>
  <c r="F266" i="1" s="1"/>
  <c r="H265" i="1"/>
  <c r="F265" i="1"/>
  <c r="H264" i="1"/>
  <c r="F264" i="1"/>
  <c r="H263" i="1"/>
  <c r="F263" i="1" s="1"/>
  <c r="H262" i="1"/>
  <c r="F262" i="1" s="1"/>
  <c r="H261" i="1"/>
  <c r="F261" i="1"/>
  <c r="H260" i="1"/>
  <c r="F260" i="1"/>
  <c r="H259" i="1"/>
  <c r="F259" i="1"/>
  <c r="H258" i="1"/>
  <c r="F258" i="1"/>
  <c r="H257" i="1"/>
  <c r="F257" i="1"/>
  <c r="H256" i="1"/>
  <c r="F256" i="1" s="1"/>
  <c r="H255" i="1"/>
  <c r="F255" i="1"/>
  <c r="H254" i="1"/>
  <c r="F254" i="1"/>
  <c r="H253" i="1"/>
  <c r="F253" i="1" s="1"/>
  <c r="H252" i="1"/>
  <c r="F252" i="1" s="1"/>
  <c r="H251" i="1"/>
  <c r="F251" i="1"/>
  <c r="H250" i="1"/>
  <c r="F250" i="1"/>
  <c r="H249" i="1"/>
  <c r="F249" i="1"/>
  <c r="H248" i="1"/>
  <c r="F248" i="1"/>
  <c r="H247" i="1"/>
  <c r="F247" i="1"/>
  <c r="H246" i="1"/>
  <c r="F246" i="1" s="1"/>
  <c r="H245" i="1"/>
  <c r="F245" i="1"/>
  <c r="H244" i="1"/>
  <c r="F244" i="1"/>
  <c r="H243" i="1"/>
  <c r="F243" i="1" s="1"/>
  <c r="H242" i="1"/>
  <c r="F242" i="1" s="1"/>
  <c r="H240" i="1"/>
  <c r="F240" i="1"/>
  <c r="H239" i="1"/>
  <c r="F239" i="1"/>
  <c r="H238" i="1"/>
  <c r="F238" i="1"/>
  <c r="H237" i="1"/>
  <c r="F237" i="1"/>
  <c r="H236" i="1"/>
  <c r="F236" i="1"/>
  <c r="H235" i="1"/>
  <c r="F235" i="1" s="1"/>
  <c r="H232" i="1"/>
  <c r="F232" i="1"/>
  <c r="H231" i="1"/>
  <c r="F231" i="1"/>
  <c r="H230" i="1"/>
  <c r="F230" i="1" s="1"/>
  <c r="H229" i="1"/>
  <c r="F229" i="1" s="1"/>
  <c r="H228" i="1"/>
  <c r="F228" i="1"/>
  <c r="H227" i="1"/>
  <c r="F227" i="1"/>
  <c r="H226" i="1"/>
  <c r="F226" i="1"/>
  <c r="H225" i="1"/>
  <c r="F225" i="1"/>
  <c r="H224" i="1"/>
  <c r="F224" i="1"/>
  <c r="H223" i="1"/>
  <c r="F223" i="1" s="1"/>
  <c r="H222" i="1"/>
  <c r="F222" i="1"/>
  <c r="H221" i="1"/>
  <c r="F221" i="1"/>
  <c r="H220" i="1"/>
  <c r="F220" i="1" s="1"/>
  <c r="H219" i="1"/>
  <c r="F219" i="1" s="1"/>
  <c r="H216" i="1"/>
  <c r="F216" i="1"/>
  <c r="H215" i="1"/>
  <c r="F215" i="1"/>
  <c r="H214" i="1"/>
  <c r="F214" i="1"/>
  <c r="H211" i="1"/>
  <c r="F211" i="1"/>
  <c r="H210" i="1"/>
  <c r="F210" i="1"/>
  <c r="H209" i="1"/>
  <c r="F209" i="1" s="1"/>
  <c r="H208" i="1"/>
  <c r="F208" i="1"/>
  <c r="H207" i="1"/>
  <c r="F207" i="1"/>
  <c r="H206" i="1"/>
  <c r="F206" i="1" s="1"/>
  <c r="H205" i="1"/>
  <c r="F205" i="1" s="1"/>
  <c r="H204" i="1"/>
  <c r="F204" i="1"/>
  <c r="H203" i="1"/>
  <c r="F203" i="1"/>
  <c r="H202" i="1"/>
  <c r="F202" i="1"/>
  <c r="H201" i="1"/>
  <c r="F201" i="1"/>
  <c r="H200" i="1"/>
  <c r="F200" i="1"/>
  <c r="H199" i="1"/>
  <c r="F199" i="1" s="1"/>
  <c r="F198" i="1"/>
  <c r="H197" i="1"/>
  <c r="F197" i="1" s="1"/>
  <c r="H196" i="1"/>
  <c r="F196" i="1" s="1"/>
  <c r="H195" i="1"/>
  <c r="F195" i="1" s="1"/>
  <c r="H192" i="1"/>
  <c r="F192" i="1"/>
  <c r="H191" i="1"/>
  <c r="F191" i="1"/>
  <c r="H190" i="1"/>
  <c r="F190" i="1"/>
  <c r="H189" i="1"/>
  <c r="F189" i="1"/>
  <c r="H188" i="1"/>
  <c r="F188" i="1"/>
  <c r="H187" i="1"/>
  <c r="F187" i="1"/>
  <c r="H186" i="1"/>
  <c r="F186" i="1"/>
  <c r="H185" i="1"/>
  <c r="F185" i="1" s="1"/>
  <c r="H184" i="1"/>
  <c r="F184" i="1" s="1"/>
  <c r="H183" i="1"/>
  <c r="F183" i="1" s="1"/>
  <c r="H182" i="1"/>
  <c r="F182" i="1"/>
  <c r="H179" i="1"/>
  <c r="F179" i="1"/>
  <c r="H178" i="1"/>
  <c r="F178" i="1"/>
  <c r="H177" i="1"/>
  <c r="F177" i="1"/>
  <c r="H176" i="1"/>
  <c r="F176" i="1"/>
  <c r="H175" i="1"/>
  <c r="F175" i="1"/>
  <c r="H174" i="1"/>
  <c r="F174" i="1"/>
  <c r="H173" i="1"/>
  <c r="F173" i="1" s="1"/>
  <c r="H172" i="1"/>
  <c r="F172" i="1" s="1"/>
  <c r="H171" i="1"/>
  <c r="F171" i="1" s="1"/>
  <c r="H170" i="1"/>
  <c r="F170" i="1"/>
  <c r="H167" i="1"/>
  <c r="F167" i="1"/>
  <c r="H166" i="1"/>
  <c r="F166" i="1"/>
  <c r="H165" i="1"/>
  <c r="F165" i="1"/>
  <c r="H164" i="1"/>
  <c r="F164" i="1"/>
  <c r="H163" i="1"/>
  <c r="F163" i="1"/>
  <c r="H162" i="1"/>
  <c r="F162" i="1"/>
  <c r="H161" i="1"/>
  <c r="F161" i="1" s="1"/>
  <c r="H160" i="1"/>
  <c r="F160" i="1" s="1"/>
  <c r="H159" i="1"/>
  <c r="F159" i="1" s="1"/>
  <c r="H158" i="1"/>
  <c r="F158" i="1"/>
  <c r="H157" i="1"/>
  <c r="F157" i="1"/>
  <c r="H156" i="1"/>
  <c r="F156" i="1"/>
  <c r="H155" i="1"/>
  <c r="F155" i="1"/>
  <c r="H154" i="1"/>
  <c r="F154" i="1"/>
  <c r="H153" i="1"/>
  <c r="F153" i="1"/>
  <c r="H152" i="1"/>
  <c r="F152" i="1"/>
  <c r="H151" i="1"/>
  <c r="F151" i="1" s="1"/>
  <c r="H148" i="1"/>
  <c r="F148" i="1" s="1"/>
  <c r="H147" i="1"/>
  <c r="F147" i="1" s="1"/>
  <c r="H146" i="1"/>
  <c r="F146" i="1"/>
  <c r="H145" i="1"/>
  <c r="F145" i="1"/>
  <c r="H144" i="1"/>
  <c r="F144" i="1"/>
  <c r="H141" i="1"/>
  <c r="F141" i="1"/>
  <c r="H140" i="1"/>
  <c r="F140" i="1"/>
  <c r="H139" i="1"/>
  <c r="F139" i="1"/>
  <c r="H138" i="1"/>
  <c r="F138" i="1"/>
  <c r="H137" i="1"/>
  <c r="F137" i="1" s="1"/>
  <c r="H134" i="1"/>
  <c r="F134" i="1" s="1"/>
  <c r="H133" i="1"/>
  <c r="F133" i="1" s="1"/>
  <c r="H132" i="1"/>
  <c r="F132" i="1"/>
  <c r="H129" i="1"/>
  <c r="F129" i="1"/>
  <c r="H128" i="1"/>
  <c r="F128" i="1"/>
  <c r="H127" i="1"/>
  <c r="F127" i="1"/>
  <c r="H126" i="1"/>
  <c r="F126" i="1"/>
  <c r="H125" i="1"/>
  <c r="F125" i="1"/>
  <c r="H124" i="1"/>
  <c r="F124" i="1"/>
  <c r="H123" i="1"/>
  <c r="F123" i="1" s="1"/>
  <c r="H122" i="1"/>
  <c r="F122" i="1" s="1"/>
  <c r="H121" i="1"/>
  <c r="F121" i="1" s="1"/>
  <c r="H120" i="1"/>
  <c r="F120" i="1"/>
  <c r="H119" i="1"/>
  <c r="F119" i="1"/>
  <c r="H118" i="1"/>
  <c r="F118" i="1"/>
  <c r="H117" i="1"/>
  <c r="F117" i="1"/>
  <c r="H116" i="1"/>
  <c r="F116" i="1"/>
  <c r="H115" i="1"/>
  <c r="F115" i="1"/>
  <c r="H114" i="1"/>
  <c r="F114" i="1"/>
  <c r="H113" i="1"/>
  <c r="F113" i="1" s="1"/>
  <c r="H112" i="1"/>
  <c r="F112" i="1" s="1"/>
  <c r="H109" i="1"/>
  <c r="F109" i="1" s="1"/>
  <c r="H108" i="1"/>
  <c r="F108" i="1"/>
  <c r="H107" i="1"/>
  <c r="F107" i="1"/>
  <c r="H106" i="1"/>
  <c r="F106" i="1"/>
  <c r="H105" i="1"/>
  <c r="F105" i="1"/>
  <c r="H104" i="1"/>
  <c r="F104" i="1"/>
  <c r="H103" i="1"/>
  <c r="F103" i="1"/>
  <c r="H102" i="1"/>
  <c r="F102" i="1"/>
  <c r="H101" i="1"/>
  <c r="F101" i="1" s="1"/>
  <c r="H100" i="1"/>
  <c r="F100" i="1" s="1"/>
  <c r="H99" i="1"/>
  <c r="F99" i="1" s="1"/>
  <c r="H98" i="1"/>
  <c r="F98" i="1"/>
  <c r="H95" i="1"/>
  <c r="F95" i="1"/>
  <c r="H94" i="1"/>
  <c r="F94" i="1"/>
  <c r="H93" i="1"/>
  <c r="F93" i="1"/>
  <c r="H92" i="1"/>
  <c r="F92" i="1"/>
  <c r="H91" i="1"/>
  <c r="F91" i="1"/>
  <c r="H90" i="1"/>
  <c r="F90" i="1"/>
  <c r="H89" i="1"/>
  <c r="F89" i="1" s="1"/>
  <c r="H88" i="1"/>
  <c r="F88" i="1" s="1"/>
  <c r="H87" i="1"/>
  <c r="F87" i="1" s="1"/>
  <c r="H86" i="1"/>
  <c r="F86" i="1"/>
  <c r="H85" i="1"/>
  <c r="F85" i="1"/>
  <c r="H84" i="1"/>
  <c r="F84" i="1"/>
  <c r="H83" i="1"/>
  <c r="F83" i="1"/>
  <c r="H82" i="1"/>
  <c r="F82" i="1"/>
  <c r="H79" i="1"/>
  <c r="F79" i="1"/>
  <c r="H78" i="1"/>
  <c r="F78" i="1"/>
  <c r="H77" i="1"/>
  <c r="F77" i="1" s="1"/>
  <c r="Q76" i="1"/>
  <c r="H76" i="1"/>
  <c r="F76" i="1" s="1"/>
  <c r="Q75" i="1"/>
  <c r="H75" i="1"/>
  <c r="F75" i="1" s="1"/>
  <c r="Q74" i="1"/>
  <c r="H74" i="1"/>
  <c r="F74" i="1"/>
  <c r="Q73" i="1"/>
  <c r="H73" i="1"/>
  <c r="F73" i="1"/>
  <c r="Q72" i="1"/>
  <c r="H72" i="1"/>
  <c r="F72" i="1"/>
  <c r="Q71" i="1"/>
  <c r="H71" i="1"/>
  <c r="F71" i="1"/>
  <c r="Q70" i="1"/>
  <c r="H70" i="1"/>
  <c r="F70" i="1"/>
  <c r="Q69" i="1"/>
  <c r="H69" i="1"/>
  <c r="F69" i="1" s="1"/>
  <c r="Q68" i="1"/>
  <c r="H68" i="1"/>
  <c r="F68" i="1"/>
  <c r="Q67" i="1"/>
  <c r="H67" i="1"/>
  <c r="F67" i="1"/>
  <c r="Q66" i="1"/>
  <c r="H66" i="1"/>
  <c r="F66" i="1"/>
  <c r="Q65" i="1"/>
  <c r="H65" i="1"/>
  <c r="F65" i="1"/>
  <c r="Q64" i="1"/>
  <c r="H64" i="1"/>
  <c r="F64" i="1"/>
  <c r="Q63" i="1"/>
  <c r="H63" i="1"/>
  <c r="F63" i="1" s="1"/>
  <c r="Q62" i="1"/>
  <c r="H62" i="1"/>
  <c r="F62" i="1" s="1"/>
  <c r="Q61" i="1"/>
  <c r="H61" i="1"/>
  <c r="F61" i="1"/>
  <c r="Q60" i="1"/>
  <c r="H60" i="1"/>
  <c r="F60" i="1"/>
  <c r="Q59" i="1"/>
  <c r="H59" i="1"/>
  <c r="F59" i="1"/>
  <c r="Q58" i="1"/>
  <c r="H58" i="1"/>
  <c r="F58" i="1" s="1"/>
  <c r="Q57" i="1"/>
  <c r="H57" i="1"/>
  <c r="F57" i="1" s="1"/>
  <c r="Q56" i="1"/>
  <c r="H56" i="1"/>
  <c r="F56" i="1" s="1"/>
  <c r="Q55" i="1"/>
  <c r="H55" i="1"/>
  <c r="F55" i="1"/>
  <c r="Q54" i="1"/>
  <c r="H54" i="1"/>
  <c r="F54" i="1"/>
  <c r="Q53" i="1"/>
  <c r="H53" i="1"/>
  <c r="F53" i="1"/>
  <c r="Q52" i="1"/>
  <c r="H52" i="1"/>
  <c r="F52" i="1"/>
  <c r="Q51" i="1"/>
  <c r="H51" i="1"/>
  <c r="F51" i="1"/>
  <c r="Q50" i="1"/>
  <c r="H50" i="1"/>
  <c r="F50" i="1"/>
  <c r="T49" i="1"/>
  <c r="Q49" i="1"/>
  <c r="H49" i="1"/>
  <c r="F49" i="1" s="1"/>
  <c r="T48" i="1"/>
  <c r="Q48" i="1"/>
  <c r="H48" i="1"/>
  <c r="F48" i="1"/>
  <c r="T47" i="1"/>
  <c r="Q47" i="1"/>
  <c r="H47" i="1"/>
  <c r="F47" i="1"/>
  <c r="T46" i="1"/>
  <c r="Q46" i="1"/>
  <c r="H46" i="1"/>
  <c r="F46" i="1" s="1"/>
  <c r="T45" i="1"/>
  <c r="Q45" i="1"/>
  <c r="H45" i="1"/>
  <c r="F45" i="1"/>
  <c r="T44" i="1"/>
  <c r="Q44" i="1"/>
  <c r="H44" i="1"/>
  <c r="F44" i="1" s="1"/>
  <c r="T43" i="1"/>
  <c r="Q43" i="1"/>
  <c r="H43" i="1"/>
  <c r="F43" i="1"/>
  <c r="T42" i="1"/>
  <c r="Q42" i="1"/>
  <c r="H42" i="1"/>
  <c r="F42" i="1"/>
  <c r="T41" i="1"/>
  <c r="Q41" i="1"/>
  <c r="H41" i="1"/>
  <c r="F41" i="1" s="1"/>
  <c r="T40" i="1"/>
  <c r="Q40" i="1"/>
  <c r="H40" i="1"/>
  <c r="F40" i="1"/>
  <c r="T39" i="1"/>
  <c r="Q39" i="1"/>
  <c r="H39" i="1"/>
  <c r="F39" i="1" s="1"/>
  <c r="T38" i="1"/>
  <c r="Q38" i="1"/>
  <c r="H38" i="1"/>
  <c r="F38" i="1"/>
  <c r="T37" i="1"/>
  <c r="Q37" i="1"/>
  <c r="H37" i="1"/>
  <c r="F37" i="1"/>
  <c r="T36" i="1"/>
  <c r="Q36" i="1"/>
  <c r="H36" i="1"/>
  <c r="F36" i="1" s="1"/>
  <c r="T35" i="1"/>
  <c r="Q35" i="1"/>
  <c r="H35" i="1"/>
  <c r="F35" i="1"/>
  <c r="T34" i="1"/>
  <c r="Q34" i="1"/>
  <c r="H34" i="1"/>
  <c r="F34" i="1" s="1"/>
  <c r="T33" i="1"/>
  <c r="Q33" i="1"/>
  <c r="H33" i="1"/>
  <c r="F33" i="1"/>
  <c r="T32" i="1"/>
  <c r="Q32" i="1"/>
  <c r="H32" i="1"/>
  <c r="F32" i="1"/>
  <c r="T31" i="1"/>
  <c r="Q31" i="1"/>
  <c r="H31" i="1"/>
  <c r="F31" i="1" s="1"/>
  <c r="W30" i="1"/>
  <c r="T30" i="1"/>
  <c r="Q30" i="1"/>
  <c r="H30" i="1"/>
  <c r="F30" i="1"/>
  <c r="W29" i="1"/>
  <c r="T29" i="1"/>
  <c r="Q29" i="1"/>
  <c r="H29" i="1"/>
  <c r="F29" i="1"/>
  <c r="W28" i="1"/>
  <c r="T28" i="1"/>
  <c r="Q28" i="1"/>
  <c r="H28" i="1"/>
  <c r="F28" i="1"/>
  <c r="W27" i="1"/>
  <c r="T27" i="1"/>
  <c r="Q27" i="1"/>
  <c r="H27" i="1"/>
  <c r="F27" i="1" s="1"/>
  <c r="W26" i="1"/>
  <c r="T26" i="1"/>
  <c r="Q26" i="1"/>
  <c r="H26" i="1"/>
  <c r="F26" i="1"/>
  <c r="W25" i="1"/>
  <c r="T25" i="1"/>
  <c r="Q25" i="1"/>
  <c r="H25" i="1"/>
  <c r="F25" i="1"/>
  <c r="W24" i="1"/>
  <c r="T24" i="1"/>
  <c r="Q24" i="1"/>
  <c r="H24" i="1"/>
  <c r="F24" i="1"/>
  <c r="W23" i="1"/>
  <c r="T23" i="1"/>
  <c r="Q23" i="1"/>
  <c r="H23" i="1"/>
  <c r="F23" i="1" s="1"/>
  <c r="W22" i="1"/>
  <c r="T22" i="1"/>
  <c r="Q22" i="1"/>
  <c r="H22" i="1"/>
  <c r="F22" i="1"/>
  <c r="W21" i="1"/>
  <c r="T21" i="1"/>
  <c r="Q21" i="1"/>
  <c r="H21" i="1"/>
  <c r="F21" i="1"/>
  <c r="W20" i="1"/>
  <c r="T20" i="1"/>
  <c r="Q20" i="1"/>
  <c r="H20" i="1"/>
  <c r="F20" i="1"/>
  <c r="W19" i="1"/>
  <c r="T19" i="1"/>
  <c r="Q19" i="1"/>
  <c r="H19" i="1"/>
  <c r="F19" i="1" s="1"/>
  <c r="W18" i="1"/>
  <c r="T18" i="1"/>
  <c r="Q18" i="1"/>
  <c r="H18" i="1"/>
  <c r="F18" i="1"/>
  <c r="W17" i="1"/>
  <c r="T17" i="1"/>
  <c r="Q17" i="1"/>
  <c r="H17" i="1"/>
  <c r="F17" i="1"/>
  <c r="W16" i="1"/>
  <c r="T16" i="1"/>
  <c r="Q16" i="1"/>
  <c r="H16" i="1"/>
  <c r="F16" i="1"/>
  <c r="W15" i="1"/>
  <c r="T15" i="1"/>
  <c r="Q15" i="1"/>
  <c r="H15" i="1"/>
  <c r="F15" i="1" s="1"/>
  <c r="W14" i="1"/>
  <c r="T14" i="1"/>
  <c r="Q14" i="1"/>
  <c r="H14" i="1"/>
  <c r="F14" i="1"/>
  <c r="W13" i="1"/>
  <c r="T13" i="1"/>
  <c r="Q13" i="1"/>
  <c r="H13" i="1"/>
  <c r="F13" i="1"/>
  <c r="W12" i="1"/>
  <c r="T12" i="1"/>
  <c r="Q12" i="1"/>
  <c r="H12" i="1"/>
  <c r="F12" i="1"/>
  <c r="W11" i="1"/>
  <c r="Q11" i="1"/>
  <c r="H11" i="1"/>
  <c r="F11" i="1"/>
  <c r="W10" i="1"/>
  <c r="Q10" i="1"/>
  <c r="H10" i="1"/>
  <c r="F10" i="1" s="1"/>
  <c r="W9" i="1"/>
  <c r="Q9" i="1"/>
  <c r="H9" i="1"/>
  <c r="F9" i="1" s="1"/>
  <c r="W8" i="1"/>
  <c r="Q8" i="1"/>
  <c r="H8" i="1"/>
  <c r="F8" i="1"/>
  <c r="W7" i="1"/>
  <c r="T7" i="1"/>
  <c r="Q7" i="1"/>
  <c r="H7" i="1"/>
  <c r="F7" i="1"/>
  <c r="W6" i="1"/>
  <c r="T6" i="1"/>
  <c r="Q6" i="1"/>
  <c r="H6" i="1"/>
  <c r="F6" i="1"/>
  <c r="W5" i="1"/>
  <c r="T5" i="1"/>
  <c r="Q5" i="1"/>
  <c r="H5" i="1"/>
  <c r="F5" i="1"/>
  <c r="W4" i="1"/>
  <c r="T4" i="1"/>
  <c r="Q4" i="1"/>
  <c r="H4" i="1"/>
  <c r="F4" i="1"/>
  <c r="E2" i="1"/>
  <c r="F2" i="1" s="1"/>
  <c r="L1061" i="15"/>
  <c r="I1061" i="15"/>
  <c r="B1061" i="15"/>
  <c r="B1060" i="15"/>
  <c r="L1059" i="15"/>
  <c r="I1059" i="15"/>
  <c r="B1059" i="15"/>
  <c r="L1036" i="15"/>
  <c r="K1036" i="15"/>
  <c r="I1036" i="15"/>
  <c r="B1036" i="15"/>
  <c r="L1035" i="15"/>
  <c r="K1035" i="15"/>
  <c r="I1035" i="15"/>
  <c r="B1035" i="15"/>
  <c r="L1034" i="15"/>
  <c r="K1034" i="15"/>
  <c r="I1034" i="15"/>
  <c r="B1034" i="15"/>
  <c r="L1033" i="15"/>
  <c r="K1033" i="15"/>
  <c r="I1033" i="15"/>
  <c r="B1033" i="15"/>
  <c r="L1032" i="15"/>
  <c r="K1032" i="15"/>
  <c r="I1032" i="15"/>
  <c r="B1032" i="15"/>
  <c r="L1031" i="15"/>
  <c r="K1031" i="15"/>
  <c r="I1031" i="15"/>
  <c r="B1031" i="15"/>
  <c r="L1030" i="15"/>
  <c r="K1030" i="15"/>
  <c r="I1030" i="15"/>
  <c r="B1030" i="15"/>
  <c r="L1029" i="15"/>
  <c r="B1029" i="15"/>
  <c r="K1028" i="15"/>
  <c r="I1028" i="15"/>
  <c r="B1028" i="15"/>
  <c r="L1027" i="15"/>
  <c r="B1027" i="15"/>
  <c r="K1026" i="15"/>
  <c r="I1026" i="15"/>
  <c r="B1026" i="15"/>
  <c r="L1025" i="15"/>
  <c r="B1025" i="15"/>
  <c r="K1024" i="15"/>
  <c r="I1024" i="15"/>
  <c r="B1024" i="15"/>
  <c r="L1023" i="15"/>
  <c r="B1023" i="15"/>
  <c r="K1022" i="15"/>
  <c r="I1022" i="15"/>
  <c r="B1022" i="15"/>
  <c r="L1021" i="15"/>
  <c r="B1021" i="15"/>
  <c r="K1020" i="15"/>
  <c r="I1020" i="15"/>
  <c r="B1020" i="15"/>
  <c r="L1019" i="15"/>
  <c r="J1019" i="15"/>
  <c r="K1019" i="15" s="1"/>
  <c r="B1019" i="15"/>
  <c r="L1018" i="15"/>
  <c r="J1018" i="15"/>
  <c r="K1018" i="15" s="1"/>
  <c r="B1018" i="15"/>
  <c r="L1017" i="15"/>
  <c r="J1017" i="15"/>
  <c r="K1017" i="15" s="1"/>
  <c r="B1017" i="15"/>
  <c r="L1016" i="15"/>
  <c r="J1016" i="15"/>
  <c r="K1016" i="15" s="1"/>
  <c r="B1016" i="15"/>
  <c r="L1015" i="15"/>
  <c r="J1015" i="15"/>
  <c r="K1015" i="15" s="1"/>
  <c r="B1015" i="15"/>
  <c r="L1014" i="15"/>
  <c r="K1014" i="15"/>
  <c r="I1014" i="15"/>
  <c r="B1014" i="15"/>
  <c r="L1013" i="15"/>
  <c r="K1013" i="15"/>
  <c r="I1013" i="15"/>
  <c r="B1013" i="15"/>
  <c r="L1012" i="15"/>
  <c r="K1012" i="15"/>
  <c r="I1012" i="15"/>
  <c r="B1012" i="15"/>
  <c r="L1011" i="15"/>
  <c r="K1011" i="15"/>
  <c r="I1011" i="15"/>
  <c r="B1011" i="15"/>
  <c r="L1010" i="15"/>
  <c r="K1010" i="15"/>
  <c r="I1010" i="15"/>
  <c r="B1010" i="15"/>
  <c r="L1009" i="15"/>
  <c r="K1009" i="15"/>
  <c r="I1009" i="15"/>
  <c r="B1009" i="15"/>
  <c r="L1008" i="15"/>
  <c r="K1008" i="15"/>
  <c r="I1008" i="15"/>
  <c r="B1008" i="15"/>
  <c r="L1007" i="15"/>
  <c r="K1007" i="15"/>
  <c r="I1007" i="15"/>
  <c r="B1007" i="15"/>
  <c r="L1006" i="15"/>
  <c r="K1006" i="15"/>
  <c r="I1006" i="15"/>
  <c r="B1006" i="15"/>
  <c r="L1005" i="15"/>
  <c r="K1005" i="15"/>
  <c r="I1005" i="15"/>
  <c r="B1005" i="15"/>
  <c r="L1004" i="15"/>
  <c r="K1004" i="15"/>
  <c r="I1004" i="15"/>
  <c r="B1004" i="15"/>
  <c r="L1003" i="15"/>
  <c r="K1003" i="15"/>
  <c r="I1003" i="15"/>
  <c r="B1003" i="15"/>
  <c r="L1002" i="15"/>
  <c r="K1002" i="15"/>
  <c r="I1002" i="15"/>
  <c r="B1002" i="15"/>
  <c r="L1001" i="15"/>
  <c r="K1001" i="15"/>
  <c r="I1001" i="15"/>
  <c r="B1001" i="15"/>
  <c r="L1000" i="15"/>
  <c r="B1000" i="15"/>
  <c r="K999" i="15"/>
  <c r="I999" i="15"/>
  <c r="B999" i="15"/>
  <c r="L998" i="15"/>
  <c r="B998" i="15"/>
  <c r="K997" i="15"/>
  <c r="I997" i="15"/>
  <c r="B997" i="15"/>
  <c r="L996" i="15"/>
  <c r="B996" i="15"/>
  <c r="K995" i="15"/>
  <c r="I995" i="15"/>
  <c r="B995" i="15"/>
  <c r="L994" i="15"/>
  <c r="B994" i="15"/>
  <c r="K993" i="15"/>
  <c r="I993" i="15"/>
  <c r="B993" i="15"/>
  <c r="L992" i="15"/>
  <c r="B992" i="15"/>
  <c r="K991" i="15"/>
  <c r="I991" i="15"/>
  <c r="B991" i="15"/>
  <c r="L990" i="15"/>
  <c r="K990" i="15"/>
  <c r="I990" i="15"/>
  <c r="B990" i="15"/>
  <c r="L989" i="15"/>
  <c r="K989" i="15"/>
  <c r="I989" i="15"/>
  <c r="B989" i="15"/>
  <c r="L988" i="15"/>
  <c r="K988" i="15"/>
  <c r="I988" i="15"/>
  <c r="B988" i="15"/>
  <c r="L987" i="15"/>
  <c r="J987" i="15"/>
  <c r="I987" i="15" s="1"/>
  <c r="B987" i="15"/>
  <c r="L986" i="15"/>
  <c r="K986" i="15"/>
  <c r="I986" i="15"/>
  <c r="B986" i="15"/>
  <c r="L985" i="15"/>
  <c r="K985" i="15"/>
  <c r="I985" i="15"/>
  <c r="B985" i="15"/>
  <c r="L984" i="15"/>
  <c r="K984" i="15"/>
  <c r="I984" i="15"/>
  <c r="B984" i="15"/>
  <c r="L983" i="15"/>
  <c r="K983" i="15"/>
  <c r="I983" i="15"/>
  <c r="B983" i="15"/>
  <c r="L980" i="15"/>
  <c r="K980" i="15"/>
  <c r="I980" i="15"/>
  <c r="B980" i="15"/>
  <c r="L979" i="15"/>
  <c r="K979" i="15"/>
  <c r="I979" i="15"/>
  <c r="B979" i="15"/>
  <c r="L978" i="15"/>
  <c r="K978" i="15"/>
  <c r="I978" i="15"/>
  <c r="B978" i="15"/>
  <c r="L977" i="15"/>
  <c r="J977" i="15"/>
  <c r="I977" i="15" s="1"/>
  <c r="B977" i="15"/>
  <c r="L976" i="15"/>
  <c r="K976" i="15"/>
  <c r="I976" i="15"/>
  <c r="B976" i="15"/>
  <c r="L975" i="15"/>
  <c r="K975" i="15"/>
  <c r="I975" i="15"/>
  <c r="B975" i="15"/>
  <c r="L974" i="15"/>
  <c r="K974" i="15"/>
  <c r="I974" i="15"/>
  <c r="B974" i="15"/>
  <c r="L973" i="15"/>
  <c r="K973" i="15"/>
  <c r="I973" i="15"/>
  <c r="B973" i="15"/>
  <c r="L972" i="15"/>
  <c r="K972" i="15"/>
  <c r="I972" i="15"/>
  <c r="B972" i="15"/>
  <c r="L971" i="15"/>
  <c r="K971" i="15"/>
  <c r="I971" i="15"/>
  <c r="B971" i="15"/>
  <c r="L970" i="15"/>
  <c r="K970" i="15"/>
  <c r="I970" i="15"/>
  <c r="B970" i="15"/>
  <c r="L969" i="15"/>
  <c r="K969" i="15"/>
  <c r="I969" i="15"/>
  <c r="B969" i="15"/>
  <c r="L968" i="15"/>
  <c r="B968" i="15"/>
  <c r="K967" i="15"/>
  <c r="I967" i="15"/>
  <c r="B967" i="15"/>
  <c r="L966" i="15"/>
  <c r="B966" i="15"/>
  <c r="K965" i="15"/>
  <c r="I965" i="15"/>
  <c r="B965" i="15"/>
  <c r="L964" i="15"/>
  <c r="B964" i="15"/>
  <c r="K963" i="15"/>
  <c r="I963" i="15"/>
  <c r="B963" i="15"/>
  <c r="L962" i="15"/>
  <c r="B962" i="15"/>
  <c r="K961" i="15"/>
  <c r="I961" i="15"/>
  <c r="B961" i="15"/>
  <c r="L960" i="15"/>
  <c r="B960" i="15"/>
  <c r="K959" i="15"/>
  <c r="I959" i="15"/>
  <c r="B959" i="15"/>
  <c r="L958" i="15"/>
  <c r="J958" i="15"/>
  <c r="K958" i="15" s="1"/>
  <c r="B958" i="15"/>
  <c r="L957" i="15"/>
  <c r="J957" i="15"/>
  <c r="K957" i="15" s="1"/>
  <c r="B957" i="15"/>
  <c r="L956" i="15"/>
  <c r="J956" i="15"/>
  <c r="K956" i="15" s="1"/>
  <c r="B956" i="15"/>
  <c r="L955" i="15"/>
  <c r="J955" i="15"/>
  <c r="K955" i="15" s="1"/>
  <c r="B955" i="15"/>
  <c r="L954" i="15"/>
  <c r="J954" i="15"/>
  <c r="K954" i="15" s="1"/>
  <c r="B954" i="15"/>
  <c r="L953" i="15"/>
  <c r="K953" i="15"/>
  <c r="I953" i="15"/>
  <c r="B953" i="15"/>
  <c r="L952" i="15"/>
  <c r="K952" i="15"/>
  <c r="I952" i="15"/>
  <c r="B952" i="15"/>
  <c r="L951" i="15"/>
  <c r="K951" i="15"/>
  <c r="I951" i="15"/>
  <c r="B951" i="15"/>
  <c r="L950" i="15"/>
  <c r="K950" i="15"/>
  <c r="I950" i="15"/>
  <c r="B950" i="15"/>
  <c r="L949" i="15"/>
  <c r="K949" i="15"/>
  <c r="I949" i="15"/>
  <c r="B949" i="15"/>
  <c r="L948" i="15"/>
  <c r="K948" i="15"/>
  <c r="I948" i="15"/>
  <c r="B948" i="15"/>
  <c r="L947" i="15"/>
  <c r="K947" i="15"/>
  <c r="I947" i="15"/>
  <c r="B947" i="15"/>
  <c r="L946" i="15"/>
  <c r="K946" i="15"/>
  <c r="I946" i="15"/>
  <c r="B946" i="15"/>
  <c r="L945" i="15"/>
  <c r="K945" i="15"/>
  <c r="B945" i="15"/>
  <c r="L944" i="15"/>
  <c r="K944" i="15"/>
  <c r="I944" i="15"/>
  <c r="B944" i="15"/>
  <c r="L943" i="15"/>
  <c r="K943" i="15"/>
  <c r="I943" i="15"/>
  <c r="B943" i="15"/>
  <c r="L942" i="15"/>
  <c r="K942" i="15"/>
  <c r="I942" i="15"/>
  <c r="B942" i="15"/>
  <c r="L941" i="15"/>
  <c r="K941" i="15"/>
  <c r="I941" i="15"/>
  <c r="B941" i="15"/>
  <c r="L940" i="15"/>
  <c r="K940" i="15"/>
  <c r="I940" i="15"/>
  <c r="B940" i="15"/>
  <c r="L939" i="15"/>
  <c r="K939" i="15"/>
  <c r="I939" i="15"/>
  <c r="B939" i="15"/>
  <c r="L938" i="15"/>
  <c r="K938" i="15"/>
  <c r="I938" i="15"/>
  <c r="B938" i="15"/>
  <c r="L937" i="15"/>
  <c r="K937" i="15"/>
  <c r="I937" i="15"/>
  <c r="B937" i="15"/>
  <c r="L936" i="15"/>
  <c r="K936" i="15"/>
  <c r="I936" i="15"/>
  <c r="B936" i="15"/>
  <c r="L935" i="15"/>
  <c r="K935" i="15"/>
  <c r="I935" i="15"/>
  <c r="B935" i="15"/>
  <c r="L934" i="15"/>
  <c r="K934" i="15"/>
  <c r="I934" i="15"/>
  <c r="B934" i="15"/>
  <c r="L933" i="15"/>
  <c r="K933" i="15"/>
  <c r="I933" i="15"/>
  <c r="B933" i="15"/>
  <c r="L932" i="15"/>
  <c r="K932" i="15"/>
  <c r="I932" i="15"/>
  <c r="B932" i="15"/>
  <c r="L931" i="15"/>
  <c r="K931" i="15"/>
  <c r="I931" i="15"/>
  <c r="B931" i="15"/>
  <c r="L930" i="15"/>
  <c r="K930" i="15"/>
  <c r="I930" i="15"/>
  <c r="B930" i="15"/>
  <c r="L929" i="15"/>
  <c r="B929" i="15"/>
  <c r="K928" i="15"/>
  <c r="I928" i="15"/>
  <c r="B928" i="15"/>
  <c r="L927" i="15"/>
  <c r="B927" i="15"/>
  <c r="K926" i="15"/>
  <c r="I926" i="15"/>
  <c r="B926" i="15"/>
  <c r="L925" i="15"/>
  <c r="B925" i="15"/>
  <c r="K924" i="15"/>
  <c r="I924" i="15"/>
  <c r="B924" i="15"/>
  <c r="L923" i="15"/>
  <c r="B923" i="15"/>
  <c r="K922" i="15"/>
  <c r="I922" i="15"/>
  <c r="B922" i="15"/>
  <c r="L921" i="15"/>
  <c r="B921" i="15"/>
  <c r="K920" i="15"/>
  <c r="I920" i="15"/>
  <c r="B920" i="15"/>
  <c r="L919" i="15"/>
  <c r="J919" i="15"/>
  <c r="K919" i="15" s="1"/>
  <c r="B919" i="15"/>
  <c r="L918" i="15"/>
  <c r="J918" i="15"/>
  <c r="K918" i="15" s="1"/>
  <c r="B918" i="15"/>
  <c r="L917" i="15"/>
  <c r="J917" i="15"/>
  <c r="K917" i="15" s="1"/>
  <c r="B917" i="15"/>
  <c r="L916" i="15"/>
  <c r="J916" i="15"/>
  <c r="K916" i="15" s="1"/>
  <c r="B916" i="15"/>
  <c r="L915" i="15"/>
  <c r="J915" i="15"/>
  <c r="K915" i="15" s="1"/>
  <c r="B915" i="15"/>
  <c r="L914" i="15"/>
  <c r="K914" i="15"/>
  <c r="I914" i="15"/>
  <c r="B914" i="15"/>
  <c r="L913" i="15"/>
  <c r="K913" i="15"/>
  <c r="I913" i="15"/>
  <c r="B913" i="15"/>
  <c r="L912" i="15"/>
  <c r="K912" i="15"/>
  <c r="I912" i="15"/>
  <c r="B912" i="15"/>
  <c r="L911" i="15"/>
  <c r="K911" i="15"/>
  <c r="I911" i="15"/>
  <c r="B911" i="15"/>
  <c r="L910" i="15"/>
  <c r="K910" i="15"/>
  <c r="I910" i="15"/>
  <c r="B910" i="15"/>
  <c r="L909" i="15"/>
  <c r="K909" i="15"/>
  <c r="I909" i="15"/>
  <c r="B909" i="15"/>
  <c r="L908" i="15"/>
  <c r="K908" i="15"/>
  <c r="I908" i="15"/>
  <c r="B908" i="15"/>
  <c r="L907" i="15"/>
  <c r="K907" i="15"/>
  <c r="I907" i="15"/>
  <c r="B907" i="15"/>
  <c r="L906" i="15"/>
  <c r="B906" i="15"/>
  <c r="K905" i="15"/>
  <c r="I905" i="15"/>
  <c r="B905" i="15"/>
  <c r="L904" i="15"/>
  <c r="B904" i="15"/>
  <c r="K903" i="15"/>
  <c r="I903" i="15"/>
  <c r="B903" i="15"/>
  <c r="L902" i="15"/>
  <c r="B902" i="15"/>
  <c r="K901" i="15"/>
  <c r="I901" i="15"/>
  <c r="B901" i="15"/>
  <c r="L900" i="15"/>
  <c r="B900" i="15"/>
  <c r="K899" i="15"/>
  <c r="I899" i="15"/>
  <c r="B899" i="15"/>
  <c r="L898" i="15"/>
  <c r="B898" i="15"/>
  <c r="K897" i="15"/>
  <c r="I897" i="15"/>
  <c r="B897" i="15"/>
  <c r="L896" i="15"/>
  <c r="K896" i="15"/>
  <c r="I896" i="15"/>
  <c r="B896" i="15"/>
  <c r="L895" i="15"/>
  <c r="K895" i="15"/>
  <c r="I895" i="15"/>
  <c r="B895" i="15"/>
  <c r="L894" i="15"/>
  <c r="K894" i="15"/>
  <c r="I894" i="15"/>
  <c r="B894" i="15"/>
  <c r="L893" i="15"/>
  <c r="K893" i="15"/>
  <c r="I893" i="15"/>
  <c r="B893" i="15"/>
  <c r="L892" i="15"/>
  <c r="K892" i="15"/>
  <c r="I892" i="15"/>
  <c r="B892" i="15"/>
  <c r="L891" i="15"/>
  <c r="K891" i="15"/>
  <c r="I891" i="15"/>
  <c r="B891" i="15"/>
  <c r="L890" i="15"/>
  <c r="K890" i="15"/>
  <c r="I890" i="15"/>
  <c r="B890" i="15"/>
  <c r="L889" i="15"/>
  <c r="K889" i="15"/>
  <c r="I889" i="15"/>
  <c r="B889" i="15"/>
  <c r="L888" i="15"/>
  <c r="K888" i="15"/>
  <c r="I888" i="15"/>
  <c r="B888" i="15"/>
  <c r="L887" i="15"/>
  <c r="K887" i="15"/>
  <c r="I887" i="15"/>
  <c r="B887" i="15"/>
  <c r="L886" i="15"/>
  <c r="K886" i="15"/>
  <c r="I886" i="15"/>
  <c r="B886" i="15"/>
  <c r="L885" i="15"/>
  <c r="K885" i="15"/>
  <c r="I885" i="15"/>
  <c r="B885" i="15"/>
  <c r="L884" i="15"/>
  <c r="K884" i="15"/>
  <c r="I884" i="15"/>
  <c r="B884" i="15"/>
  <c r="L883" i="15"/>
  <c r="B883" i="15"/>
  <c r="K882" i="15"/>
  <c r="I882" i="15"/>
  <c r="B882" i="15"/>
  <c r="L881" i="15"/>
  <c r="B881" i="15"/>
  <c r="K880" i="15"/>
  <c r="I880" i="15"/>
  <c r="B880" i="15"/>
  <c r="L879" i="15"/>
  <c r="B879" i="15"/>
  <c r="K878" i="15"/>
  <c r="I878" i="15"/>
  <c r="B878" i="15"/>
  <c r="L877" i="15"/>
  <c r="B877" i="15"/>
  <c r="K876" i="15"/>
  <c r="I876" i="15"/>
  <c r="B876" i="15"/>
  <c r="L875" i="15"/>
  <c r="B875" i="15"/>
  <c r="K874" i="15"/>
  <c r="I874" i="15"/>
  <c r="B874" i="15"/>
  <c r="L873" i="15"/>
  <c r="K873" i="15"/>
  <c r="I873" i="15"/>
  <c r="B873" i="15"/>
  <c r="L872" i="15"/>
  <c r="K872" i="15"/>
  <c r="I872" i="15"/>
  <c r="B872" i="15"/>
  <c r="L871" i="15"/>
  <c r="J871" i="15"/>
  <c r="K871" i="15" s="1"/>
  <c r="B871" i="15"/>
  <c r="L870" i="15"/>
  <c r="J870" i="15"/>
  <c r="I870" i="15" s="1"/>
  <c r="B870" i="15"/>
  <c r="L869" i="15"/>
  <c r="J869" i="15"/>
  <c r="K869" i="15" s="1"/>
  <c r="B869" i="15"/>
  <c r="L868" i="15"/>
  <c r="K868" i="15"/>
  <c r="I868" i="15"/>
  <c r="B868" i="15"/>
  <c r="L867" i="15"/>
  <c r="K867" i="15"/>
  <c r="I867" i="15"/>
  <c r="B867" i="15"/>
  <c r="L866" i="15"/>
  <c r="K866" i="15"/>
  <c r="I866" i="15"/>
  <c r="B866" i="15"/>
  <c r="L865" i="15"/>
  <c r="K865" i="15"/>
  <c r="I865" i="15"/>
  <c r="B865" i="15"/>
  <c r="L864" i="15"/>
  <c r="K864" i="15"/>
  <c r="I864" i="15"/>
  <c r="B864" i="15"/>
  <c r="L863" i="15"/>
  <c r="K863" i="15"/>
  <c r="I863" i="15"/>
  <c r="B863" i="15"/>
  <c r="L862" i="15"/>
  <c r="K862" i="15"/>
  <c r="I862" i="15"/>
  <c r="B862" i="15"/>
  <c r="L861" i="15"/>
  <c r="K861" i="15"/>
  <c r="I861" i="15"/>
  <c r="B861" i="15"/>
  <c r="L860" i="15"/>
  <c r="K860" i="15"/>
  <c r="I860" i="15"/>
  <c r="B860" i="15"/>
  <c r="L859" i="15"/>
  <c r="K859" i="15"/>
  <c r="I859" i="15"/>
  <c r="B859" i="15"/>
  <c r="L858" i="15"/>
  <c r="K858" i="15"/>
  <c r="I858" i="15"/>
  <c r="B858" i="15"/>
  <c r="L857" i="15"/>
  <c r="K857" i="15"/>
  <c r="I857" i="15"/>
  <c r="B857" i="15"/>
  <c r="L856" i="15"/>
  <c r="K856" i="15"/>
  <c r="I856" i="15"/>
  <c r="B856" i="15"/>
  <c r="L855" i="15"/>
  <c r="K855" i="15"/>
  <c r="I855" i="15"/>
  <c r="B855" i="15"/>
  <c r="L854" i="15"/>
  <c r="K854" i="15"/>
  <c r="I854" i="15"/>
  <c r="B854" i="15"/>
  <c r="L853" i="15"/>
  <c r="K853" i="15"/>
  <c r="I853" i="15"/>
  <c r="B853" i="15"/>
  <c r="L852" i="15"/>
  <c r="K852" i="15"/>
  <c r="I852" i="15"/>
  <c r="B852" i="15"/>
  <c r="L851" i="15"/>
  <c r="K851" i="15"/>
  <c r="I851" i="15"/>
  <c r="B851" i="15"/>
  <c r="L850" i="15"/>
  <c r="K850" i="15"/>
  <c r="I850" i="15"/>
  <c r="B850" i="15"/>
  <c r="L849" i="15"/>
  <c r="K849" i="15"/>
  <c r="I849" i="15"/>
  <c r="B849" i="15"/>
  <c r="L848" i="15"/>
  <c r="B848" i="15"/>
  <c r="K847" i="15"/>
  <c r="I847" i="15"/>
  <c r="B847" i="15"/>
  <c r="L846" i="15"/>
  <c r="B846" i="15"/>
  <c r="K845" i="15"/>
  <c r="I845" i="15"/>
  <c r="B845" i="15"/>
  <c r="L844" i="15"/>
  <c r="B844" i="15"/>
  <c r="K843" i="15"/>
  <c r="I843" i="15"/>
  <c r="B843" i="15"/>
  <c r="L842" i="15"/>
  <c r="B842" i="15"/>
  <c r="K841" i="15"/>
  <c r="I841" i="15"/>
  <c r="B841" i="15"/>
  <c r="L840" i="15"/>
  <c r="K840" i="15"/>
  <c r="I840" i="15"/>
  <c r="B840" i="15"/>
  <c r="L839" i="15"/>
  <c r="J839" i="15"/>
  <c r="K839" i="15" s="1"/>
  <c r="B839" i="15"/>
  <c r="L838" i="15"/>
  <c r="K838" i="15"/>
  <c r="I838" i="15"/>
  <c r="B838" i="15"/>
  <c r="L837" i="15"/>
  <c r="B837" i="15"/>
  <c r="K836" i="15"/>
  <c r="I836" i="15"/>
  <c r="B836" i="15"/>
  <c r="L835" i="15"/>
  <c r="J835" i="15"/>
  <c r="K835" i="15" s="1"/>
  <c r="B835" i="15"/>
  <c r="L834" i="15"/>
  <c r="K834" i="15"/>
  <c r="I834" i="15"/>
  <c r="B834" i="15"/>
  <c r="L833" i="15"/>
  <c r="J833" i="15"/>
  <c r="K833" i="15" s="1"/>
  <c r="B833" i="15"/>
  <c r="L832" i="15"/>
  <c r="J832" i="15"/>
  <c r="K832" i="15" s="1"/>
  <c r="B832" i="15"/>
  <c r="L831" i="15"/>
  <c r="K831" i="15"/>
  <c r="I831" i="15"/>
  <c r="B831" i="15"/>
  <c r="L830" i="15"/>
  <c r="K830" i="15"/>
  <c r="I830" i="15"/>
  <c r="B830" i="15"/>
  <c r="L829" i="15"/>
  <c r="K829" i="15"/>
  <c r="I829" i="15"/>
  <c r="B829" i="15"/>
  <c r="L828" i="15"/>
  <c r="K828" i="15"/>
  <c r="I828" i="15"/>
  <c r="B828" i="15"/>
  <c r="L827" i="15"/>
  <c r="B827" i="15"/>
  <c r="K826" i="15"/>
  <c r="I826" i="15"/>
  <c r="B826" i="15"/>
  <c r="L825" i="15"/>
  <c r="K825" i="15"/>
  <c r="I825" i="15"/>
  <c r="B825" i="15"/>
  <c r="L824" i="15"/>
  <c r="K824" i="15"/>
  <c r="I824" i="15"/>
  <c r="B824" i="15"/>
  <c r="L823" i="15"/>
  <c r="K823" i="15"/>
  <c r="I823" i="15"/>
  <c r="B823" i="15"/>
  <c r="L822" i="15"/>
  <c r="K822" i="15"/>
  <c r="I822" i="15"/>
  <c r="B822" i="15"/>
  <c r="L821" i="15"/>
  <c r="J821" i="15"/>
  <c r="K821" i="15" s="1"/>
  <c r="B821" i="15"/>
  <c r="L820" i="15"/>
  <c r="B820" i="15"/>
  <c r="K819" i="15"/>
  <c r="I819" i="15"/>
  <c r="B819" i="15"/>
  <c r="L818" i="15"/>
  <c r="K818" i="15"/>
  <c r="I818" i="15"/>
  <c r="B818" i="15"/>
  <c r="L817" i="15"/>
  <c r="K817" i="15"/>
  <c r="I817" i="15"/>
  <c r="B817" i="15"/>
  <c r="L816" i="15"/>
  <c r="K816" i="15"/>
  <c r="I816" i="15"/>
  <c r="B816" i="15"/>
  <c r="L815" i="15"/>
  <c r="K815" i="15"/>
  <c r="I815" i="15"/>
  <c r="B815" i="15"/>
  <c r="L814" i="15"/>
  <c r="K814" i="15"/>
  <c r="I814" i="15"/>
  <c r="B814" i="15"/>
  <c r="L813" i="15"/>
  <c r="K813" i="15"/>
  <c r="I813" i="15"/>
  <c r="B813" i="15"/>
  <c r="L812" i="15"/>
  <c r="K812" i="15"/>
  <c r="I812" i="15"/>
  <c r="B812" i="15"/>
  <c r="L811" i="15"/>
  <c r="K811" i="15"/>
  <c r="I811" i="15"/>
  <c r="B811" i="15"/>
  <c r="L810" i="15"/>
  <c r="K810" i="15"/>
  <c r="I810" i="15"/>
  <c r="B810" i="15"/>
  <c r="L809" i="15"/>
  <c r="K809" i="15"/>
  <c r="I809" i="15"/>
  <c r="B809" i="15"/>
  <c r="L808" i="15"/>
  <c r="K808" i="15"/>
  <c r="I808" i="15"/>
  <c r="B808" i="15"/>
  <c r="L807" i="15"/>
  <c r="K807" i="15"/>
  <c r="I807" i="15"/>
  <c r="B807" i="15"/>
  <c r="L806" i="15"/>
  <c r="K806" i="15"/>
  <c r="I806" i="15"/>
  <c r="B806" i="15"/>
  <c r="L805" i="15"/>
  <c r="K805" i="15"/>
  <c r="I805" i="15"/>
  <c r="B805" i="15"/>
  <c r="L804" i="15"/>
  <c r="K804" i="15"/>
  <c r="I804" i="15"/>
  <c r="B804" i="15"/>
  <c r="L803" i="15"/>
  <c r="K803" i="15"/>
  <c r="I803" i="15"/>
  <c r="B803" i="15"/>
  <c r="L802" i="15"/>
  <c r="K802" i="15"/>
  <c r="I802" i="15"/>
  <c r="B802" i="15"/>
  <c r="L801" i="15"/>
  <c r="K801" i="15"/>
  <c r="I801" i="15"/>
  <c r="B801" i="15"/>
  <c r="L800" i="15"/>
  <c r="K800" i="15"/>
  <c r="I800" i="15"/>
  <c r="B800" i="15"/>
  <c r="L799" i="15"/>
  <c r="K799" i="15"/>
  <c r="I799" i="15"/>
  <c r="B799" i="15"/>
  <c r="L798" i="15"/>
  <c r="J798" i="15"/>
  <c r="K798" i="15" s="1"/>
  <c r="B798" i="15"/>
  <c r="L797" i="15"/>
  <c r="B797" i="15"/>
  <c r="K796" i="15"/>
  <c r="I796" i="15"/>
  <c r="B796" i="15"/>
  <c r="L795" i="15"/>
  <c r="K795" i="15"/>
  <c r="I795" i="15"/>
  <c r="B795" i="15"/>
  <c r="L794" i="15"/>
  <c r="K794" i="15"/>
  <c r="I794" i="15"/>
  <c r="B794" i="15"/>
  <c r="L793" i="15"/>
  <c r="K793" i="15"/>
  <c r="I793" i="15"/>
  <c r="B793" i="15"/>
  <c r="L792" i="15"/>
  <c r="K792" i="15"/>
  <c r="I792" i="15"/>
  <c r="B792" i="15"/>
  <c r="L791" i="15"/>
  <c r="K791" i="15"/>
  <c r="I791" i="15"/>
  <c r="B791" i="15"/>
  <c r="L790" i="15"/>
  <c r="B790" i="15"/>
  <c r="K789" i="15"/>
  <c r="I789" i="15"/>
  <c r="B789" i="15"/>
  <c r="L788" i="15"/>
  <c r="B788" i="15"/>
  <c r="K787" i="15"/>
  <c r="I787" i="15"/>
  <c r="B787" i="15"/>
  <c r="L786" i="15"/>
  <c r="K786" i="15"/>
  <c r="I786" i="15"/>
  <c r="B786" i="15"/>
  <c r="L785" i="15"/>
  <c r="K785" i="15"/>
  <c r="I785" i="15"/>
  <c r="B785" i="15"/>
  <c r="L784" i="15"/>
  <c r="K784" i="15"/>
  <c r="I784" i="15"/>
  <c r="B784" i="15"/>
  <c r="L783" i="15"/>
  <c r="K783" i="15"/>
  <c r="I783" i="15"/>
  <c r="B783" i="15"/>
  <c r="L782" i="15"/>
  <c r="K782" i="15"/>
  <c r="I782" i="15"/>
  <c r="B782" i="15"/>
  <c r="L781" i="15"/>
  <c r="K781" i="15"/>
  <c r="I781" i="15"/>
  <c r="B781" i="15"/>
  <c r="L780" i="15"/>
  <c r="K780" i="15"/>
  <c r="I780" i="15"/>
  <c r="B780" i="15"/>
  <c r="L779" i="15"/>
  <c r="K779" i="15"/>
  <c r="I779" i="15"/>
  <c r="B779" i="15"/>
  <c r="L778" i="15"/>
  <c r="K778" i="15"/>
  <c r="I778" i="15"/>
  <c r="B778" i="15"/>
  <c r="L777" i="15"/>
  <c r="K777" i="15"/>
  <c r="I777" i="15"/>
  <c r="B777" i="15"/>
  <c r="L776" i="15"/>
  <c r="K776" i="15"/>
  <c r="I776" i="15"/>
  <c r="B776" i="15"/>
  <c r="L775" i="15"/>
  <c r="K775" i="15"/>
  <c r="I775" i="15"/>
  <c r="B775" i="15"/>
  <c r="L774" i="15"/>
  <c r="K774" i="15"/>
  <c r="I774" i="15"/>
  <c r="B774" i="15"/>
  <c r="L773" i="15"/>
  <c r="K773" i="15"/>
  <c r="I773" i="15"/>
  <c r="B773" i="15"/>
  <c r="L772" i="15"/>
  <c r="K772" i="15"/>
  <c r="I772" i="15"/>
  <c r="B772" i="15"/>
  <c r="L771" i="15"/>
  <c r="B771" i="15"/>
  <c r="K770" i="15"/>
  <c r="I770" i="15"/>
  <c r="B770" i="15"/>
  <c r="L769" i="15"/>
  <c r="B769" i="15"/>
  <c r="K768" i="15"/>
  <c r="I768" i="15"/>
  <c r="B768" i="15"/>
  <c r="L767" i="15"/>
  <c r="B767" i="15"/>
  <c r="K766" i="15"/>
  <c r="I766" i="15"/>
  <c r="B766" i="15"/>
  <c r="L765" i="15"/>
  <c r="B765" i="15"/>
  <c r="K764" i="15"/>
  <c r="I764" i="15"/>
  <c r="B764" i="15"/>
  <c r="L763" i="15"/>
  <c r="J763" i="15"/>
  <c r="K763" i="15" s="1"/>
  <c r="B763" i="15"/>
  <c r="L762" i="15"/>
  <c r="K762" i="15"/>
  <c r="I762" i="15"/>
  <c r="B762" i="15"/>
  <c r="L761" i="15"/>
  <c r="B761" i="15"/>
  <c r="K760" i="15"/>
  <c r="I760" i="15"/>
  <c r="B760" i="15"/>
  <c r="L759" i="15"/>
  <c r="J759" i="15"/>
  <c r="K759" i="15" s="1"/>
  <c r="B759" i="15"/>
  <c r="L758" i="15"/>
  <c r="J758" i="15"/>
  <c r="K758" i="15" s="1"/>
  <c r="B758" i="15"/>
  <c r="L757" i="15"/>
  <c r="K757" i="15"/>
  <c r="I757" i="15"/>
  <c r="B757" i="15"/>
  <c r="L756" i="15"/>
  <c r="J756" i="15"/>
  <c r="K756" i="15" s="1"/>
  <c r="B756" i="15"/>
  <c r="L755" i="15"/>
  <c r="J755" i="15"/>
  <c r="K755" i="15" s="1"/>
  <c r="B755" i="15"/>
  <c r="L754" i="15"/>
  <c r="J754" i="15"/>
  <c r="I754" i="15" s="1"/>
  <c r="B754" i="15"/>
  <c r="L753" i="15"/>
  <c r="K753" i="15"/>
  <c r="I753" i="15"/>
  <c r="B753" i="15"/>
  <c r="L752" i="15"/>
  <c r="K752" i="15"/>
  <c r="I752" i="15"/>
  <c r="B752" i="15"/>
  <c r="L751" i="15"/>
  <c r="K751" i="15"/>
  <c r="I751" i="15"/>
  <c r="B751" i="15"/>
  <c r="L750" i="15"/>
  <c r="K750" i="15"/>
  <c r="I750" i="15"/>
  <c r="B750" i="15"/>
  <c r="L749" i="15"/>
  <c r="B749" i="15"/>
  <c r="K748" i="15"/>
  <c r="I748" i="15"/>
  <c r="B748" i="15"/>
  <c r="L747" i="15"/>
  <c r="B747" i="15"/>
  <c r="K746" i="15"/>
  <c r="I746" i="15"/>
  <c r="B746" i="15"/>
  <c r="L745" i="15"/>
  <c r="B745" i="15"/>
  <c r="K744" i="15"/>
  <c r="I744" i="15"/>
  <c r="B744" i="15"/>
  <c r="L743" i="15"/>
  <c r="B743" i="15"/>
  <c r="K742" i="15"/>
  <c r="I742" i="15"/>
  <c r="B742" i="15"/>
  <c r="L741" i="15"/>
  <c r="B741" i="15"/>
  <c r="K740" i="15"/>
  <c r="I740" i="15"/>
  <c r="B740" i="15"/>
  <c r="L739" i="15"/>
  <c r="J739" i="15"/>
  <c r="K739" i="15" s="1"/>
  <c r="B739" i="15"/>
  <c r="L738" i="15"/>
  <c r="J738" i="15"/>
  <c r="K738" i="15" s="1"/>
  <c r="B738" i="15"/>
  <c r="L737" i="15"/>
  <c r="J737" i="15"/>
  <c r="K737" i="15" s="1"/>
  <c r="B737" i="15"/>
  <c r="L736" i="15"/>
  <c r="J736" i="15"/>
  <c r="K736" i="15" s="1"/>
  <c r="B736" i="15"/>
  <c r="L735" i="15"/>
  <c r="J735" i="15"/>
  <c r="K735" i="15" s="1"/>
  <c r="B735" i="15"/>
  <c r="L734" i="15"/>
  <c r="K734" i="15"/>
  <c r="I734" i="15"/>
  <c r="B734" i="15"/>
  <c r="L733" i="15"/>
  <c r="K733" i="15"/>
  <c r="I733" i="15"/>
  <c r="B733" i="15"/>
  <c r="L732" i="15"/>
  <c r="K732" i="15"/>
  <c r="I732" i="15"/>
  <c r="B732" i="15"/>
  <c r="L731" i="15"/>
  <c r="K731" i="15"/>
  <c r="I731" i="15"/>
  <c r="B731" i="15"/>
  <c r="L730" i="15"/>
  <c r="K730" i="15"/>
  <c r="I730" i="15"/>
  <c r="B730" i="15"/>
  <c r="L729" i="15"/>
  <c r="K729" i="15"/>
  <c r="I729" i="15"/>
  <c r="B729" i="15"/>
  <c r="L728" i="15"/>
  <c r="K728" i="15"/>
  <c r="I728" i="15"/>
  <c r="B728" i="15"/>
  <c r="L727" i="15"/>
  <c r="K727" i="15"/>
  <c r="I727" i="15"/>
  <c r="B727" i="15"/>
  <c r="L726" i="15"/>
  <c r="K726" i="15"/>
  <c r="I726" i="15"/>
  <c r="B726" i="15"/>
  <c r="L725" i="15"/>
  <c r="K725" i="15"/>
  <c r="I725" i="15"/>
  <c r="B725" i="15"/>
  <c r="L724" i="15"/>
  <c r="K724" i="15"/>
  <c r="I724" i="15"/>
  <c r="B724" i="15"/>
  <c r="L723" i="15"/>
  <c r="K723" i="15"/>
  <c r="I723" i="15"/>
  <c r="B723" i="15"/>
  <c r="L722" i="15"/>
  <c r="K722" i="15"/>
  <c r="I722" i="15"/>
  <c r="B722" i="15"/>
  <c r="L721" i="15"/>
  <c r="K721" i="15"/>
  <c r="I721" i="15"/>
  <c r="B721" i="15"/>
  <c r="L720" i="15"/>
  <c r="K720" i="15"/>
  <c r="I720" i="15"/>
  <c r="B720" i="15"/>
  <c r="L719" i="15"/>
  <c r="K719" i="15"/>
  <c r="I719" i="15"/>
  <c r="B719" i="15"/>
  <c r="L718" i="15"/>
  <c r="K718" i="15"/>
  <c r="I718" i="15"/>
  <c r="B718" i="15"/>
  <c r="L717" i="15"/>
  <c r="K717" i="15"/>
  <c r="I717" i="15"/>
  <c r="B717" i="15"/>
  <c r="L716" i="15"/>
  <c r="K716" i="15"/>
  <c r="I716" i="15"/>
  <c r="B716" i="15"/>
  <c r="L715" i="15"/>
  <c r="K715" i="15"/>
  <c r="I715" i="15"/>
  <c r="B715" i="15"/>
  <c r="L714" i="15"/>
  <c r="K714" i="15"/>
  <c r="I714" i="15"/>
  <c r="B714" i="15"/>
  <c r="L713" i="15"/>
  <c r="K713" i="15"/>
  <c r="I713" i="15"/>
  <c r="B713" i="15"/>
  <c r="L712" i="15"/>
  <c r="K712" i="15"/>
  <c r="I712" i="15"/>
  <c r="B712" i="15"/>
  <c r="L711" i="15"/>
  <c r="K711" i="15"/>
  <c r="I711" i="15"/>
  <c r="B711" i="15"/>
  <c r="L710" i="15"/>
  <c r="K710" i="15"/>
  <c r="I710" i="15"/>
  <c r="B710" i="15"/>
  <c r="L709" i="15"/>
  <c r="K709" i="15"/>
  <c r="I709" i="15"/>
  <c r="B709" i="15"/>
  <c r="L708" i="15"/>
  <c r="K708" i="15"/>
  <c r="I708" i="15"/>
  <c r="B708" i="15"/>
  <c r="L707" i="15"/>
  <c r="K707" i="15"/>
  <c r="I707" i="15"/>
  <c r="B707" i="15"/>
  <c r="L706" i="15"/>
  <c r="K706" i="15"/>
  <c r="I706" i="15"/>
  <c r="B706" i="15"/>
  <c r="L705" i="15"/>
  <c r="K705" i="15"/>
  <c r="I705" i="15"/>
  <c r="B705" i="15"/>
  <c r="L704" i="15"/>
  <c r="K704" i="15"/>
  <c r="I704" i="15"/>
  <c r="B704" i="15"/>
  <c r="L703" i="15"/>
  <c r="K703" i="15"/>
  <c r="I703" i="15"/>
  <c r="B703" i="15"/>
  <c r="L702" i="15"/>
  <c r="K702" i="15"/>
  <c r="I702" i="15"/>
  <c r="B702" i="15"/>
  <c r="L701" i="15"/>
  <c r="K701" i="15"/>
  <c r="I701" i="15"/>
  <c r="B701" i="15"/>
  <c r="L700" i="15"/>
  <c r="K700" i="15"/>
  <c r="I700" i="15"/>
  <c r="B700" i="15"/>
  <c r="L699" i="15"/>
  <c r="K699" i="15"/>
  <c r="I699" i="15"/>
  <c r="B699" i="15"/>
  <c r="L698" i="15"/>
  <c r="K698" i="15"/>
  <c r="I698" i="15"/>
  <c r="B698" i="15"/>
  <c r="L697" i="15"/>
  <c r="K697" i="15"/>
  <c r="I697" i="15"/>
  <c r="B697" i="15"/>
  <c r="L696" i="15"/>
  <c r="K696" i="15"/>
  <c r="I696" i="15"/>
  <c r="B696" i="15"/>
  <c r="L695" i="15"/>
  <c r="K695" i="15"/>
  <c r="I695" i="15"/>
  <c r="B695" i="15"/>
  <c r="L694" i="15"/>
  <c r="K694" i="15"/>
  <c r="I694" i="15"/>
  <c r="B694" i="15"/>
  <c r="L693" i="15"/>
  <c r="K693" i="15"/>
  <c r="I693" i="15"/>
  <c r="B693" i="15"/>
  <c r="L692" i="15"/>
  <c r="K692" i="15"/>
  <c r="I692" i="15"/>
  <c r="B692" i="15"/>
  <c r="L691" i="15"/>
  <c r="K691" i="15"/>
  <c r="I691" i="15"/>
  <c r="B691" i="15"/>
  <c r="L690" i="15"/>
  <c r="K690" i="15"/>
  <c r="I690" i="15"/>
  <c r="B690" i="15"/>
  <c r="L689" i="15"/>
  <c r="K689" i="15"/>
  <c r="I689" i="15"/>
  <c r="B689" i="15"/>
  <c r="L688" i="15"/>
  <c r="K688" i="15"/>
  <c r="I688" i="15"/>
  <c r="B688" i="15"/>
  <c r="L687" i="15"/>
  <c r="K687" i="15"/>
  <c r="I687" i="15"/>
  <c r="B687" i="15"/>
  <c r="L686" i="15"/>
  <c r="K686" i="15"/>
  <c r="I686" i="15"/>
  <c r="B686" i="15"/>
  <c r="L685" i="15"/>
  <c r="K685" i="15"/>
  <c r="I685" i="15"/>
  <c r="B685" i="15"/>
  <c r="L684" i="15"/>
  <c r="K684" i="15"/>
  <c r="I684" i="15"/>
  <c r="B684" i="15"/>
  <c r="L683" i="15"/>
  <c r="K683" i="15"/>
  <c r="I683" i="15"/>
  <c r="B683" i="15"/>
  <c r="L682" i="15"/>
  <c r="K682" i="15"/>
  <c r="I682" i="15"/>
  <c r="B682" i="15"/>
  <c r="L681" i="15"/>
  <c r="K681" i="15"/>
  <c r="I681" i="15"/>
  <c r="B681" i="15"/>
  <c r="L680" i="15"/>
  <c r="K680" i="15"/>
  <c r="I680" i="15"/>
  <c r="B680" i="15"/>
  <c r="L679" i="15"/>
  <c r="K679" i="15"/>
  <c r="I679" i="15"/>
  <c r="B679" i="15"/>
  <c r="L678" i="15"/>
  <c r="K678" i="15"/>
  <c r="I678" i="15"/>
  <c r="B678" i="15"/>
  <c r="L677" i="15"/>
  <c r="K677" i="15"/>
  <c r="I677" i="15"/>
  <c r="B677" i="15"/>
  <c r="L676" i="15"/>
  <c r="K676" i="15"/>
  <c r="I676" i="15"/>
  <c r="B676" i="15"/>
  <c r="L675" i="15"/>
  <c r="K675" i="15"/>
  <c r="I675" i="15"/>
  <c r="B675" i="15"/>
  <c r="L674" i="15"/>
  <c r="B674" i="15"/>
  <c r="K673" i="15"/>
  <c r="I673" i="15"/>
  <c r="B673" i="15"/>
  <c r="L672" i="15"/>
  <c r="B672" i="15"/>
  <c r="K671" i="15"/>
  <c r="I671" i="15"/>
  <c r="B671" i="15"/>
  <c r="L670" i="15"/>
  <c r="B670" i="15"/>
  <c r="K669" i="15"/>
  <c r="I669" i="15"/>
  <c r="B669" i="15"/>
  <c r="L668" i="15"/>
  <c r="B668" i="15"/>
  <c r="K667" i="15"/>
  <c r="I667" i="15"/>
  <c r="B667" i="15"/>
  <c r="L666" i="15"/>
  <c r="B666" i="15"/>
  <c r="K665" i="15"/>
  <c r="I665" i="15"/>
  <c r="B665" i="15"/>
  <c r="L664" i="15"/>
  <c r="J664" i="15"/>
  <c r="K664" i="15" s="1"/>
  <c r="B664" i="15"/>
  <c r="L663" i="15"/>
  <c r="J663" i="15"/>
  <c r="K663" i="15" s="1"/>
  <c r="B663" i="15"/>
  <c r="L662" i="15"/>
  <c r="J662" i="15"/>
  <c r="K662" i="15" s="1"/>
  <c r="B662" i="15"/>
  <c r="L661" i="15"/>
  <c r="J661" i="15"/>
  <c r="K661" i="15" s="1"/>
  <c r="B661" i="15"/>
  <c r="L660" i="15"/>
  <c r="K660" i="15"/>
  <c r="I660" i="15"/>
  <c r="B660" i="15"/>
  <c r="L659" i="15"/>
  <c r="K659" i="15"/>
  <c r="I659" i="15"/>
  <c r="B659" i="15"/>
  <c r="L658" i="15"/>
  <c r="K658" i="15"/>
  <c r="I658" i="15"/>
  <c r="B658" i="15"/>
  <c r="L657" i="15"/>
  <c r="K657" i="15"/>
  <c r="I657" i="15"/>
  <c r="B657" i="15"/>
  <c r="L656" i="15"/>
  <c r="K656" i="15"/>
  <c r="I656" i="15"/>
  <c r="B656" i="15"/>
  <c r="L655" i="15"/>
  <c r="K655" i="15"/>
  <c r="I655" i="15"/>
  <c r="B655" i="15"/>
  <c r="L654" i="15"/>
  <c r="B654" i="15"/>
  <c r="K653" i="15"/>
  <c r="I653" i="15"/>
  <c r="B653" i="15"/>
  <c r="L652" i="15"/>
  <c r="B652" i="15"/>
  <c r="K651" i="15"/>
  <c r="I651" i="15"/>
  <c r="B651" i="15"/>
  <c r="L650" i="15"/>
  <c r="B650" i="15"/>
  <c r="K649" i="15"/>
  <c r="I649" i="15"/>
  <c r="B649" i="15"/>
  <c r="L648" i="15"/>
  <c r="B648" i="15"/>
  <c r="K647" i="15"/>
  <c r="I647" i="15"/>
  <c r="B647" i="15"/>
  <c r="L646" i="15"/>
  <c r="B646" i="15"/>
  <c r="K645" i="15"/>
  <c r="I645" i="15"/>
  <c r="B645" i="15"/>
  <c r="L644" i="15"/>
  <c r="J644" i="15"/>
  <c r="I644" i="15" s="1"/>
  <c r="B644" i="15"/>
  <c r="L643" i="15"/>
  <c r="J643" i="15"/>
  <c r="K643" i="15" s="1"/>
  <c r="B643" i="15"/>
  <c r="L642" i="15"/>
  <c r="J642" i="15"/>
  <c r="K642" i="15" s="1"/>
  <c r="B642" i="15"/>
  <c r="L641" i="15"/>
  <c r="J641" i="15"/>
  <c r="I641" i="15" s="1"/>
  <c r="B641" i="15"/>
  <c r="L640" i="15"/>
  <c r="J640" i="15"/>
  <c r="I640" i="15" s="1"/>
  <c r="B640" i="15"/>
  <c r="L639" i="15"/>
  <c r="K639" i="15"/>
  <c r="I639" i="15"/>
  <c r="B639" i="15"/>
  <c r="L638" i="15"/>
  <c r="K638" i="15"/>
  <c r="I638" i="15"/>
  <c r="B638" i="15"/>
  <c r="L637" i="15"/>
  <c r="K637" i="15"/>
  <c r="I637" i="15"/>
  <c r="B637" i="15"/>
  <c r="L636" i="15"/>
  <c r="K636" i="15"/>
  <c r="I636" i="15"/>
  <c r="B636" i="15"/>
  <c r="L635" i="15"/>
  <c r="K635" i="15"/>
  <c r="I635" i="15"/>
  <c r="B635" i="15"/>
  <c r="L634" i="15"/>
  <c r="K634" i="15"/>
  <c r="I634" i="15"/>
  <c r="B634" i="15"/>
  <c r="L633" i="15"/>
  <c r="K633" i="15"/>
  <c r="I633" i="15"/>
  <c r="B633" i="15"/>
  <c r="L632" i="15"/>
  <c r="K632" i="15"/>
  <c r="I632" i="15"/>
  <c r="B632" i="15"/>
  <c r="L631" i="15"/>
  <c r="K631" i="15"/>
  <c r="I631" i="15"/>
  <c r="B631" i="15"/>
  <c r="L630" i="15"/>
  <c r="K630" i="15"/>
  <c r="I630" i="15"/>
  <c r="B630" i="15"/>
  <c r="L629" i="15"/>
  <c r="K629" i="15"/>
  <c r="I629" i="15"/>
  <c r="B629" i="15"/>
  <c r="L628" i="15"/>
  <c r="K628" i="15"/>
  <c r="I628" i="15"/>
  <c r="B628" i="15"/>
  <c r="L627" i="15"/>
  <c r="K627" i="15"/>
  <c r="I627" i="15"/>
  <c r="B627" i="15"/>
  <c r="L626" i="15"/>
  <c r="K626" i="15"/>
  <c r="I626" i="15"/>
  <c r="B626" i="15"/>
  <c r="L625" i="15"/>
  <c r="K625" i="15"/>
  <c r="I625" i="15"/>
  <c r="B625" i="15"/>
  <c r="L622" i="15"/>
  <c r="B622" i="15"/>
  <c r="K621" i="15"/>
  <c r="I621" i="15"/>
  <c r="B621" i="15"/>
  <c r="L620" i="15"/>
  <c r="B620" i="15"/>
  <c r="K619" i="15"/>
  <c r="I619" i="15"/>
  <c r="B619" i="15"/>
  <c r="L618" i="15"/>
  <c r="B618" i="15"/>
  <c r="K617" i="15"/>
  <c r="I617" i="15"/>
  <c r="B617" i="15"/>
  <c r="L616" i="15"/>
  <c r="J616" i="15"/>
  <c r="K616" i="15" s="1"/>
  <c r="B616" i="15"/>
  <c r="L615" i="15"/>
  <c r="K615" i="15"/>
  <c r="I615" i="15"/>
  <c r="B615" i="15"/>
  <c r="L614" i="15"/>
  <c r="B614" i="15"/>
  <c r="K613" i="15"/>
  <c r="I613" i="15"/>
  <c r="B613" i="15"/>
  <c r="L612" i="15"/>
  <c r="B612" i="15"/>
  <c r="K611" i="15"/>
  <c r="I611" i="15"/>
  <c r="B611" i="15"/>
  <c r="L610" i="15"/>
  <c r="K610" i="15"/>
  <c r="I610" i="15"/>
  <c r="B610" i="15"/>
  <c r="L609" i="15"/>
  <c r="K609" i="15"/>
  <c r="I609" i="15"/>
  <c r="B609" i="15"/>
  <c r="L608" i="15"/>
  <c r="K608" i="15"/>
  <c r="I608" i="15"/>
  <c r="B608" i="15"/>
  <c r="L607" i="15"/>
  <c r="K607" i="15"/>
  <c r="I607" i="15"/>
  <c r="B607" i="15"/>
  <c r="L606" i="15"/>
  <c r="K606" i="15"/>
  <c r="I606" i="15"/>
  <c r="B606" i="15"/>
  <c r="L605" i="15"/>
  <c r="J605" i="15"/>
  <c r="K605" i="15" s="1"/>
  <c r="B605" i="15"/>
  <c r="L604" i="15"/>
  <c r="J604" i="15"/>
  <c r="K604" i="15" s="1"/>
  <c r="B604" i="15"/>
  <c r="L603" i="15"/>
  <c r="J603" i="15"/>
  <c r="K603" i="15" s="1"/>
  <c r="B603" i="15"/>
  <c r="L602" i="15"/>
  <c r="K602" i="15"/>
  <c r="I602" i="15"/>
  <c r="B602" i="15"/>
  <c r="L601" i="15"/>
  <c r="B601" i="15"/>
  <c r="K600" i="15"/>
  <c r="I600" i="15"/>
  <c r="B600" i="15"/>
  <c r="L599" i="15"/>
  <c r="B599" i="15"/>
  <c r="K598" i="15"/>
  <c r="I598" i="15"/>
  <c r="B598" i="15"/>
  <c r="L597" i="15"/>
  <c r="B597" i="15"/>
  <c r="K596" i="15"/>
  <c r="I596" i="15"/>
  <c r="B596" i="15"/>
  <c r="L595" i="15"/>
  <c r="B595" i="15"/>
  <c r="K594" i="15"/>
  <c r="I594" i="15"/>
  <c r="B594" i="15"/>
  <c r="L593" i="15"/>
  <c r="B593" i="15"/>
  <c r="K592" i="15"/>
  <c r="I592" i="15"/>
  <c r="B592" i="15"/>
  <c r="L591" i="15"/>
  <c r="B591" i="15"/>
  <c r="K590" i="15"/>
  <c r="I590" i="15"/>
  <c r="B590" i="15"/>
  <c r="L589" i="15"/>
  <c r="J589" i="15"/>
  <c r="K589" i="15" s="1"/>
  <c r="B589" i="15"/>
  <c r="L588" i="15"/>
  <c r="J588" i="15"/>
  <c r="K588" i="15" s="1"/>
  <c r="B588" i="15"/>
  <c r="L587" i="15"/>
  <c r="J587" i="15"/>
  <c r="K587" i="15" s="1"/>
  <c r="B587" i="15"/>
  <c r="L586" i="15"/>
  <c r="J586" i="15"/>
  <c r="I586" i="15" s="1"/>
  <c r="B586" i="15"/>
  <c r="L585" i="15"/>
  <c r="J585" i="15"/>
  <c r="K585" i="15" s="1"/>
  <c r="B585" i="15"/>
  <c r="L584" i="15"/>
  <c r="K584" i="15"/>
  <c r="I584" i="15"/>
  <c r="B584" i="15"/>
  <c r="L583" i="15"/>
  <c r="K583" i="15"/>
  <c r="I583" i="15"/>
  <c r="B583" i="15"/>
  <c r="L582" i="15"/>
  <c r="K582" i="15"/>
  <c r="I582" i="15"/>
  <c r="B582" i="15"/>
  <c r="L581" i="15"/>
  <c r="K581" i="15"/>
  <c r="I581" i="15"/>
  <c r="B581" i="15"/>
  <c r="L580" i="15"/>
  <c r="K580" i="15"/>
  <c r="I580" i="15"/>
  <c r="B580" i="15"/>
  <c r="L579" i="15"/>
  <c r="K579" i="15"/>
  <c r="I579" i="15"/>
  <c r="B579" i="15"/>
  <c r="L578" i="15"/>
  <c r="K578" i="15"/>
  <c r="I578" i="15"/>
  <c r="B578" i="15"/>
  <c r="L577" i="15"/>
  <c r="K577" i="15"/>
  <c r="I577" i="15"/>
  <c r="B577" i="15"/>
  <c r="L576" i="15"/>
  <c r="K576" i="15"/>
  <c r="I576" i="15"/>
  <c r="B576" i="15"/>
  <c r="L575" i="15"/>
  <c r="K575" i="15"/>
  <c r="I575" i="15"/>
  <c r="B575" i="15"/>
  <c r="L574" i="15"/>
  <c r="K574" i="15"/>
  <c r="I574" i="15"/>
  <c r="B574" i="15"/>
  <c r="L573" i="15"/>
  <c r="K573" i="15"/>
  <c r="I573" i="15"/>
  <c r="B573" i="15"/>
  <c r="L572" i="15"/>
  <c r="B572" i="15"/>
  <c r="K571" i="15"/>
  <c r="I571" i="15"/>
  <c r="B571" i="15"/>
  <c r="L570" i="15"/>
  <c r="B570" i="15"/>
  <c r="K569" i="15"/>
  <c r="I569" i="15"/>
  <c r="B569" i="15"/>
  <c r="L568" i="15"/>
  <c r="B568" i="15"/>
  <c r="K567" i="15"/>
  <c r="I567" i="15"/>
  <c r="B567" i="15"/>
  <c r="L566" i="15"/>
  <c r="B566" i="15"/>
  <c r="K565" i="15"/>
  <c r="I565" i="15"/>
  <c r="B565" i="15"/>
  <c r="L564" i="15"/>
  <c r="J564" i="15"/>
  <c r="K564" i="15" s="1"/>
  <c r="B564" i="15"/>
  <c r="L563" i="15"/>
  <c r="J563" i="15"/>
  <c r="K563" i="15" s="1"/>
  <c r="B563" i="15"/>
  <c r="L562" i="15"/>
  <c r="J562" i="15"/>
  <c r="K562" i="15" s="1"/>
  <c r="B562" i="15"/>
  <c r="L561" i="15"/>
  <c r="K561" i="15"/>
  <c r="I561" i="15"/>
  <c r="B561" i="15"/>
  <c r="L560" i="15"/>
  <c r="K560" i="15"/>
  <c r="I560" i="15"/>
  <c r="B560" i="15"/>
  <c r="L559" i="15"/>
  <c r="K559" i="15"/>
  <c r="I559" i="15"/>
  <c r="B559" i="15"/>
  <c r="L558" i="15"/>
  <c r="K558" i="15"/>
  <c r="I558" i="15"/>
  <c r="B558" i="15"/>
  <c r="L557" i="15"/>
  <c r="K557" i="15"/>
  <c r="I557" i="15"/>
  <c r="B557" i="15"/>
  <c r="L556" i="15"/>
  <c r="B556" i="15"/>
  <c r="K555" i="15"/>
  <c r="I555" i="15"/>
  <c r="B555" i="15"/>
  <c r="L554" i="15"/>
  <c r="B554" i="15"/>
  <c r="K553" i="15"/>
  <c r="I553" i="15"/>
  <c r="B553" i="15"/>
  <c r="L552" i="15"/>
  <c r="J552" i="15"/>
  <c r="K552" i="15" s="1"/>
  <c r="B552" i="15"/>
  <c r="L551" i="15"/>
  <c r="J551" i="15"/>
  <c r="K551" i="15" s="1"/>
  <c r="B551" i="15"/>
  <c r="L550" i="15"/>
  <c r="K550" i="15"/>
  <c r="I550" i="15"/>
  <c r="B550" i="15"/>
  <c r="L549" i="15"/>
  <c r="K549" i="15"/>
  <c r="I549" i="15"/>
  <c r="B549" i="15"/>
  <c r="L548" i="15"/>
  <c r="K548" i="15"/>
  <c r="I548" i="15"/>
  <c r="B548" i="15"/>
  <c r="L547" i="15"/>
  <c r="K547" i="15"/>
  <c r="I547" i="15"/>
  <c r="B547" i="15"/>
  <c r="L546" i="15"/>
  <c r="B546" i="15"/>
  <c r="K545" i="15"/>
  <c r="I545" i="15"/>
  <c r="B545" i="15"/>
  <c r="L544" i="15"/>
  <c r="B544" i="15"/>
  <c r="K543" i="15"/>
  <c r="I543" i="15"/>
  <c r="B543" i="15"/>
  <c r="L542" i="15"/>
  <c r="B542" i="15"/>
  <c r="K541" i="15"/>
  <c r="I541" i="15"/>
  <c r="B541" i="15"/>
  <c r="L540" i="15"/>
  <c r="B540" i="15"/>
  <c r="K539" i="15"/>
  <c r="I539" i="15"/>
  <c r="B539" i="15"/>
  <c r="L538" i="15"/>
  <c r="B538" i="15"/>
  <c r="K537" i="15"/>
  <c r="I537" i="15"/>
  <c r="B537" i="15"/>
  <c r="L536" i="15"/>
  <c r="B536" i="15"/>
  <c r="K535" i="15"/>
  <c r="I535" i="15"/>
  <c r="B535" i="15"/>
  <c r="L534" i="15"/>
  <c r="J534" i="15"/>
  <c r="K534" i="15" s="1"/>
  <c r="B534" i="15"/>
  <c r="L533" i="15"/>
  <c r="J533" i="15"/>
  <c r="K533" i="15" s="1"/>
  <c r="B533" i="15"/>
  <c r="L532" i="15"/>
  <c r="J532" i="15"/>
  <c r="K532" i="15" s="1"/>
  <c r="B532" i="15"/>
  <c r="L531" i="15"/>
  <c r="J531" i="15"/>
  <c r="K531" i="15" s="1"/>
  <c r="B531" i="15"/>
  <c r="L530" i="15"/>
  <c r="J530" i="15"/>
  <c r="K530" i="15" s="1"/>
  <c r="B530" i="15"/>
  <c r="L529" i="15"/>
  <c r="J529" i="15"/>
  <c r="K529" i="15" s="1"/>
  <c r="B529" i="15"/>
  <c r="L528" i="15"/>
  <c r="J528" i="15"/>
  <c r="K528" i="15" s="1"/>
  <c r="B528" i="15"/>
  <c r="L527" i="15"/>
  <c r="K527" i="15"/>
  <c r="I527" i="15"/>
  <c r="B527" i="15"/>
  <c r="L526" i="15"/>
  <c r="K526" i="15"/>
  <c r="I526" i="15"/>
  <c r="B526" i="15"/>
  <c r="L525" i="15"/>
  <c r="K525" i="15"/>
  <c r="I525" i="15"/>
  <c r="B525" i="15"/>
  <c r="L524" i="15"/>
  <c r="K524" i="15"/>
  <c r="I524" i="15"/>
  <c r="B524" i="15"/>
  <c r="L523" i="15"/>
  <c r="K523" i="15"/>
  <c r="I523" i="15"/>
  <c r="B523" i="15"/>
  <c r="L522" i="15"/>
  <c r="K522" i="15"/>
  <c r="I522" i="15"/>
  <c r="B522" i="15"/>
  <c r="L521" i="15"/>
  <c r="K521" i="15"/>
  <c r="I521" i="15"/>
  <c r="B521" i="15"/>
  <c r="L520" i="15"/>
  <c r="K520" i="15"/>
  <c r="I520" i="15"/>
  <c r="B520" i="15"/>
  <c r="L519" i="15"/>
  <c r="K519" i="15"/>
  <c r="I519" i="15"/>
  <c r="B519" i="15"/>
  <c r="L518" i="15"/>
  <c r="K518" i="15"/>
  <c r="I518" i="15"/>
  <c r="B518" i="15"/>
  <c r="L517" i="15"/>
  <c r="K517" i="15"/>
  <c r="I517" i="15"/>
  <c r="B517" i="15"/>
  <c r="L516" i="15"/>
  <c r="K516" i="15"/>
  <c r="I516" i="15"/>
  <c r="B516" i="15"/>
  <c r="L515" i="15"/>
  <c r="K515" i="15"/>
  <c r="I515" i="15"/>
  <c r="B515" i="15"/>
  <c r="L514" i="15"/>
  <c r="K514" i="15"/>
  <c r="I514" i="15"/>
  <c r="B514" i="15"/>
  <c r="L513" i="15"/>
  <c r="K513" i="15"/>
  <c r="I513" i="15"/>
  <c r="B513" i="15"/>
  <c r="L512" i="15"/>
  <c r="K512" i="15"/>
  <c r="I512" i="15"/>
  <c r="B512" i="15"/>
  <c r="L511" i="15"/>
  <c r="K511" i="15"/>
  <c r="I511" i="15"/>
  <c r="B511" i="15"/>
  <c r="L510" i="15"/>
  <c r="K510" i="15"/>
  <c r="I510" i="15"/>
  <c r="B510" i="15"/>
  <c r="L509" i="15"/>
  <c r="K509" i="15"/>
  <c r="I509" i="15"/>
  <c r="B509" i="15"/>
  <c r="L508" i="15"/>
  <c r="K508" i="15"/>
  <c r="I508" i="15"/>
  <c r="B508" i="15"/>
  <c r="L507" i="15"/>
  <c r="K507" i="15"/>
  <c r="I507" i="15"/>
  <c r="B507" i="15"/>
  <c r="L506" i="15"/>
  <c r="K506" i="15"/>
  <c r="I506" i="15"/>
  <c r="B506" i="15"/>
  <c r="L505" i="15"/>
  <c r="K505" i="15"/>
  <c r="I505" i="15"/>
  <c r="B505" i="15"/>
  <c r="L504" i="15"/>
  <c r="K504" i="15"/>
  <c r="I504" i="15"/>
  <c r="B504" i="15"/>
  <c r="L503" i="15"/>
  <c r="K503" i="15"/>
  <c r="I503" i="15"/>
  <c r="B503" i="15"/>
  <c r="L502" i="15"/>
  <c r="K502" i="15"/>
  <c r="I502" i="15"/>
  <c r="B502" i="15"/>
  <c r="L501" i="15"/>
  <c r="K501" i="15"/>
  <c r="I501" i="15"/>
  <c r="B501" i="15"/>
  <c r="L500" i="15"/>
  <c r="K500" i="15"/>
  <c r="I500" i="15"/>
  <c r="B500" i="15"/>
  <c r="L499" i="15"/>
  <c r="K499" i="15"/>
  <c r="I499" i="15"/>
  <c r="B499" i="15"/>
  <c r="L498" i="15"/>
  <c r="K498" i="15"/>
  <c r="I498" i="15"/>
  <c r="B498" i="15"/>
  <c r="L497" i="15"/>
  <c r="K497" i="15"/>
  <c r="I497" i="15"/>
  <c r="B497" i="15"/>
  <c r="L496" i="15"/>
  <c r="K496" i="15"/>
  <c r="I496" i="15"/>
  <c r="B496" i="15"/>
  <c r="L495" i="15"/>
  <c r="K495" i="15"/>
  <c r="I495" i="15"/>
  <c r="B495" i="15"/>
  <c r="L494" i="15"/>
  <c r="K494" i="15"/>
  <c r="I494" i="15"/>
  <c r="B494" i="15"/>
  <c r="L493" i="15"/>
  <c r="K493" i="15"/>
  <c r="I493" i="15"/>
  <c r="B493" i="15"/>
  <c r="L492" i="15"/>
  <c r="K492" i="15"/>
  <c r="I492" i="15"/>
  <c r="B492" i="15"/>
  <c r="L491" i="15"/>
  <c r="K491" i="15"/>
  <c r="I491" i="15"/>
  <c r="B491" i="15"/>
  <c r="L490" i="15"/>
  <c r="K490" i="15"/>
  <c r="I490" i="15"/>
  <c r="B490" i="15"/>
  <c r="L489" i="15"/>
  <c r="K489" i="15"/>
  <c r="I489" i="15"/>
  <c r="B489" i="15"/>
  <c r="L488" i="15"/>
  <c r="K488" i="15"/>
  <c r="I488" i="15"/>
  <c r="B488" i="15"/>
  <c r="L487" i="15"/>
  <c r="K487" i="15"/>
  <c r="I487" i="15"/>
  <c r="B487" i="15"/>
  <c r="L486" i="15"/>
  <c r="K486" i="15"/>
  <c r="I486" i="15"/>
  <c r="B486" i="15"/>
  <c r="L485" i="15"/>
  <c r="K485" i="15"/>
  <c r="I485" i="15"/>
  <c r="B485" i="15"/>
  <c r="L484" i="15"/>
  <c r="K484" i="15"/>
  <c r="I484" i="15"/>
  <c r="B484" i="15"/>
  <c r="L483" i="15"/>
  <c r="K483" i="15"/>
  <c r="I483" i="15"/>
  <c r="B483" i="15"/>
  <c r="L482" i="15"/>
  <c r="K482" i="15"/>
  <c r="I482" i="15"/>
  <c r="B482" i="15"/>
  <c r="L481" i="15"/>
  <c r="K481" i="15"/>
  <c r="I481" i="15"/>
  <c r="B481" i="15"/>
  <c r="L480" i="15"/>
  <c r="K480" i="15"/>
  <c r="I480" i="15"/>
  <c r="B480" i="15"/>
  <c r="L479" i="15"/>
  <c r="K479" i="15"/>
  <c r="I479" i="15"/>
  <c r="B479" i="15"/>
  <c r="L478" i="15"/>
  <c r="K478" i="15"/>
  <c r="I478" i="15"/>
  <c r="B478" i="15"/>
  <c r="L477" i="15"/>
  <c r="K477" i="15"/>
  <c r="I477" i="15"/>
  <c r="B477" i="15"/>
  <c r="L476" i="15"/>
  <c r="K476" i="15"/>
  <c r="I476" i="15"/>
  <c r="B476" i="15"/>
  <c r="L475" i="15"/>
  <c r="K475" i="15"/>
  <c r="I475" i="15"/>
  <c r="B475" i="15"/>
  <c r="L474" i="15"/>
  <c r="K474" i="15"/>
  <c r="I474" i="15"/>
  <c r="B474" i="15"/>
  <c r="L473" i="15"/>
  <c r="K473" i="15"/>
  <c r="I473" i="15"/>
  <c r="B473" i="15"/>
  <c r="L472" i="15"/>
  <c r="K472" i="15"/>
  <c r="I472" i="15"/>
  <c r="B472" i="15"/>
  <c r="L471" i="15"/>
  <c r="J471" i="15"/>
  <c r="K471" i="15" s="1"/>
  <c r="B471" i="15"/>
  <c r="L470" i="15"/>
  <c r="J470" i="15"/>
  <c r="I470" i="15" s="1"/>
  <c r="B470" i="15"/>
  <c r="L469" i="15"/>
  <c r="J469" i="15"/>
  <c r="I469" i="15" s="1"/>
  <c r="B469" i="15"/>
  <c r="L468" i="15"/>
  <c r="B468" i="15"/>
  <c r="K467" i="15"/>
  <c r="I467" i="15"/>
  <c r="B467" i="15"/>
  <c r="L466" i="15"/>
  <c r="B466" i="15"/>
  <c r="K465" i="15"/>
  <c r="I465" i="15"/>
  <c r="B465" i="15"/>
  <c r="L464" i="15"/>
  <c r="J464" i="15"/>
  <c r="K464" i="15" s="1"/>
  <c r="B464" i="15"/>
  <c r="L463" i="15"/>
  <c r="J463" i="15"/>
  <c r="K463" i="15" s="1"/>
  <c r="B463" i="15"/>
  <c r="L462" i="15"/>
  <c r="K462" i="15"/>
  <c r="I462" i="15"/>
  <c r="B462" i="15"/>
  <c r="L461" i="15"/>
  <c r="K461" i="15"/>
  <c r="I461" i="15"/>
  <c r="B461" i="15"/>
  <c r="L460" i="15"/>
  <c r="K460" i="15"/>
  <c r="I460" i="15"/>
  <c r="B460" i="15"/>
  <c r="L459" i="15"/>
  <c r="K459" i="15"/>
  <c r="I459" i="15"/>
  <c r="B459" i="15"/>
  <c r="L458" i="15"/>
  <c r="K458" i="15"/>
  <c r="I458" i="15"/>
  <c r="B458" i="15"/>
  <c r="L457" i="15"/>
  <c r="K457" i="15"/>
  <c r="I457" i="15"/>
  <c r="B457" i="15"/>
  <c r="L456" i="15"/>
  <c r="K456" i="15"/>
  <c r="I456" i="15"/>
  <c r="B456" i="15"/>
  <c r="L455" i="15"/>
  <c r="K455" i="15"/>
  <c r="I455" i="15"/>
  <c r="B455" i="15"/>
  <c r="L454" i="15"/>
  <c r="K454" i="15"/>
  <c r="I454" i="15"/>
  <c r="B454" i="15"/>
  <c r="L453" i="15"/>
  <c r="K453" i="15"/>
  <c r="I453" i="15"/>
  <c r="B453" i="15"/>
  <c r="L452" i="15"/>
  <c r="K452" i="15"/>
  <c r="I452" i="15"/>
  <c r="B452" i="15"/>
  <c r="L451" i="15"/>
  <c r="K451" i="15"/>
  <c r="I451" i="15"/>
  <c r="B451" i="15"/>
  <c r="L450" i="15"/>
  <c r="K450" i="15"/>
  <c r="I450" i="15"/>
  <c r="B450" i="15"/>
  <c r="L449" i="15"/>
  <c r="K449" i="15"/>
  <c r="I449" i="15"/>
  <c r="B449" i="15"/>
  <c r="L448" i="15"/>
  <c r="K448" i="15"/>
  <c r="I448" i="15"/>
  <c r="B448" i="15"/>
  <c r="L447" i="15"/>
  <c r="K447" i="15"/>
  <c r="I447" i="15"/>
  <c r="B447" i="15"/>
  <c r="L446" i="15"/>
  <c r="K446" i="15"/>
  <c r="I446" i="15"/>
  <c r="B446" i="15"/>
  <c r="L445" i="15"/>
  <c r="K445" i="15"/>
  <c r="I445" i="15"/>
  <c r="B445" i="15"/>
  <c r="L444" i="15"/>
  <c r="K444" i="15"/>
  <c r="I444" i="15"/>
  <c r="B444" i="15"/>
  <c r="L443" i="15"/>
  <c r="K443" i="15"/>
  <c r="I443" i="15"/>
  <c r="B443" i="15"/>
  <c r="L442" i="15"/>
  <c r="K442" i="15"/>
  <c r="I442" i="15"/>
  <c r="B442" i="15"/>
  <c r="L441" i="15"/>
  <c r="K441" i="15"/>
  <c r="I441" i="15"/>
  <c r="B441" i="15"/>
  <c r="L440" i="15"/>
  <c r="K440" i="15"/>
  <c r="I440" i="15"/>
  <c r="B440" i="15"/>
  <c r="L439" i="15"/>
  <c r="K439" i="15"/>
  <c r="I439" i="15"/>
  <c r="B439" i="15"/>
  <c r="L438" i="15"/>
  <c r="K438" i="15"/>
  <c r="I438" i="15"/>
  <c r="B438" i="15"/>
  <c r="L437" i="15"/>
  <c r="B437" i="15"/>
  <c r="K436" i="15"/>
  <c r="I436" i="15"/>
  <c r="B436" i="15"/>
  <c r="L435" i="15"/>
  <c r="K435" i="15"/>
  <c r="I435" i="15"/>
  <c r="B435" i="15"/>
  <c r="L434" i="15"/>
  <c r="K434" i="15"/>
  <c r="I434" i="15"/>
  <c r="B434" i="15"/>
  <c r="L433" i="15"/>
  <c r="K433" i="15"/>
  <c r="I433" i="15"/>
  <c r="B433" i="15"/>
  <c r="L432" i="15"/>
  <c r="K432" i="15"/>
  <c r="I432" i="15"/>
  <c r="B432" i="15"/>
  <c r="L431" i="15"/>
  <c r="K431" i="15"/>
  <c r="I431" i="15"/>
  <c r="B431" i="15"/>
  <c r="L430" i="15"/>
  <c r="K430" i="15"/>
  <c r="I430" i="15"/>
  <c r="B430" i="15"/>
  <c r="L429" i="15"/>
  <c r="K429" i="15"/>
  <c r="I429" i="15"/>
  <c r="B429" i="15"/>
  <c r="L428" i="15"/>
  <c r="K428" i="15"/>
  <c r="I428" i="15"/>
  <c r="B428" i="15"/>
  <c r="L427" i="15"/>
  <c r="K427" i="15"/>
  <c r="I427" i="15"/>
  <c r="B427" i="15"/>
  <c r="L426" i="15"/>
  <c r="K426" i="15"/>
  <c r="I426" i="15"/>
  <c r="B426" i="15"/>
  <c r="L425" i="15"/>
  <c r="K425" i="15"/>
  <c r="I425" i="15"/>
  <c r="B425" i="15"/>
  <c r="L424" i="15"/>
  <c r="K424" i="15"/>
  <c r="I424" i="15"/>
  <c r="B424" i="15"/>
  <c r="L423" i="15"/>
  <c r="K423" i="15"/>
  <c r="I423" i="15"/>
  <c r="B423" i="15"/>
  <c r="L422" i="15"/>
  <c r="K422" i="15"/>
  <c r="I422" i="15"/>
  <c r="B422" i="15"/>
  <c r="L421" i="15"/>
  <c r="K421" i="15"/>
  <c r="I421" i="15"/>
  <c r="B421" i="15"/>
  <c r="L420" i="15"/>
  <c r="K420" i="15"/>
  <c r="I420" i="15"/>
  <c r="B420" i="15"/>
  <c r="L419" i="15"/>
  <c r="K419" i="15"/>
  <c r="I419" i="15"/>
  <c r="B419" i="15"/>
  <c r="L418" i="15"/>
  <c r="K418" i="15"/>
  <c r="I418" i="15"/>
  <c r="B418" i="15"/>
  <c r="L417" i="15"/>
  <c r="K417" i="15"/>
  <c r="I417" i="15"/>
  <c r="B417" i="15"/>
  <c r="L416" i="15"/>
  <c r="K416" i="15"/>
  <c r="I416" i="15"/>
  <c r="B416" i="15"/>
  <c r="L415" i="15"/>
  <c r="B415" i="15"/>
  <c r="K414" i="15"/>
  <c r="I414" i="15"/>
  <c r="B414" i="15"/>
  <c r="L413" i="15"/>
  <c r="B413" i="15"/>
  <c r="K412" i="15"/>
  <c r="I412" i="15"/>
  <c r="B412" i="15"/>
  <c r="L411" i="15"/>
  <c r="J411" i="15"/>
  <c r="I411" i="15" s="1"/>
  <c r="B411" i="15"/>
  <c r="L410" i="15"/>
  <c r="K410" i="15"/>
  <c r="I410" i="15"/>
  <c r="B410" i="15"/>
  <c r="L409" i="15"/>
  <c r="J409" i="15"/>
  <c r="K409" i="15" s="1"/>
  <c r="B409" i="15"/>
  <c r="L408" i="15"/>
  <c r="J408" i="15"/>
  <c r="K408" i="15" s="1"/>
  <c r="B408" i="15"/>
  <c r="L407" i="15"/>
  <c r="K407" i="15"/>
  <c r="I407" i="15"/>
  <c r="B407" i="15"/>
  <c r="L406" i="15"/>
  <c r="K406" i="15"/>
  <c r="I406" i="15"/>
  <c r="B406" i="15"/>
  <c r="L405" i="15"/>
  <c r="K405" i="15"/>
  <c r="I405" i="15"/>
  <c r="B405" i="15"/>
  <c r="L404" i="15"/>
  <c r="K404" i="15"/>
  <c r="I404" i="15"/>
  <c r="B404" i="15"/>
  <c r="L403" i="15"/>
  <c r="K403" i="15"/>
  <c r="I403" i="15"/>
  <c r="B403" i="15"/>
  <c r="L402" i="15"/>
  <c r="K402" i="15"/>
  <c r="I402" i="15"/>
  <c r="B402" i="15"/>
  <c r="L401" i="15"/>
  <c r="K401" i="15"/>
  <c r="I401" i="15"/>
  <c r="B401" i="15"/>
  <c r="L400" i="15"/>
  <c r="K400" i="15"/>
  <c r="I400" i="15"/>
  <c r="B400" i="15"/>
  <c r="L399" i="15"/>
  <c r="K399" i="15"/>
  <c r="I399" i="15"/>
  <c r="B399" i="15"/>
  <c r="L398" i="15"/>
  <c r="K398" i="15"/>
  <c r="I398" i="15"/>
  <c r="B398" i="15"/>
  <c r="L397" i="15"/>
  <c r="K397" i="15"/>
  <c r="I397" i="15"/>
  <c r="B397" i="15"/>
  <c r="L396" i="15"/>
  <c r="K396" i="15"/>
  <c r="I396" i="15"/>
  <c r="B396" i="15"/>
  <c r="L395" i="15"/>
  <c r="K395" i="15"/>
  <c r="I395" i="15"/>
  <c r="B395" i="15"/>
  <c r="L394" i="15"/>
  <c r="K394" i="15"/>
  <c r="I394" i="15"/>
  <c r="B394" i="15"/>
  <c r="L393" i="15"/>
  <c r="K393" i="15"/>
  <c r="I393" i="15"/>
  <c r="B393" i="15"/>
  <c r="L392" i="15"/>
  <c r="K392" i="15"/>
  <c r="I392" i="15"/>
  <c r="B392" i="15"/>
  <c r="L391" i="15"/>
  <c r="B391" i="15"/>
  <c r="K390" i="15"/>
  <c r="I390" i="15"/>
  <c r="B390" i="15"/>
  <c r="L389" i="15"/>
  <c r="K389" i="15"/>
  <c r="I389" i="15"/>
  <c r="B389" i="15"/>
  <c r="L388" i="15"/>
  <c r="K388" i="15"/>
  <c r="I388" i="15"/>
  <c r="B388" i="15"/>
  <c r="L387" i="15"/>
  <c r="K387" i="15"/>
  <c r="I387" i="15"/>
  <c r="B387" i="15"/>
  <c r="L386" i="15"/>
  <c r="K386" i="15"/>
  <c r="I386" i="15"/>
  <c r="B386" i="15"/>
  <c r="L385" i="15"/>
  <c r="K385" i="15"/>
  <c r="I385" i="15"/>
  <c r="B385" i="15"/>
  <c r="L384" i="15"/>
  <c r="K384" i="15"/>
  <c r="I384" i="15"/>
  <c r="B384" i="15"/>
  <c r="L383" i="15"/>
  <c r="K383" i="15"/>
  <c r="I383" i="15"/>
  <c r="B383" i="15"/>
  <c r="L382" i="15"/>
  <c r="K382" i="15"/>
  <c r="I382" i="15"/>
  <c r="B382" i="15"/>
  <c r="L381" i="15"/>
  <c r="K381" i="15"/>
  <c r="I381" i="15"/>
  <c r="B381" i="15"/>
  <c r="L380" i="15"/>
  <c r="K380" i="15"/>
  <c r="I380" i="15"/>
  <c r="B380" i="15"/>
  <c r="L379" i="15"/>
  <c r="K379" i="15"/>
  <c r="I379" i="15"/>
  <c r="B379" i="15"/>
  <c r="L378" i="15"/>
  <c r="K378" i="15"/>
  <c r="I378" i="15"/>
  <c r="B378" i="15"/>
  <c r="L377" i="15"/>
  <c r="K377" i="15"/>
  <c r="I377" i="15"/>
  <c r="B377" i="15"/>
  <c r="L376" i="15"/>
  <c r="K376" i="15"/>
  <c r="I376" i="15"/>
  <c r="B376" i="15"/>
  <c r="L375" i="15"/>
  <c r="K375" i="15"/>
  <c r="I375" i="15"/>
  <c r="B375" i="15"/>
  <c r="L374" i="15"/>
  <c r="K374" i="15"/>
  <c r="I374" i="15"/>
  <c r="B374" i="15"/>
  <c r="L373" i="15"/>
  <c r="K373" i="15"/>
  <c r="I373" i="15"/>
  <c r="B373" i="15"/>
  <c r="L372" i="15"/>
  <c r="K372" i="15"/>
  <c r="I372" i="15"/>
  <c r="B372" i="15"/>
  <c r="L371" i="15"/>
  <c r="K371" i="15"/>
  <c r="I371" i="15"/>
  <c r="B371" i="15"/>
  <c r="L370" i="15"/>
  <c r="K370" i="15"/>
  <c r="I370" i="15"/>
  <c r="B370" i="15"/>
  <c r="L369" i="15"/>
  <c r="K369" i="15"/>
  <c r="I369" i="15"/>
  <c r="B369" i="15"/>
  <c r="L368" i="15"/>
  <c r="K368" i="15"/>
  <c r="I368" i="15"/>
  <c r="B368" i="15"/>
  <c r="L367" i="15"/>
  <c r="K367" i="15"/>
  <c r="I367" i="15"/>
  <c r="B367" i="15"/>
  <c r="L366" i="15"/>
  <c r="K366" i="15"/>
  <c r="I366" i="15"/>
  <c r="B366" i="15"/>
  <c r="L365" i="15"/>
  <c r="K365" i="15"/>
  <c r="I365" i="15"/>
  <c r="B365" i="15"/>
  <c r="L364" i="15"/>
  <c r="K364" i="15"/>
  <c r="I364" i="15"/>
  <c r="B364" i="15"/>
  <c r="L363" i="15"/>
  <c r="K363" i="15"/>
  <c r="I363" i="15"/>
  <c r="B363" i="15"/>
  <c r="L362" i="15"/>
  <c r="K362" i="15"/>
  <c r="I362" i="15"/>
  <c r="B362" i="15"/>
  <c r="L361" i="15"/>
  <c r="K361" i="15"/>
  <c r="I361" i="15"/>
  <c r="B361" i="15"/>
  <c r="L360" i="15"/>
  <c r="K360" i="15"/>
  <c r="I360" i="15"/>
  <c r="B360" i="15"/>
  <c r="L359" i="15"/>
  <c r="K359" i="15"/>
  <c r="I359" i="15"/>
  <c r="B359" i="15"/>
  <c r="L358" i="15"/>
  <c r="K358" i="15"/>
  <c r="I358" i="15"/>
  <c r="B358" i="15"/>
  <c r="L357" i="15"/>
  <c r="K357" i="15"/>
  <c r="I357" i="15"/>
  <c r="B357" i="15"/>
  <c r="L356" i="15"/>
  <c r="K356" i="15"/>
  <c r="I356" i="15"/>
  <c r="B356" i="15"/>
  <c r="L355" i="15"/>
  <c r="K355" i="15"/>
  <c r="I355" i="15"/>
  <c r="B355" i="15"/>
  <c r="L354" i="15"/>
  <c r="K354" i="15"/>
  <c r="I354" i="15"/>
  <c r="B354" i="15"/>
  <c r="L353" i="15"/>
  <c r="K353" i="15"/>
  <c r="I353" i="15"/>
  <c r="B353" i="15"/>
  <c r="L352" i="15"/>
  <c r="K352" i="15"/>
  <c r="I352" i="15"/>
  <c r="B352" i="15"/>
  <c r="L351" i="15"/>
  <c r="K351" i="15"/>
  <c r="I351" i="15"/>
  <c r="B351" i="15"/>
  <c r="L350" i="15"/>
  <c r="K350" i="15"/>
  <c r="I350" i="15"/>
  <c r="B350" i="15"/>
  <c r="L349" i="15"/>
  <c r="K349" i="15"/>
  <c r="I349" i="15"/>
  <c r="B349" i="15"/>
  <c r="L348" i="15"/>
  <c r="K348" i="15"/>
  <c r="I348" i="15"/>
  <c r="B348" i="15"/>
  <c r="L347" i="15"/>
  <c r="K347" i="15"/>
  <c r="I347" i="15"/>
  <c r="B347" i="15"/>
  <c r="L346" i="15"/>
  <c r="K346" i="15"/>
  <c r="I346" i="15"/>
  <c r="B346" i="15"/>
  <c r="L345" i="15"/>
  <c r="K345" i="15"/>
  <c r="I345" i="15"/>
  <c r="B345" i="15"/>
  <c r="L344" i="15"/>
  <c r="K344" i="15"/>
  <c r="I344" i="15"/>
  <c r="B344" i="15"/>
  <c r="L343" i="15"/>
  <c r="K343" i="15"/>
  <c r="I343" i="15"/>
  <c r="B343" i="15"/>
  <c r="L342" i="15"/>
  <c r="K342" i="15"/>
  <c r="I342" i="15"/>
  <c r="B342" i="15"/>
  <c r="L341" i="15"/>
  <c r="K341" i="15"/>
  <c r="I341" i="15"/>
  <c r="B341" i="15"/>
  <c r="L340" i="15"/>
  <c r="K340" i="15"/>
  <c r="I340" i="15"/>
  <c r="B340" i="15"/>
  <c r="L339" i="15"/>
  <c r="K339" i="15"/>
  <c r="I339" i="15"/>
  <c r="B339" i="15"/>
  <c r="L338" i="15"/>
  <c r="K338" i="15"/>
  <c r="I338" i="15"/>
  <c r="B338" i="15"/>
  <c r="L337" i="15"/>
  <c r="K337" i="15"/>
  <c r="I337" i="15"/>
  <c r="B337" i="15"/>
  <c r="L336" i="15"/>
  <c r="K336" i="15"/>
  <c r="I336" i="15"/>
  <c r="B336" i="15"/>
  <c r="L335" i="15"/>
  <c r="K335" i="15"/>
  <c r="I335" i="15"/>
  <c r="B335" i="15"/>
  <c r="L334" i="15"/>
  <c r="K334" i="15"/>
  <c r="I334" i="15"/>
  <c r="B334" i="15"/>
  <c r="L333" i="15"/>
  <c r="K333" i="15"/>
  <c r="I333" i="15"/>
  <c r="B333" i="15"/>
  <c r="L332" i="15"/>
  <c r="K332" i="15"/>
  <c r="I332" i="15"/>
  <c r="B332" i="15"/>
  <c r="L331" i="15"/>
  <c r="K331" i="15"/>
  <c r="I331" i="15"/>
  <c r="B331" i="15"/>
  <c r="L330" i="15"/>
  <c r="K330" i="15"/>
  <c r="I330" i="15"/>
  <c r="B330" i="15"/>
  <c r="L329" i="15"/>
  <c r="K329" i="15"/>
  <c r="I329" i="15"/>
  <c r="B329" i="15"/>
  <c r="L328" i="15"/>
  <c r="K328" i="15"/>
  <c r="I328" i="15"/>
  <c r="B328" i="15"/>
  <c r="L327" i="15"/>
  <c r="K327" i="15"/>
  <c r="I327" i="15"/>
  <c r="B327" i="15"/>
  <c r="L326" i="15"/>
  <c r="K326" i="15"/>
  <c r="I326" i="15"/>
  <c r="B326" i="15"/>
  <c r="L325" i="15"/>
  <c r="K325" i="15"/>
  <c r="I325" i="15"/>
  <c r="B325" i="15"/>
  <c r="L324" i="15"/>
  <c r="K324" i="15"/>
  <c r="I324" i="15"/>
  <c r="B324" i="15"/>
  <c r="L323" i="15"/>
  <c r="K323" i="15"/>
  <c r="I323" i="15"/>
  <c r="B323" i="15"/>
  <c r="L322" i="15"/>
  <c r="K322" i="15"/>
  <c r="I322" i="15"/>
  <c r="B322" i="15"/>
  <c r="L321" i="15"/>
  <c r="K321" i="15"/>
  <c r="I321" i="15"/>
  <c r="B321" i="15"/>
  <c r="L320" i="15"/>
  <c r="K320" i="15"/>
  <c r="I320" i="15"/>
  <c r="B320" i="15"/>
  <c r="L319" i="15"/>
  <c r="K319" i="15"/>
  <c r="I319" i="15"/>
  <c r="B319" i="15"/>
  <c r="L318" i="15"/>
  <c r="K318" i="15"/>
  <c r="I318" i="15"/>
  <c r="B318" i="15"/>
  <c r="L317" i="15"/>
  <c r="K317" i="15"/>
  <c r="I317" i="15"/>
  <c r="B317" i="15"/>
  <c r="L316" i="15"/>
  <c r="K316" i="15"/>
  <c r="I316" i="15"/>
  <c r="B316" i="15"/>
  <c r="L315" i="15"/>
  <c r="K315" i="15"/>
  <c r="I315" i="15"/>
  <c r="B315" i="15"/>
  <c r="L314" i="15"/>
  <c r="K314" i="15"/>
  <c r="I314" i="15"/>
  <c r="B314" i="15"/>
  <c r="L313" i="15"/>
  <c r="K313" i="15"/>
  <c r="I313" i="15"/>
  <c r="B313" i="15"/>
  <c r="L312" i="15"/>
  <c r="K312" i="15"/>
  <c r="I312" i="15"/>
  <c r="B312" i="15"/>
  <c r="L311" i="15"/>
  <c r="K311" i="15"/>
  <c r="I311" i="15"/>
  <c r="B311" i="15"/>
  <c r="L310" i="15"/>
  <c r="K310" i="15"/>
  <c r="I310" i="15"/>
  <c r="B310" i="15"/>
  <c r="L309" i="15"/>
  <c r="K309" i="15"/>
  <c r="I309" i="15"/>
  <c r="B309" i="15"/>
  <c r="L308" i="15"/>
  <c r="K308" i="15"/>
  <c r="I308" i="15"/>
  <c r="B308" i="15"/>
  <c r="L307" i="15"/>
  <c r="K307" i="15"/>
  <c r="I307" i="15"/>
  <c r="B307" i="15"/>
  <c r="L306" i="15"/>
  <c r="K306" i="15"/>
  <c r="I306" i="15"/>
  <c r="B306" i="15"/>
  <c r="L305" i="15"/>
  <c r="K305" i="15"/>
  <c r="I305" i="15"/>
  <c r="B305" i="15"/>
  <c r="L304" i="15"/>
  <c r="K304" i="15"/>
  <c r="I304" i="15"/>
  <c r="B304" i="15"/>
  <c r="L303" i="15"/>
  <c r="K303" i="15"/>
  <c r="I303" i="15"/>
  <c r="B303" i="15"/>
  <c r="L302" i="15"/>
  <c r="K302" i="15"/>
  <c r="I302" i="15"/>
  <c r="B302" i="15"/>
  <c r="L301" i="15"/>
  <c r="K301" i="15"/>
  <c r="I301" i="15"/>
  <c r="B301" i="15"/>
  <c r="L300" i="15"/>
  <c r="K300" i="15"/>
  <c r="I300" i="15"/>
  <c r="B300" i="15"/>
  <c r="L299" i="15"/>
  <c r="K299" i="15"/>
  <c r="I299" i="15"/>
  <c r="B299" i="15"/>
  <c r="L298" i="15"/>
  <c r="K298" i="15"/>
  <c r="I298" i="15"/>
  <c r="B298" i="15"/>
  <c r="L297" i="15"/>
  <c r="K297" i="15"/>
  <c r="I297" i="15"/>
  <c r="B297" i="15"/>
  <c r="L296" i="15"/>
  <c r="K296" i="15"/>
  <c r="I296" i="15"/>
  <c r="B296" i="15"/>
  <c r="L295" i="15"/>
  <c r="K295" i="15"/>
  <c r="I295" i="15"/>
  <c r="B295" i="15"/>
  <c r="L294" i="15"/>
  <c r="K294" i="15"/>
  <c r="I294" i="15"/>
  <c r="B294" i="15"/>
  <c r="L293" i="15"/>
  <c r="K293" i="15"/>
  <c r="I293" i="15"/>
  <c r="B293" i="15"/>
  <c r="L292" i="15"/>
  <c r="K292" i="15"/>
  <c r="I292" i="15"/>
  <c r="B292" i="15"/>
  <c r="L291" i="15"/>
  <c r="K291" i="15"/>
  <c r="I291" i="15"/>
  <c r="B291" i="15"/>
  <c r="L290" i="15"/>
  <c r="K290" i="15"/>
  <c r="I290" i="15"/>
  <c r="B290" i="15"/>
  <c r="L289" i="15"/>
  <c r="K289" i="15"/>
  <c r="I289" i="15"/>
  <c r="B289" i="15"/>
  <c r="L288" i="15"/>
  <c r="K288" i="15"/>
  <c r="I288" i="15"/>
  <c r="B288" i="15"/>
  <c r="L287" i="15"/>
  <c r="K287" i="15"/>
  <c r="I287" i="15"/>
  <c r="B287" i="15"/>
  <c r="L286" i="15"/>
  <c r="K286" i="15"/>
  <c r="I286" i="15"/>
  <c r="B286" i="15"/>
  <c r="L285" i="15"/>
  <c r="K285" i="15"/>
  <c r="I285" i="15"/>
  <c r="B285" i="15"/>
  <c r="L284" i="15"/>
  <c r="K284" i="15"/>
  <c r="I284" i="15"/>
  <c r="B284" i="15"/>
  <c r="L283" i="15"/>
  <c r="K283" i="15"/>
  <c r="I283" i="15"/>
  <c r="B283" i="15"/>
  <c r="L282" i="15"/>
  <c r="K282" i="15"/>
  <c r="I282" i="15"/>
  <c r="B282" i="15"/>
  <c r="L281" i="15"/>
  <c r="K281" i="15"/>
  <c r="I281" i="15"/>
  <c r="B281" i="15"/>
  <c r="L280" i="15"/>
  <c r="K280" i="15"/>
  <c r="I280" i="15"/>
  <c r="B280" i="15"/>
  <c r="L279" i="15"/>
  <c r="K279" i="15"/>
  <c r="I279" i="15"/>
  <c r="B279" i="15"/>
  <c r="L278" i="15"/>
  <c r="K278" i="15"/>
  <c r="I278" i="15"/>
  <c r="B278" i="15"/>
  <c r="L277" i="15"/>
  <c r="K277" i="15"/>
  <c r="I277" i="15"/>
  <c r="B277" i="15"/>
  <c r="L276" i="15"/>
  <c r="K276" i="15"/>
  <c r="I276" i="15"/>
  <c r="B276" i="15"/>
  <c r="L275" i="15"/>
  <c r="K275" i="15"/>
  <c r="I275" i="15"/>
  <c r="B275" i="15"/>
  <c r="L274" i="15"/>
  <c r="K274" i="15"/>
  <c r="I274" i="15"/>
  <c r="B274" i="15"/>
  <c r="L273" i="15"/>
  <c r="K273" i="15"/>
  <c r="I273" i="15"/>
  <c r="B273" i="15"/>
  <c r="L272" i="15"/>
  <c r="K272" i="15"/>
  <c r="I272" i="15"/>
  <c r="B272" i="15"/>
  <c r="L271" i="15"/>
  <c r="K271" i="15"/>
  <c r="I271" i="15"/>
  <c r="B271" i="15"/>
  <c r="L270" i="15"/>
  <c r="K270" i="15"/>
  <c r="I270" i="15"/>
  <c r="B270" i="15"/>
  <c r="L269" i="15"/>
  <c r="K269" i="15"/>
  <c r="I269" i="15"/>
  <c r="B269" i="15"/>
  <c r="L268" i="15"/>
  <c r="K268" i="15"/>
  <c r="I268" i="15"/>
  <c r="B268" i="15"/>
  <c r="L267" i="15"/>
  <c r="K267" i="15"/>
  <c r="I267" i="15"/>
  <c r="B267" i="15"/>
  <c r="L266" i="15"/>
  <c r="K266" i="15"/>
  <c r="I266" i="15"/>
  <c r="B266" i="15"/>
  <c r="L265" i="15"/>
  <c r="K265" i="15"/>
  <c r="I265" i="15"/>
  <c r="B265" i="15"/>
  <c r="L264" i="15"/>
  <c r="K264" i="15"/>
  <c r="I264" i="15"/>
  <c r="B264" i="15"/>
  <c r="L263" i="15"/>
  <c r="K263" i="15"/>
  <c r="I263" i="15"/>
  <c r="B263" i="15"/>
  <c r="L262" i="15"/>
  <c r="K262" i="15"/>
  <c r="I262" i="15"/>
  <c r="B262" i="15"/>
  <c r="L261" i="15"/>
  <c r="K261" i="15"/>
  <c r="I261" i="15"/>
  <c r="B261" i="15"/>
  <c r="L260" i="15"/>
  <c r="K260" i="15"/>
  <c r="I260" i="15"/>
  <c r="B260" i="15"/>
  <c r="L259" i="15"/>
  <c r="K259" i="15"/>
  <c r="I259" i="15"/>
  <c r="B259" i="15"/>
  <c r="L258" i="15"/>
  <c r="K258" i="15"/>
  <c r="I258" i="15"/>
  <c r="B258" i="15"/>
  <c r="L257" i="15"/>
  <c r="K257" i="15"/>
  <c r="I257" i="15"/>
  <c r="B257" i="15"/>
  <c r="L256" i="15"/>
  <c r="K256" i="15"/>
  <c r="I256" i="15"/>
  <c r="B256" i="15"/>
  <c r="L255" i="15"/>
  <c r="K255" i="15"/>
  <c r="I255" i="15"/>
  <c r="B255" i="15"/>
  <c r="L254" i="15"/>
  <c r="K254" i="15"/>
  <c r="I254" i="15"/>
  <c r="B254" i="15"/>
  <c r="L253" i="15"/>
  <c r="K253" i="15"/>
  <c r="I253" i="15"/>
  <c r="B253" i="15"/>
  <c r="L252" i="15"/>
  <c r="K252" i="15"/>
  <c r="I252" i="15"/>
  <c r="B252" i="15"/>
  <c r="L251" i="15"/>
  <c r="K251" i="15"/>
  <c r="I251" i="15"/>
  <c r="B251" i="15"/>
  <c r="L250" i="15"/>
  <c r="K250" i="15"/>
  <c r="I250" i="15"/>
  <c r="B250" i="15"/>
  <c r="L249" i="15"/>
  <c r="K249" i="15"/>
  <c r="I249" i="15"/>
  <c r="B249" i="15"/>
  <c r="L248" i="15"/>
  <c r="K248" i="15"/>
  <c r="I248" i="15"/>
  <c r="B248" i="15"/>
  <c r="L247" i="15"/>
  <c r="K247" i="15"/>
  <c r="I247" i="15"/>
  <c r="B247" i="15"/>
  <c r="L246" i="15"/>
  <c r="K246" i="15"/>
  <c r="I246" i="15"/>
  <c r="B246" i="15"/>
  <c r="L245" i="15"/>
  <c r="K245" i="15"/>
  <c r="I245" i="15"/>
  <c r="B245" i="15"/>
  <c r="L244" i="15"/>
  <c r="K244" i="15"/>
  <c r="I244" i="15"/>
  <c r="B244" i="15"/>
  <c r="L243" i="15"/>
  <c r="K243" i="15"/>
  <c r="I243" i="15"/>
  <c r="B243" i="15"/>
  <c r="L242" i="15"/>
  <c r="K242" i="15"/>
  <c r="I242" i="15"/>
  <c r="B242" i="15"/>
  <c r="L241" i="15"/>
  <c r="K241" i="15"/>
  <c r="I241" i="15"/>
  <c r="B241" i="15"/>
  <c r="L240" i="15"/>
  <c r="K240" i="15"/>
  <c r="I240" i="15"/>
  <c r="B240" i="15"/>
  <c r="L239" i="15"/>
  <c r="K239" i="15"/>
  <c r="I239" i="15"/>
  <c r="B239" i="15"/>
  <c r="L238" i="15"/>
  <c r="K238" i="15"/>
  <c r="I238" i="15"/>
  <c r="B238" i="15"/>
  <c r="L237" i="15"/>
  <c r="K237" i="15"/>
  <c r="I237" i="15"/>
  <c r="B237" i="15"/>
  <c r="L236" i="15"/>
  <c r="K236" i="15"/>
  <c r="I236" i="15"/>
  <c r="B236" i="15"/>
  <c r="L235" i="15"/>
  <c r="K235" i="15"/>
  <c r="I235" i="15"/>
  <c r="B235" i="15"/>
  <c r="L234" i="15"/>
  <c r="K234" i="15"/>
  <c r="I234" i="15"/>
  <c r="B234" i="15"/>
  <c r="L233" i="15"/>
  <c r="K233" i="15"/>
  <c r="I233" i="15"/>
  <c r="B233" i="15"/>
  <c r="L232" i="15"/>
  <c r="K232" i="15"/>
  <c r="I232" i="15"/>
  <c r="B232" i="15"/>
  <c r="L231" i="15"/>
  <c r="K231" i="15"/>
  <c r="I231" i="15"/>
  <c r="B231" i="15"/>
  <c r="L230" i="15"/>
  <c r="K230" i="15"/>
  <c r="I230" i="15"/>
  <c r="B230" i="15"/>
  <c r="L229" i="15"/>
  <c r="K229" i="15"/>
  <c r="I229" i="15"/>
  <c r="B229" i="15"/>
  <c r="L228" i="15"/>
  <c r="K228" i="15"/>
  <c r="I228" i="15"/>
  <c r="B228" i="15"/>
  <c r="L227" i="15"/>
  <c r="K227" i="15"/>
  <c r="I227" i="15"/>
  <c r="B227" i="15"/>
  <c r="L226" i="15"/>
  <c r="K226" i="15"/>
  <c r="I226" i="15"/>
  <c r="B226" i="15"/>
  <c r="L225" i="15"/>
  <c r="K225" i="15"/>
  <c r="I225" i="15"/>
  <c r="B225" i="15"/>
  <c r="L224" i="15"/>
  <c r="K224" i="15"/>
  <c r="I224" i="15"/>
  <c r="B224" i="15"/>
  <c r="L223" i="15"/>
  <c r="K223" i="15"/>
  <c r="I223" i="15"/>
  <c r="B223" i="15"/>
  <c r="L222" i="15"/>
  <c r="K222" i="15"/>
  <c r="I222" i="15"/>
  <c r="B222" i="15"/>
  <c r="L221" i="15"/>
  <c r="K221" i="15"/>
  <c r="I221" i="15"/>
  <c r="B221" i="15"/>
  <c r="L220" i="15"/>
  <c r="K220" i="15"/>
  <c r="I220" i="15"/>
  <c r="B220" i="15"/>
  <c r="L219" i="15"/>
  <c r="K219" i="15"/>
  <c r="I219" i="15"/>
  <c r="B219" i="15"/>
  <c r="L218" i="15"/>
  <c r="K218" i="15"/>
  <c r="I218" i="15"/>
  <c r="B218" i="15"/>
  <c r="L217" i="15"/>
  <c r="K217" i="15"/>
  <c r="I217" i="15"/>
  <c r="B217" i="15"/>
  <c r="L216" i="15"/>
  <c r="K216" i="15"/>
  <c r="I216" i="15"/>
  <c r="B216" i="15"/>
  <c r="L215" i="15"/>
  <c r="K215" i="15"/>
  <c r="I215" i="15"/>
  <c r="B215" i="15"/>
  <c r="L214" i="15"/>
  <c r="K214" i="15"/>
  <c r="I214" i="15"/>
  <c r="B214" i="15"/>
  <c r="L213" i="15"/>
  <c r="K213" i="15"/>
  <c r="I213" i="15"/>
  <c r="B213" i="15"/>
  <c r="L212" i="15"/>
  <c r="K212" i="15"/>
  <c r="I212" i="15"/>
  <c r="B212" i="15"/>
  <c r="L211" i="15"/>
  <c r="K211" i="15"/>
  <c r="I211" i="15"/>
  <c r="B211" i="15"/>
  <c r="L210" i="15"/>
  <c r="K210" i="15"/>
  <c r="I210" i="15"/>
  <c r="B210" i="15"/>
  <c r="L209" i="15"/>
  <c r="K209" i="15"/>
  <c r="I209" i="15"/>
  <c r="B209" i="15"/>
  <c r="L208" i="15"/>
  <c r="K208" i="15"/>
  <c r="I208" i="15"/>
  <c r="B208" i="15"/>
  <c r="L207" i="15"/>
  <c r="K207" i="15"/>
  <c r="I207" i="15"/>
  <c r="B207" i="15"/>
  <c r="L206" i="15"/>
  <c r="K206" i="15"/>
  <c r="I206" i="15"/>
  <c r="B206" i="15"/>
  <c r="L205" i="15"/>
  <c r="K205" i="15"/>
  <c r="I205" i="15"/>
  <c r="B205" i="15"/>
  <c r="L204" i="15"/>
  <c r="K204" i="15"/>
  <c r="I204" i="15"/>
  <c r="B204" i="15"/>
  <c r="L203" i="15"/>
  <c r="K203" i="15"/>
  <c r="I203" i="15"/>
  <c r="B203" i="15"/>
  <c r="L202" i="15"/>
  <c r="K202" i="15"/>
  <c r="I202" i="15"/>
  <c r="B202" i="15"/>
  <c r="L201" i="15"/>
  <c r="K201" i="15"/>
  <c r="I201" i="15"/>
  <c r="B201" i="15"/>
  <c r="L200" i="15"/>
  <c r="K200" i="15"/>
  <c r="I200" i="15"/>
  <c r="B200" i="15"/>
  <c r="L199" i="15"/>
  <c r="K199" i="15"/>
  <c r="I199" i="15"/>
  <c r="B199" i="15"/>
  <c r="L198" i="15"/>
  <c r="K198" i="15"/>
  <c r="I198" i="15"/>
  <c r="B198" i="15"/>
  <c r="L197" i="15"/>
  <c r="K197" i="15"/>
  <c r="I197" i="15"/>
  <c r="B197" i="15"/>
  <c r="L196" i="15"/>
  <c r="K196" i="15"/>
  <c r="I196" i="15"/>
  <c r="B196" i="15"/>
  <c r="L195" i="15"/>
  <c r="K195" i="15"/>
  <c r="I195" i="15"/>
  <c r="B195" i="15"/>
  <c r="L194" i="15"/>
  <c r="K194" i="15"/>
  <c r="I194" i="15"/>
  <c r="B194" i="15"/>
  <c r="L193" i="15"/>
  <c r="K193" i="15"/>
  <c r="I193" i="15"/>
  <c r="B193" i="15"/>
  <c r="L192" i="15"/>
  <c r="K192" i="15"/>
  <c r="I192" i="15"/>
  <c r="B192" i="15"/>
  <c r="L191" i="15"/>
  <c r="K191" i="15"/>
  <c r="I191" i="15"/>
  <c r="B191" i="15"/>
  <c r="L190" i="15"/>
  <c r="K190" i="15"/>
  <c r="I190" i="15"/>
  <c r="B190" i="15"/>
  <c r="L189" i="15"/>
  <c r="K189" i="15"/>
  <c r="I189" i="15"/>
  <c r="B189" i="15"/>
  <c r="L188" i="15"/>
  <c r="K188" i="15"/>
  <c r="I188" i="15"/>
  <c r="B188" i="15"/>
  <c r="L187" i="15"/>
  <c r="K187" i="15"/>
  <c r="I187" i="15"/>
  <c r="B187" i="15"/>
  <c r="L186" i="15"/>
  <c r="K186" i="15"/>
  <c r="I186" i="15"/>
  <c r="B186" i="15"/>
  <c r="L185" i="15"/>
  <c r="K185" i="15"/>
  <c r="I185" i="15"/>
  <c r="B185" i="15"/>
  <c r="L184" i="15"/>
  <c r="K184" i="15"/>
  <c r="I184" i="15"/>
  <c r="B184" i="15"/>
  <c r="L183" i="15"/>
  <c r="K183" i="15"/>
  <c r="I183" i="15"/>
  <c r="B183" i="15"/>
  <c r="L182" i="15"/>
  <c r="K182" i="15"/>
  <c r="I182" i="15"/>
  <c r="B182" i="15"/>
  <c r="L181" i="15"/>
  <c r="K181" i="15"/>
  <c r="I181" i="15"/>
  <c r="B181" i="15"/>
  <c r="L180" i="15"/>
  <c r="K180" i="15"/>
  <c r="I180" i="15"/>
  <c r="B180" i="15"/>
  <c r="L179" i="15"/>
  <c r="K179" i="15"/>
  <c r="I179" i="15"/>
  <c r="B179" i="15"/>
  <c r="L178" i="15"/>
  <c r="K178" i="15"/>
  <c r="I178" i="15"/>
  <c r="B178" i="15"/>
  <c r="L177" i="15"/>
  <c r="K177" i="15"/>
  <c r="I177" i="15"/>
  <c r="B177" i="15"/>
  <c r="L176" i="15"/>
  <c r="K176" i="15"/>
  <c r="I176" i="15"/>
  <c r="B176" i="15"/>
  <c r="L175" i="15"/>
  <c r="K175" i="15"/>
  <c r="I175" i="15"/>
  <c r="B175" i="15"/>
  <c r="L174" i="15"/>
  <c r="K174" i="15"/>
  <c r="I174" i="15"/>
  <c r="B174" i="15"/>
  <c r="L173" i="15"/>
  <c r="K173" i="15"/>
  <c r="I173" i="15"/>
  <c r="B173" i="15"/>
  <c r="L172" i="15"/>
  <c r="K172" i="15"/>
  <c r="I172" i="15"/>
  <c r="B172" i="15"/>
  <c r="L171" i="15"/>
  <c r="K171" i="15"/>
  <c r="I171" i="15"/>
  <c r="B171" i="15"/>
  <c r="L170" i="15"/>
  <c r="K170" i="15"/>
  <c r="I170" i="15"/>
  <c r="B170" i="15"/>
  <c r="L169" i="15"/>
  <c r="K169" i="15"/>
  <c r="I169" i="15"/>
  <c r="B169" i="15"/>
  <c r="L168" i="15"/>
  <c r="K168" i="15"/>
  <c r="I168" i="15"/>
  <c r="B168" i="15"/>
  <c r="L167" i="15"/>
  <c r="K167" i="15"/>
  <c r="I167" i="15"/>
  <c r="B167" i="15"/>
  <c r="L166" i="15"/>
  <c r="K166" i="15"/>
  <c r="I166" i="15"/>
  <c r="B166" i="15"/>
  <c r="L165" i="15"/>
  <c r="K165" i="15"/>
  <c r="I165" i="15"/>
  <c r="B165" i="15"/>
  <c r="L164" i="15"/>
  <c r="K164" i="15"/>
  <c r="I164" i="15"/>
  <c r="B164" i="15"/>
  <c r="L163" i="15"/>
  <c r="K163" i="15"/>
  <c r="I163" i="15"/>
  <c r="B163" i="15"/>
  <c r="L162" i="15"/>
  <c r="K162" i="15"/>
  <c r="I162" i="15"/>
  <c r="B162" i="15"/>
  <c r="L161" i="15"/>
  <c r="K161" i="15"/>
  <c r="I161" i="15"/>
  <c r="B161" i="15"/>
  <c r="L160" i="15"/>
  <c r="K160" i="15"/>
  <c r="I160" i="15"/>
  <c r="B160" i="15"/>
  <c r="L159" i="15"/>
  <c r="K159" i="15"/>
  <c r="I159" i="15"/>
  <c r="B159" i="15"/>
  <c r="L158" i="15"/>
  <c r="K158" i="15"/>
  <c r="I158" i="15"/>
  <c r="B158" i="15"/>
  <c r="L157" i="15"/>
  <c r="K157" i="15"/>
  <c r="I157" i="15"/>
  <c r="B157" i="15"/>
  <c r="L156" i="15"/>
  <c r="K156" i="15"/>
  <c r="I156" i="15"/>
  <c r="B156" i="15"/>
  <c r="L155" i="15"/>
  <c r="K155" i="15"/>
  <c r="I155" i="15"/>
  <c r="B155" i="15"/>
  <c r="L154" i="15"/>
  <c r="K154" i="15"/>
  <c r="I154" i="15"/>
  <c r="B154" i="15"/>
  <c r="L153" i="15"/>
  <c r="K153" i="15"/>
  <c r="I153" i="15"/>
  <c r="B153" i="15"/>
  <c r="L152" i="15"/>
  <c r="K152" i="15"/>
  <c r="I152" i="15"/>
  <c r="B152" i="15"/>
  <c r="L151" i="15"/>
  <c r="K151" i="15"/>
  <c r="I151" i="15"/>
  <c r="B151" i="15"/>
  <c r="L150" i="15"/>
  <c r="K150" i="15"/>
  <c r="I150" i="15"/>
  <c r="B150" i="15"/>
  <c r="L149" i="15"/>
  <c r="K149" i="15"/>
  <c r="I149" i="15"/>
  <c r="B149" i="15"/>
  <c r="L148" i="15"/>
  <c r="K148" i="15"/>
  <c r="I148" i="15"/>
  <c r="B148" i="15"/>
  <c r="L147" i="15"/>
  <c r="K147" i="15"/>
  <c r="I147" i="15"/>
  <c r="B147" i="15"/>
  <c r="L146" i="15"/>
  <c r="K146" i="15"/>
  <c r="I146" i="15"/>
  <c r="B146" i="15"/>
  <c r="L145" i="15"/>
  <c r="K145" i="15"/>
  <c r="I145" i="15"/>
  <c r="B145" i="15"/>
  <c r="L144" i="15"/>
  <c r="K144" i="15"/>
  <c r="I144" i="15"/>
  <c r="B144" i="15"/>
  <c r="L143" i="15"/>
  <c r="K143" i="15"/>
  <c r="I143" i="15"/>
  <c r="B143" i="15"/>
  <c r="L142" i="15"/>
  <c r="K142" i="15"/>
  <c r="I142" i="15"/>
  <c r="B142" i="15"/>
  <c r="L141" i="15"/>
  <c r="K141" i="15"/>
  <c r="I141" i="15"/>
  <c r="B141" i="15"/>
  <c r="L140" i="15"/>
  <c r="K140" i="15"/>
  <c r="I140" i="15"/>
  <c r="B140" i="15"/>
  <c r="M138" i="15"/>
  <c r="J138" i="15"/>
  <c r="L137" i="15"/>
  <c r="K137" i="15"/>
  <c r="I137" i="15"/>
  <c r="B137" i="15"/>
  <c r="L136" i="15"/>
  <c r="K136" i="15"/>
  <c r="I136" i="15"/>
  <c r="B136" i="15"/>
  <c r="L135" i="15"/>
  <c r="K135" i="15"/>
  <c r="I135" i="15"/>
  <c r="B135" i="15"/>
  <c r="L134" i="15"/>
  <c r="K134" i="15"/>
  <c r="I134" i="15"/>
  <c r="B134" i="15"/>
  <c r="L133" i="15"/>
  <c r="K133" i="15"/>
  <c r="I133" i="15"/>
  <c r="B133" i="15"/>
  <c r="L132" i="15"/>
  <c r="K132" i="15"/>
  <c r="I132" i="15"/>
  <c r="B132" i="15"/>
  <c r="L131" i="15"/>
  <c r="K131" i="15"/>
  <c r="I131" i="15"/>
  <c r="B131" i="15"/>
  <c r="L130" i="15"/>
  <c r="K130" i="15"/>
  <c r="I130" i="15"/>
  <c r="B130" i="15"/>
  <c r="L129" i="15"/>
  <c r="K129" i="15"/>
  <c r="I129" i="15"/>
  <c r="B129" i="15"/>
  <c r="L128" i="15"/>
  <c r="K128" i="15"/>
  <c r="I128" i="15"/>
  <c r="B128" i="15"/>
  <c r="L127" i="15"/>
  <c r="K127" i="15"/>
  <c r="I127" i="15"/>
  <c r="B127" i="15"/>
  <c r="L126" i="15"/>
  <c r="K126" i="15"/>
  <c r="I126" i="15"/>
  <c r="B126" i="15"/>
  <c r="L125" i="15"/>
  <c r="K125" i="15"/>
  <c r="I125" i="15"/>
  <c r="B125" i="15"/>
  <c r="L124" i="15"/>
  <c r="K124" i="15"/>
  <c r="I124" i="15"/>
  <c r="B124" i="15"/>
  <c r="L123" i="15"/>
  <c r="K123" i="15"/>
  <c r="I123" i="15"/>
  <c r="B123" i="15"/>
  <c r="L122" i="15"/>
  <c r="K122" i="15"/>
  <c r="I122" i="15"/>
  <c r="B122" i="15"/>
  <c r="L121" i="15"/>
  <c r="K121" i="15"/>
  <c r="I121" i="15"/>
  <c r="B121" i="15"/>
  <c r="L120" i="15"/>
  <c r="K120" i="15"/>
  <c r="I120" i="15"/>
  <c r="B120" i="15"/>
  <c r="L119" i="15"/>
  <c r="K119" i="15"/>
  <c r="I119" i="15"/>
  <c r="B119" i="15"/>
  <c r="L118" i="15"/>
  <c r="K118" i="15"/>
  <c r="I118" i="15"/>
  <c r="B118" i="15"/>
  <c r="L117" i="15"/>
  <c r="K117" i="15"/>
  <c r="I117" i="15"/>
  <c r="B117" i="15"/>
  <c r="L116" i="15"/>
  <c r="K116" i="15"/>
  <c r="I116" i="15"/>
  <c r="B116" i="15"/>
  <c r="L115" i="15"/>
  <c r="K115" i="15"/>
  <c r="I115" i="15"/>
  <c r="B115" i="15"/>
  <c r="L114" i="15"/>
  <c r="K114" i="15"/>
  <c r="I114" i="15"/>
  <c r="B114" i="15"/>
  <c r="L113" i="15"/>
  <c r="K113" i="15"/>
  <c r="I113" i="15"/>
  <c r="B113" i="15"/>
  <c r="L112" i="15"/>
  <c r="K112" i="15"/>
  <c r="I112" i="15"/>
  <c r="B112" i="15"/>
  <c r="L111" i="15"/>
  <c r="K111" i="15"/>
  <c r="I111" i="15"/>
  <c r="B111" i="15"/>
  <c r="L110" i="15"/>
  <c r="K110" i="15"/>
  <c r="I110" i="15"/>
  <c r="B110" i="15"/>
  <c r="L109" i="15"/>
  <c r="K109" i="15"/>
  <c r="I109" i="15"/>
  <c r="B109" i="15"/>
  <c r="L108" i="15"/>
  <c r="K108" i="15"/>
  <c r="I108" i="15"/>
  <c r="B108" i="15"/>
  <c r="L107" i="15"/>
  <c r="K107" i="15"/>
  <c r="I107" i="15"/>
  <c r="B107" i="15"/>
  <c r="L106" i="15"/>
  <c r="K106" i="15"/>
  <c r="I106" i="15"/>
  <c r="B106" i="15"/>
  <c r="L105" i="15"/>
  <c r="K105" i="15"/>
  <c r="I105" i="15"/>
  <c r="B105" i="15"/>
  <c r="L104" i="15"/>
  <c r="K104" i="15"/>
  <c r="I104" i="15"/>
  <c r="B104" i="15"/>
  <c r="L103" i="15"/>
  <c r="K103" i="15"/>
  <c r="I103" i="15"/>
  <c r="B103" i="15"/>
  <c r="L102" i="15"/>
  <c r="K102" i="15"/>
  <c r="I102" i="15"/>
  <c r="B102" i="15"/>
  <c r="L101" i="15"/>
  <c r="K101" i="15"/>
  <c r="I101" i="15"/>
  <c r="B101" i="15"/>
  <c r="L100" i="15"/>
  <c r="K100" i="15"/>
  <c r="I100" i="15"/>
  <c r="B100" i="15"/>
  <c r="L99" i="15"/>
  <c r="K99" i="15"/>
  <c r="I99" i="15"/>
  <c r="B99" i="15"/>
  <c r="L98" i="15"/>
  <c r="K98" i="15"/>
  <c r="I98" i="15"/>
  <c r="B98" i="15"/>
  <c r="L97" i="15"/>
  <c r="K97" i="15"/>
  <c r="I97" i="15"/>
  <c r="B97" i="15"/>
  <c r="L96" i="15"/>
  <c r="K96" i="15"/>
  <c r="I96" i="15"/>
  <c r="B96" i="15"/>
  <c r="L95" i="15"/>
  <c r="K95" i="15"/>
  <c r="I95" i="15"/>
  <c r="B95" i="15"/>
  <c r="L94" i="15"/>
  <c r="K94" i="15"/>
  <c r="I94" i="15"/>
  <c r="B94" i="15"/>
  <c r="L93" i="15"/>
  <c r="K93" i="15"/>
  <c r="I93" i="15"/>
  <c r="B93" i="15"/>
  <c r="L92" i="15"/>
  <c r="K92" i="15"/>
  <c r="I92" i="15"/>
  <c r="B92" i="15"/>
  <c r="L91" i="15"/>
  <c r="K91" i="15"/>
  <c r="I91" i="15"/>
  <c r="B91" i="15"/>
  <c r="L90" i="15"/>
  <c r="K90" i="15"/>
  <c r="I90" i="15"/>
  <c r="B90" i="15"/>
  <c r="L89" i="15"/>
  <c r="K89" i="15"/>
  <c r="I89" i="15"/>
  <c r="B89" i="15"/>
  <c r="L88" i="15"/>
  <c r="K88" i="15"/>
  <c r="I88" i="15"/>
  <c r="B88" i="15"/>
  <c r="L87" i="15"/>
  <c r="K87" i="15"/>
  <c r="I87" i="15"/>
  <c r="B87" i="15"/>
  <c r="L86" i="15"/>
  <c r="K86" i="15"/>
  <c r="I86" i="15"/>
  <c r="B86" i="15"/>
  <c r="L85" i="15"/>
  <c r="K85" i="15"/>
  <c r="I85" i="15"/>
  <c r="B85" i="15"/>
  <c r="L84" i="15"/>
  <c r="K84" i="15"/>
  <c r="I84" i="15"/>
  <c r="B84" i="15"/>
  <c r="L83" i="15"/>
  <c r="K83" i="15"/>
  <c r="I83" i="15"/>
  <c r="B83" i="15"/>
  <c r="L82" i="15"/>
  <c r="K82" i="15"/>
  <c r="I82" i="15"/>
  <c r="B82" i="15"/>
  <c r="L81" i="15"/>
  <c r="K81" i="15"/>
  <c r="I81" i="15"/>
  <c r="B81" i="15"/>
  <c r="L80" i="15"/>
  <c r="K80" i="15"/>
  <c r="I80" i="15"/>
  <c r="B80" i="15"/>
  <c r="L79" i="15"/>
  <c r="K79" i="15"/>
  <c r="I79" i="15"/>
  <c r="B79" i="15"/>
  <c r="L78" i="15"/>
  <c r="K78" i="15"/>
  <c r="I78" i="15"/>
  <c r="B78" i="15"/>
  <c r="L77" i="15"/>
  <c r="K77" i="15"/>
  <c r="I77" i="15"/>
  <c r="B77" i="15"/>
  <c r="L76" i="15"/>
  <c r="K76" i="15"/>
  <c r="I76" i="15"/>
  <c r="B76" i="15"/>
  <c r="L75" i="15"/>
  <c r="K75" i="15"/>
  <c r="I75" i="15"/>
  <c r="B75" i="15"/>
  <c r="L74" i="15"/>
  <c r="K74" i="15"/>
  <c r="I74" i="15"/>
  <c r="B74" i="15"/>
  <c r="L73" i="15"/>
  <c r="K73" i="15"/>
  <c r="I73" i="15"/>
  <c r="B73" i="15"/>
  <c r="L72" i="15"/>
  <c r="K72" i="15"/>
  <c r="I72" i="15"/>
  <c r="B72" i="15"/>
  <c r="L71" i="15"/>
  <c r="K71" i="15"/>
  <c r="I71" i="15"/>
  <c r="B71" i="15"/>
  <c r="L70" i="15"/>
  <c r="K70" i="15"/>
  <c r="I70" i="15"/>
  <c r="B70" i="15"/>
  <c r="L69" i="15"/>
  <c r="K69" i="15"/>
  <c r="I69" i="15"/>
  <c r="B69" i="15"/>
  <c r="L68" i="15"/>
  <c r="K68" i="15"/>
  <c r="I68" i="15"/>
  <c r="B68" i="15"/>
  <c r="L67" i="15"/>
  <c r="K67" i="15"/>
  <c r="I67" i="15"/>
  <c r="B67" i="15"/>
  <c r="L66" i="15"/>
  <c r="K66" i="15"/>
  <c r="I66" i="15"/>
  <c r="B66" i="15"/>
  <c r="L65" i="15"/>
  <c r="K65" i="15"/>
  <c r="I65" i="15"/>
  <c r="B65" i="15"/>
  <c r="L64" i="15"/>
  <c r="K64" i="15"/>
  <c r="I64" i="15"/>
  <c r="B64" i="15"/>
  <c r="L63" i="15"/>
  <c r="K63" i="15"/>
  <c r="I63" i="15"/>
  <c r="B63" i="15"/>
  <c r="L62" i="15"/>
  <c r="K62" i="15"/>
  <c r="I62" i="15"/>
  <c r="B62" i="15"/>
  <c r="L61" i="15"/>
  <c r="K61" i="15"/>
  <c r="I61" i="15"/>
  <c r="B61" i="15"/>
  <c r="L60" i="15"/>
  <c r="K60" i="15"/>
  <c r="I60" i="15"/>
  <c r="B60" i="15"/>
  <c r="L59" i="15"/>
  <c r="K59" i="15"/>
  <c r="I59" i="15"/>
  <c r="B59" i="15"/>
  <c r="L58" i="15"/>
  <c r="K58" i="15"/>
  <c r="I58" i="15"/>
  <c r="B58" i="15"/>
  <c r="L57" i="15"/>
  <c r="K57" i="15"/>
  <c r="I57" i="15"/>
  <c r="B57" i="15"/>
  <c r="L56" i="15"/>
  <c r="K56" i="15"/>
  <c r="I56" i="15"/>
  <c r="B56" i="15"/>
  <c r="L55" i="15"/>
  <c r="K55" i="15"/>
  <c r="I55" i="15"/>
  <c r="B55" i="15"/>
  <c r="L54" i="15"/>
  <c r="K54" i="15"/>
  <c r="I54" i="15"/>
  <c r="B54" i="15"/>
  <c r="L53" i="15"/>
  <c r="K53" i="15"/>
  <c r="I53" i="15"/>
  <c r="B53" i="15"/>
  <c r="L52" i="15"/>
  <c r="K52" i="15"/>
  <c r="I52" i="15"/>
  <c r="B52" i="15"/>
  <c r="L51" i="15"/>
  <c r="K51" i="15"/>
  <c r="I51" i="15"/>
  <c r="B51" i="15"/>
  <c r="L50" i="15"/>
  <c r="K50" i="15"/>
  <c r="I50" i="15"/>
  <c r="B50" i="15"/>
  <c r="L49" i="15"/>
  <c r="K49" i="15"/>
  <c r="I49" i="15"/>
  <c r="B49" i="15"/>
  <c r="L48" i="15"/>
  <c r="K48" i="15"/>
  <c r="I48" i="15"/>
  <c r="B48" i="15"/>
  <c r="L47" i="15"/>
  <c r="K47" i="15"/>
  <c r="I47" i="15"/>
  <c r="B47" i="15"/>
  <c r="L46" i="15"/>
  <c r="K46" i="15"/>
  <c r="I46" i="15"/>
  <c r="B46" i="15"/>
  <c r="L45" i="15"/>
  <c r="K45" i="15"/>
  <c r="I45" i="15"/>
  <c r="B45" i="15"/>
  <c r="L44" i="15"/>
  <c r="K44" i="15"/>
  <c r="I44" i="15"/>
  <c r="B44" i="15"/>
  <c r="L43" i="15"/>
  <c r="K43" i="15"/>
  <c r="I43" i="15"/>
  <c r="B43" i="15"/>
  <c r="L42" i="15"/>
  <c r="K42" i="15"/>
  <c r="I42" i="15"/>
  <c r="B42" i="15"/>
  <c r="L41" i="15"/>
  <c r="K41" i="15"/>
  <c r="I41" i="15"/>
  <c r="B41" i="15"/>
  <c r="L40" i="15"/>
  <c r="K40" i="15"/>
  <c r="I40" i="15"/>
  <c r="B40" i="15"/>
  <c r="L39" i="15"/>
  <c r="K39" i="15"/>
  <c r="I39" i="15"/>
  <c r="B39" i="15"/>
  <c r="L38" i="15"/>
  <c r="K38" i="15"/>
  <c r="I38" i="15"/>
  <c r="B38" i="15"/>
  <c r="L37" i="15"/>
  <c r="K37" i="15"/>
  <c r="I37" i="15"/>
  <c r="B37" i="15"/>
  <c r="L36" i="15"/>
  <c r="K36" i="15"/>
  <c r="I36" i="15"/>
  <c r="B36" i="15"/>
  <c r="L35" i="15"/>
  <c r="K35" i="15"/>
  <c r="I35" i="15"/>
  <c r="B35" i="15"/>
  <c r="L34" i="15"/>
  <c r="K34" i="15"/>
  <c r="I34" i="15"/>
  <c r="B34" i="15"/>
  <c r="L33" i="15"/>
  <c r="K33" i="15"/>
  <c r="I33" i="15"/>
  <c r="B33" i="15"/>
  <c r="L32" i="15"/>
  <c r="K32" i="15"/>
  <c r="I32" i="15"/>
  <c r="B32" i="15"/>
  <c r="L31" i="15"/>
  <c r="K31" i="15"/>
  <c r="I31" i="15"/>
  <c r="B31" i="15"/>
  <c r="L30" i="15"/>
  <c r="K30" i="15"/>
  <c r="I30" i="15"/>
  <c r="B30" i="15"/>
  <c r="L29" i="15"/>
  <c r="K29" i="15"/>
  <c r="I29" i="15"/>
  <c r="B29" i="15"/>
  <c r="L28" i="15"/>
  <c r="K28" i="15"/>
  <c r="I28" i="15"/>
  <c r="B28" i="15"/>
  <c r="L27" i="15"/>
  <c r="K27" i="15"/>
  <c r="I27" i="15"/>
  <c r="B27" i="15"/>
  <c r="L26" i="15"/>
  <c r="K26" i="15"/>
  <c r="I26" i="15"/>
  <c r="B26" i="15"/>
  <c r="L25" i="15"/>
  <c r="K25" i="15"/>
  <c r="I25" i="15"/>
  <c r="B25" i="15"/>
  <c r="L24" i="15"/>
  <c r="K24" i="15"/>
  <c r="I24" i="15"/>
  <c r="B24" i="15"/>
  <c r="L23" i="15"/>
  <c r="K23" i="15"/>
  <c r="I23" i="15"/>
  <c r="B23" i="15"/>
  <c r="L22" i="15"/>
  <c r="K22" i="15"/>
  <c r="I22" i="15"/>
  <c r="B22" i="15"/>
  <c r="L21" i="15"/>
  <c r="K21" i="15"/>
  <c r="I21" i="15"/>
  <c r="B21" i="15"/>
  <c r="L20" i="15"/>
  <c r="K20" i="15"/>
  <c r="I20" i="15"/>
  <c r="B20" i="15"/>
  <c r="L19" i="15"/>
  <c r="K19" i="15"/>
  <c r="I19" i="15"/>
  <c r="B19" i="15"/>
  <c r="L18" i="15"/>
  <c r="K18" i="15"/>
  <c r="I18" i="15"/>
  <c r="B18" i="15"/>
  <c r="L17" i="15"/>
  <c r="K17" i="15"/>
  <c r="I17" i="15"/>
  <c r="B17" i="15"/>
  <c r="L16" i="15"/>
  <c r="K16" i="15"/>
  <c r="I16" i="15"/>
  <c r="B16" i="15"/>
  <c r="L15" i="15"/>
  <c r="K15" i="15"/>
  <c r="I15" i="15"/>
  <c r="B15" i="15"/>
  <c r="L14" i="15"/>
  <c r="K14" i="15"/>
  <c r="I14" i="15"/>
  <c r="B14" i="15"/>
  <c r="L13" i="15"/>
  <c r="K13" i="15"/>
  <c r="I13" i="15"/>
  <c r="B13" i="15"/>
  <c r="L12" i="15"/>
  <c r="K12" i="15"/>
  <c r="I12" i="15"/>
  <c r="B12" i="15"/>
  <c r="L11" i="15"/>
  <c r="K11" i="15"/>
  <c r="I11" i="15"/>
  <c r="B11" i="15"/>
  <c r="L10" i="15"/>
  <c r="K10" i="15"/>
  <c r="I10" i="15"/>
  <c r="B10" i="15"/>
  <c r="L9" i="15"/>
  <c r="K9" i="15"/>
  <c r="I9" i="15"/>
  <c r="B9" i="15"/>
  <c r="L8" i="15"/>
  <c r="K8" i="15"/>
  <c r="I8" i="15"/>
  <c r="B8" i="15"/>
  <c r="L7" i="15"/>
  <c r="K7" i="15"/>
  <c r="I7" i="15"/>
  <c r="B7" i="15"/>
  <c r="L6" i="15"/>
  <c r="K6" i="15"/>
  <c r="I6" i="15"/>
  <c r="B6" i="15"/>
  <c r="L5" i="15"/>
  <c r="K5" i="15"/>
  <c r="I5" i="15"/>
  <c r="B5" i="15"/>
  <c r="L4" i="15"/>
  <c r="K4" i="15"/>
  <c r="I4" i="15"/>
  <c r="B4" i="15"/>
  <c r="B139" i="10"/>
  <c r="C138" i="10"/>
  <c r="F138" i="10" s="1"/>
  <c r="C137" i="10"/>
  <c r="C136" i="10"/>
  <c r="C135" i="10"/>
  <c r="C134" i="10"/>
  <c r="C133" i="10"/>
  <c r="C132" i="10"/>
  <c r="C131" i="10"/>
  <c r="C130" i="10"/>
  <c r="C129" i="10"/>
  <c r="C128" i="10"/>
  <c r="F128" i="10" s="1"/>
  <c r="C127" i="10"/>
  <c r="C126" i="10"/>
  <c r="C125" i="10"/>
  <c r="C124" i="10"/>
  <c r="B124" i="10"/>
  <c r="C123" i="10"/>
  <c r="C122" i="10"/>
  <c r="C121" i="10"/>
  <c r="C120" i="10"/>
  <c r="C119" i="10"/>
  <c r="C118" i="10"/>
  <c r="C117" i="10"/>
  <c r="C116" i="10"/>
  <c r="C115" i="10"/>
  <c r="B115" i="10" s="1"/>
  <c r="C114" i="10"/>
  <c r="C113" i="10"/>
  <c r="F112"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B71" i="10" s="1"/>
  <c r="C70" i="10"/>
  <c r="F69" i="10"/>
  <c r="C69" i="10"/>
  <c r="B69" i="10"/>
  <c r="C68" i="10"/>
  <c r="C67" i="10"/>
  <c r="C66" i="10"/>
  <c r="C65" i="10"/>
  <c r="C64" i="10"/>
  <c r="C63" i="10"/>
  <c r="C62" i="10"/>
  <c r="C61" i="10"/>
  <c r="C60" i="10"/>
  <c r="C59" i="10"/>
  <c r="B59" i="10" s="1"/>
  <c r="C58" i="10"/>
  <c r="C57" i="10"/>
  <c r="C56" i="10"/>
  <c r="C55" i="10"/>
  <c r="C54" i="10"/>
  <c r="C53" i="10"/>
  <c r="C52" i="10"/>
  <c r="C51" i="10"/>
  <c r="C50" i="10"/>
  <c r="C49" i="10"/>
  <c r="C48" i="10"/>
  <c r="C47" i="10"/>
  <c r="C46" i="10"/>
  <c r="C45" i="10"/>
  <c r="F44" i="10"/>
  <c r="C44" i="10"/>
  <c r="C43" i="10"/>
  <c r="C42" i="10"/>
  <c r="C41" i="10"/>
  <c r="C40" i="10"/>
  <c r="C39" i="10"/>
  <c r="C38" i="10"/>
  <c r="C37" i="10"/>
  <c r="C36" i="10"/>
  <c r="C35" i="10"/>
  <c r="C34" i="10"/>
  <c r="C33" i="10"/>
  <c r="C32" i="10"/>
  <c r="C31" i="10"/>
  <c r="C30" i="10"/>
  <c r="C29" i="10"/>
  <c r="C28" i="10"/>
  <c r="C27" i="10"/>
  <c r="C26" i="10"/>
  <c r="F26" i="10" s="1"/>
  <c r="C25" i="10"/>
  <c r="C24" i="10"/>
  <c r="C23" i="10"/>
  <c r="C22" i="10"/>
  <c r="C21" i="10"/>
  <c r="C20" i="10"/>
  <c r="C19" i="10"/>
  <c r="C18" i="10"/>
  <c r="C17" i="10"/>
  <c r="C16" i="10"/>
  <c r="C15" i="10"/>
  <c r="C14" i="10"/>
  <c r="C13" i="10"/>
  <c r="C12" i="10"/>
  <c r="C11" i="10"/>
  <c r="C10" i="10"/>
  <c r="C9" i="10"/>
  <c r="C8" i="10"/>
  <c r="C7" i="10"/>
  <c r="C6" i="10"/>
  <c r="C5" i="10"/>
  <c r="C4" i="10"/>
  <c r="M94" i="3"/>
  <c r="L94" i="3"/>
  <c r="K94" i="3"/>
  <c r="A94" i="3"/>
  <c r="U93" i="3"/>
  <c r="V93" i="3" s="1"/>
  <c r="M93" i="3"/>
  <c r="L93" i="3"/>
  <c r="K93" i="3"/>
  <c r="B93" i="3"/>
  <c r="A93" i="3"/>
  <c r="U92" i="3"/>
  <c r="V92" i="3" s="1"/>
  <c r="M92" i="3"/>
  <c r="L92" i="3"/>
  <c r="K92" i="3"/>
  <c r="B92" i="3"/>
  <c r="B91" i="3" s="1"/>
  <c r="A92" i="3"/>
  <c r="U91" i="3"/>
  <c r="V91" i="3" s="1"/>
  <c r="M91" i="3"/>
  <c r="L91" i="3"/>
  <c r="K91" i="3"/>
  <c r="U90" i="3"/>
  <c r="V90" i="3" s="1"/>
  <c r="M90" i="3"/>
  <c r="L90" i="3"/>
  <c r="K90" i="3"/>
  <c r="U89" i="3"/>
  <c r="V89" i="3" s="1"/>
  <c r="M89" i="3"/>
  <c r="L89" i="3"/>
  <c r="K89" i="3"/>
  <c r="U88" i="3"/>
  <c r="M88" i="3"/>
  <c r="L88" i="3"/>
  <c r="K88" i="3"/>
  <c r="U87" i="3"/>
  <c r="M87" i="3"/>
  <c r="L87" i="3"/>
  <c r="K87" i="3"/>
  <c r="U86" i="3"/>
  <c r="V86" i="3" s="1"/>
  <c r="M86" i="3"/>
  <c r="L86" i="3"/>
  <c r="K86" i="3"/>
  <c r="U85" i="3"/>
  <c r="V85" i="3" s="1"/>
  <c r="M85" i="3"/>
  <c r="L85" i="3"/>
  <c r="K85" i="3"/>
  <c r="U84" i="3"/>
  <c r="V84" i="3" s="1"/>
  <c r="M84" i="3"/>
  <c r="L84" i="3"/>
  <c r="K84" i="3"/>
  <c r="U83" i="3"/>
  <c r="V83" i="3" s="1"/>
  <c r="M83" i="3"/>
  <c r="L83" i="3"/>
  <c r="K83" i="3"/>
  <c r="U82" i="3"/>
  <c r="V82" i="3" s="1"/>
  <c r="M82" i="3"/>
  <c r="L82" i="3"/>
  <c r="K82" i="3"/>
  <c r="U81" i="3"/>
  <c r="V81" i="3" s="1"/>
  <c r="M81" i="3"/>
  <c r="L81" i="3"/>
  <c r="K81" i="3"/>
  <c r="U80" i="3"/>
  <c r="V80" i="3" s="1"/>
  <c r="M80" i="3"/>
  <c r="L80" i="3"/>
  <c r="K80" i="3"/>
  <c r="U79" i="3"/>
  <c r="V79" i="3" s="1"/>
  <c r="M79" i="3"/>
  <c r="L79" i="3"/>
  <c r="K79" i="3"/>
  <c r="U78" i="3"/>
  <c r="V78" i="3" s="1"/>
  <c r="M78" i="3"/>
  <c r="L78" i="3"/>
  <c r="K78" i="3"/>
  <c r="U77" i="3"/>
  <c r="V77" i="3" s="1"/>
  <c r="M77" i="3"/>
  <c r="L77" i="3"/>
  <c r="K77" i="3"/>
  <c r="U76" i="3"/>
  <c r="V76" i="3" s="1"/>
  <c r="M76" i="3"/>
  <c r="L76" i="3"/>
  <c r="K76" i="3"/>
  <c r="U75" i="3"/>
  <c r="V75" i="3" s="1"/>
  <c r="M75" i="3"/>
  <c r="L75" i="3"/>
  <c r="K75" i="3"/>
  <c r="U74" i="3"/>
  <c r="V74" i="3" s="1"/>
  <c r="M74" i="3"/>
  <c r="L74" i="3"/>
  <c r="K74" i="3"/>
  <c r="U73" i="3"/>
  <c r="V73" i="3" s="1"/>
  <c r="M73" i="3"/>
  <c r="L73" i="3"/>
  <c r="K73" i="3"/>
  <c r="U72" i="3"/>
  <c r="V72" i="3" s="1"/>
  <c r="M72" i="3"/>
  <c r="L72" i="3"/>
  <c r="K72" i="3"/>
  <c r="U71" i="3"/>
  <c r="V71" i="3" s="1"/>
  <c r="M71" i="3"/>
  <c r="L71" i="3"/>
  <c r="K71" i="3"/>
  <c r="U70" i="3"/>
  <c r="V70" i="3" s="1"/>
  <c r="M70" i="3"/>
  <c r="L70" i="3"/>
  <c r="K70" i="3"/>
  <c r="U69" i="3"/>
  <c r="V69" i="3" s="1"/>
  <c r="M69" i="3"/>
  <c r="L69" i="3"/>
  <c r="K69" i="3"/>
  <c r="U68" i="3"/>
  <c r="M68" i="3"/>
  <c r="L68" i="3"/>
  <c r="K68" i="3"/>
  <c r="U67" i="3"/>
  <c r="M67" i="3"/>
  <c r="L67" i="3"/>
  <c r="K67" i="3"/>
  <c r="U66" i="3"/>
  <c r="V66" i="3" s="1"/>
  <c r="M66" i="3"/>
  <c r="L66" i="3"/>
  <c r="K66" i="3"/>
  <c r="U65" i="3"/>
  <c r="V65" i="3" s="1"/>
  <c r="M65" i="3"/>
  <c r="L65" i="3"/>
  <c r="K65" i="3"/>
  <c r="U64" i="3"/>
  <c r="V64" i="3" s="1"/>
  <c r="M64" i="3"/>
  <c r="L64" i="3"/>
  <c r="K64" i="3"/>
  <c r="U63" i="3"/>
  <c r="V63" i="3" s="1"/>
  <c r="M63" i="3"/>
  <c r="L63" i="3"/>
  <c r="K63" i="3"/>
  <c r="U62" i="3"/>
  <c r="V62" i="3" s="1"/>
  <c r="M62" i="3"/>
  <c r="L62" i="3"/>
  <c r="K62" i="3"/>
  <c r="U61" i="3"/>
  <c r="V61" i="3" s="1"/>
  <c r="M61" i="3"/>
  <c r="L61" i="3"/>
  <c r="K61" i="3"/>
  <c r="U60" i="3"/>
  <c r="V60" i="3" s="1"/>
  <c r="M60" i="3"/>
  <c r="L60" i="3"/>
  <c r="K60" i="3"/>
  <c r="U59" i="3"/>
  <c r="V59" i="3" s="1"/>
  <c r="M59" i="3"/>
  <c r="L59" i="3"/>
  <c r="K59" i="3"/>
  <c r="U58" i="3"/>
  <c r="V58" i="3" s="1"/>
  <c r="M58" i="3"/>
  <c r="L58" i="3"/>
  <c r="K58" i="3"/>
  <c r="U57" i="3"/>
  <c r="V57" i="3" s="1"/>
  <c r="M57" i="3"/>
  <c r="L57" i="3"/>
  <c r="K57" i="3"/>
  <c r="U56" i="3"/>
  <c r="V56" i="3" s="1"/>
  <c r="M56" i="3"/>
  <c r="L56" i="3"/>
  <c r="K56" i="3"/>
  <c r="U55" i="3"/>
  <c r="V55" i="3" s="1"/>
  <c r="M55" i="3"/>
  <c r="L55" i="3"/>
  <c r="K55" i="3"/>
  <c r="U54" i="3"/>
  <c r="V54" i="3" s="1"/>
  <c r="M54" i="3"/>
  <c r="L54" i="3"/>
  <c r="K54" i="3"/>
  <c r="U53" i="3"/>
  <c r="V53" i="3" s="1"/>
  <c r="M53" i="3"/>
  <c r="L53" i="3"/>
  <c r="K53" i="3"/>
  <c r="U52" i="3"/>
  <c r="V52" i="3" s="1"/>
  <c r="M52" i="3"/>
  <c r="L52" i="3"/>
  <c r="K52" i="3"/>
  <c r="U51" i="3"/>
  <c r="V51" i="3" s="1"/>
  <c r="M51" i="3"/>
  <c r="L51" i="3"/>
  <c r="K51" i="3"/>
  <c r="U50" i="3"/>
  <c r="V50" i="3" s="1"/>
  <c r="M50" i="3"/>
  <c r="L50" i="3"/>
  <c r="K50" i="3"/>
  <c r="U49" i="3"/>
  <c r="V49" i="3" s="1"/>
  <c r="M49" i="3"/>
  <c r="L49" i="3"/>
  <c r="K49" i="3"/>
  <c r="U48" i="3"/>
  <c r="M48" i="3"/>
  <c r="L48" i="3"/>
  <c r="K48" i="3"/>
  <c r="U47" i="3"/>
  <c r="M47" i="3"/>
  <c r="L47" i="3"/>
  <c r="K47" i="3"/>
  <c r="U46" i="3"/>
  <c r="V46" i="3" s="1"/>
  <c r="M46" i="3"/>
  <c r="L46" i="3"/>
  <c r="K46" i="3"/>
  <c r="U45" i="3"/>
  <c r="V45" i="3" s="1"/>
  <c r="M45" i="3"/>
  <c r="L45" i="3"/>
  <c r="K45" i="3"/>
  <c r="U44" i="3"/>
  <c r="V44" i="3" s="1"/>
  <c r="M44" i="3"/>
  <c r="L44" i="3"/>
  <c r="K44" i="3"/>
  <c r="U43" i="3"/>
  <c r="V43" i="3" s="1"/>
  <c r="M43" i="3"/>
  <c r="L43" i="3"/>
  <c r="K43" i="3"/>
  <c r="U42" i="3"/>
  <c r="V42" i="3" s="1"/>
  <c r="M42" i="3"/>
  <c r="L42" i="3"/>
  <c r="K42" i="3"/>
  <c r="U41" i="3"/>
  <c r="V41" i="3" s="1"/>
  <c r="M41" i="3"/>
  <c r="L41" i="3"/>
  <c r="K41" i="3"/>
  <c r="U40" i="3"/>
  <c r="V40" i="3" s="1"/>
  <c r="M40" i="3"/>
  <c r="L40" i="3"/>
  <c r="K40" i="3"/>
  <c r="U39" i="3"/>
  <c r="V39" i="3" s="1"/>
  <c r="M39" i="3"/>
  <c r="L39" i="3"/>
  <c r="K39" i="3"/>
  <c r="U38" i="3"/>
  <c r="V38" i="3" s="1"/>
  <c r="M38" i="3"/>
  <c r="L38" i="3"/>
  <c r="K38" i="3"/>
  <c r="U37" i="3"/>
  <c r="V37" i="3" s="1"/>
  <c r="M37" i="3"/>
  <c r="L37" i="3"/>
  <c r="K37" i="3"/>
  <c r="U36" i="3"/>
  <c r="V36" i="3" s="1"/>
  <c r="M36" i="3"/>
  <c r="L36" i="3"/>
  <c r="K36" i="3"/>
  <c r="U35" i="3"/>
  <c r="V35" i="3" s="1"/>
  <c r="M35" i="3"/>
  <c r="L35" i="3"/>
  <c r="K35" i="3"/>
  <c r="U34" i="3"/>
  <c r="V34" i="3" s="1"/>
  <c r="M34" i="3"/>
  <c r="L34" i="3"/>
  <c r="K34" i="3"/>
  <c r="U33" i="3"/>
  <c r="V33" i="3" s="1"/>
  <c r="M33" i="3"/>
  <c r="L33" i="3"/>
  <c r="K33" i="3"/>
  <c r="U32" i="3"/>
  <c r="V32" i="3" s="1"/>
  <c r="M32" i="3"/>
  <c r="L32" i="3"/>
  <c r="K32" i="3"/>
  <c r="U31" i="3"/>
  <c r="V31" i="3" s="1"/>
  <c r="M31" i="3"/>
  <c r="L31" i="3"/>
  <c r="K31" i="3"/>
  <c r="U30" i="3"/>
  <c r="V30" i="3" s="1"/>
  <c r="M30" i="3"/>
  <c r="L30" i="3"/>
  <c r="K30" i="3"/>
  <c r="U29" i="3"/>
  <c r="V29" i="3" s="1"/>
  <c r="M29" i="3"/>
  <c r="L29" i="3"/>
  <c r="K29" i="3"/>
  <c r="U28" i="3"/>
  <c r="M28" i="3"/>
  <c r="L28" i="3"/>
  <c r="K28" i="3"/>
  <c r="U27" i="3"/>
  <c r="M27" i="3"/>
  <c r="L27" i="3"/>
  <c r="K27" i="3"/>
  <c r="U26" i="3"/>
  <c r="V26" i="3" s="1"/>
  <c r="M26" i="3"/>
  <c r="L26" i="3"/>
  <c r="K26" i="3"/>
  <c r="U25" i="3"/>
  <c r="V25" i="3" s="1"/>
  <c r="M25" i="3"/>
  <c r="L25" i="3"/>
  <c r="K25" i="3"/>
  <c r="U24" i="3"/>
  <c r="V24" i="3" s="1"/>
  <c r="M24" i="3"/>
  <c r="L24" i="3"/>
  <c r="K24" i="3"/>
  <c r="U23" i="3"/>
  <c r="V23" i="3" s="1"/>
  <c r="M23" i="3"/>
  <c r="L23" i="3"/>
  <c r="K23" i="3"/>
  <c r="U22" i="3"/>
  <c r="V22" i="3" s="1"/>
  <c r="M22" i="3"/>
  <c r="L22" i="3"/>
  <c r="K22" i="3"/>
  <c r="U21" i="3"/>
  <c r="V21" i="3" s="1"/>
  <c r="M21" i="3"/>
  <c r="L21" i="3"/>
  <c r="K21" i="3"/>
  <c r="U20" i="3"/>
  <c r="V20" i="3" s="1"/>
  <c r="M20" i="3"/>
  <c r="L20" i="3"/>
  <c r="K20" i="3"/>
  <c r="U19" i="3"/>
  <c r="V19" i="3" s="1"/>
  <c r="M19" i="3"/>
  <c r="L19" i="3"/>
  <c r="K19" i="3"/>
  <c r="U18" i="3"/>
  <c r="V18" i="3" s="1"/>
  <c r="M18" i="3"/>
  <c r="L18" i="3"/>
  <c r="K18" i="3"/>
  <c r="U17" i="3"/>
  <c r="V17" i="3" s="1"/>
  <c r="M17" i="3"/>
  <c r="L17" i="3"/>
  <c r="K17" i="3"/>
  <c r="U16" i="3"/>
  <c r="V16" i="3" s="1"/>
  <c r="M16" i="3"/>
  <c r="L16" i="3"/>
  <c r="K16" i="3"/>
  <c r="U15" i="3"/>
  <c r="V15" i="3" s="1"/>
  <c r="M15" i="3"/>
  <c r="L15" i="3"/>
  <c r="K15" i="3"/>
  <c r="U14" i="3"/>
  <c r="V14" i="3" s="1"/>
  <c r="M14" i="3"/>
  <c r="L14" i="3"/>
  <c r="K14" i="3"/>
  <c r="U13" i="3"/>
  <c r="V13" i="3" s="1"/>
  <c r="M13" i="3"/>
  <c r="L13" i="3"/>
  <c r="K13" i="3"/>
  <c r="U12" i="3"/>
  <c r="V12" i="3" s="1"/>
  <c r="M12" i="3"/>
  <c r="L12" i="3"/>
  <c r="K12" i="3"/>
  <c r="U11" i="3"/>
  <c r="V88" i="3" s="1"/>
  <c r="M11" i="3"/>
  <c r="L11" i="3"/>
  <c r="K11" i="3"/>
  <c r="U10" i="3"/>
  <c r="V10" i="3" s="1"/>
  <c r="M10" i="3"/>
  <c r="L10" i="3"/>
  <c r="K10" i="3"/>
  <c r="U9" i="3"/>
  <c r="V9" i="3" s="1"/>
  <c r="M9" i="3"/>
  <c r="L9" i="3"/>
  <c r="K9" i="3"/>
  <c r="V8" i="3"/>
  <c r="U8" i="3"/>
  <c r="M8" i="3"/>
  <c r="L8" i="3"/>
  <c r="K8" i="3"/>
  <c r="U7" i="3"/>
  <c r="M7" i="3"/>
  <c r="L7" i="3"/>
  <c r="K7" i="3"/>
  <c r="U6" i="3"/>
  <c r="V87" i="3" s="1"/>
  <c r="M6" i="3"/>
  <c r="L6" i="3"/>
  <c r="K6" i="3"/>
  <c r="E240" i="19"/>
  <c r="K240" i="19" s="1"/>
  <c r="L6" i="19" s="1"/>
  <c r="C240" i="19"/>
  <c r="E239" i="19"/>
  <c r="C239" i="19"/>
  <c r="E238" i="19"/>
  <c r="C238" i="19"/>
  <c r="E237" i="19"/>
  <c r="C237" i="19"/>
  <c r="E236" i="19"/>
  <c r="C236" i="19"/>
  <c r="E235" i="19"/>
  <c r="C235" i="19"/>
  <c r="E234" i="19"/>
  <c r="C234" i="19"/>
  <c r="E233" i="19"/>
  <c r="C233" i="19"/>
  <c r="E232" i="19"/>
  <c r="C232" i="19"/>
  <c r="E231" i="19"/>
  <c r="C231" i="19"/>
  <c r="E230" i="19"/>
  <c r="C230" i="19"/>
  <c r="E229" i="19"/>
  <c r="C229" i="19"/>
  <c r="E228" i="19"/>
  <c r="C228" i="19"/>
  <c r="E227" i="19"/>
  <c r="C227" i="19"/>
  <c r="E226" i="19"/>
  <c r="C226" i="19"/>
  <c r="E225" i="19"/>
  <c r="C225" i="19"/>
  <c r="E224" i="19"/>
  <c r="C224" i="19"/>
  <c r="E223" i="19"/>
  <c r="C223" i="19"/>
  <c r="E222" i="19"/>
  <c r="C222" i="19"/>
  <c r="E221" i="19"/>
  <c r="C221" i="19"/>
  <c r="E220" i="19"/>
  <c r="C220" i="19"/>
  <c r="E219" i="19"/>
  <c r="C219" i="19"/>
  <c r="E218" i="19"/>
  <c r="C218" i="19"/>
  <c r="E217" i="19"/>
  <c r="C217" i="19"/>
  <c r="E216" i="19"/>
  <c r="C216" i="19"/>
  <c r="E215" i="19"/>
  <c r="C215" i="19"/>
  <c r="E214" i="19"/>
  <c r="C214" i="19"/>
  <c r="E213" i="19"/>
  <c r="C213" i="19"/>
  <c r="E212" i="19"/>
  <c r="C212" i="19"/>
  <c r="E211" i="19"/>
  <c r="C211" i="19"/>
  <c r="E210" i="19"/>
  <c r="C210" i="19"/>
  <c r="E209" i="19"/>
  <c r="C209" i="19"/>
  <c r="E208" i="19"/>
  <c r="C208" i="19"/>
  <c r="E207" i="19"/>
  <c r="C207" i="19"/>
  <c r="E206" i="19"/>
  <c r="C206" i="19"/>
  <c r="E205" i="19"/>
  <c r="C205" i="19"/>
  <c r="E204" i="19"/>
  <c r="C204" i="19"/>
  <c r="E203" i="19"/>
  <c r="C203" i="19"/>
  <c r="E202" i="19"/>
  <c r="C202" i="19"/>
  <c r="E201" i="19"/>
  <c r="C201" i="19"/>
  <c r="E200" i="19"/>
  <c r="C200" i="19"/>
  <c r="E199" i="19"/>
  <c r="C199" i="19"/>
  <c r="E198" i="19"/>
  <c r="C198" i="19"/>
  <c r="E197" i="19"/>
  <c r="C197" i="19"/>
  <c r="E196" i="19"/>
  <c r="C196" i="19"/>
  <c r="E195" i="19"/>
  <c r="C195" i="19"/>
  <c r="E194" i="19"/>
  <c r="C194" i="19"/>
  <c r="E193" i="19"/>
  <c r="C193" i="19"/>
  <c r="E192" i="19"/>
  <c r="C192" i="19"/>
  <c r="E191" i="19"/>
  <c r="C191" i="19"/>
  <c r="E190" i="19"/>
  <c r="C190" i="19"/>
  <c r="E189" i="19"/>
  <c r="C189" i="19"/>
  <c r="E188" i="19"/>
  <c r="C188" i="19"/>
  <c r="E187" i="19"/>
  <c r="C187" i="19"/>
  <c r="E186" i="19"/>
  <c r="C186" i="19"/>
  <c r="E185" i="19"/>
  <c r="C185" i="19"/>
  <c r="E184" i="19"/>
  <c r="C184" i="19"/>
  <c r="E183" i="19"/>
  <c r="C183" i="19"/>
  <c r="E182" i="19"/>
  <c r="C182" i="19"/>
  <c r="E181" i="19"/>
  <c r="C181" i="19"/>
  <c r="E180" i="19"/>
  <c r="C180" i="19"/>
  <c r="E179" i="19"/>
  <c r="C179" i="19"/>
  <c r="E178" i="19"/>
  <c r="C178" i="19"/>
  <c r="E177" i="19"/>
  <c r="C177" i="19"/>
  <c r="E176" i="19"/>
  <c r="C176" i="19"/>
  <c r="E175" i="19"/>
  <c r="C175" i="19"/>
  <c r="E174" i="19"/>
  <c r="C174" i="19"/>
  <c r="E173" i="19"/>
  <c r="C173" i="19"/>
  <c r="E172" i="19"/>
  <c r="C172" i="19"/>
  <c r="E171" i="19"/>
  <c r="C171" i="19"/>
  <c r="E170" i="19"/>
  <c r="C170" i="19"/>
  <c r="E169" i="19"/>
  <c r="C169" i="19"/>
  <c r="E168" i="19"/>
  <c r="C168" i="19"/>
  <c r="E167" i="19"/>
  <c r="C167" i="19"/>
  <c r="E166" i="19"/>
  <c r="C166" i="19"/>
  <c r="E165" i="19"/>
  <c r="C165" i="19"/>
  <c r="E164" i="19"/>
  <c r="C164" i="19"/>
  <c r="E163" i="19"/>
  <c r="C163" i="19"/>
  <c r="E162" i="19"/>
  <c r="C162" i="19"/>
  <c r="E161" i="19"/>
  <c r="C161" i="19"/>
  <c r="E160" i="19"/>
  <c r="C160" i="19"/>
  <c r="E159" i="19"/>
  <c r="C159" i="19"/>
  <c r="E158" i="19"/>
  <c r="C158" i="19"/>
  <c r="E157" i="19"/>
  <c r="C157" i="19"/>
  <c r="E156" i="19"/>
  <c r="C156" i="19"/>
  <c r="E155" i="19"/>
  <c r="C155" i="19"/>
  <c r="E154" i="19"/>
  <c r="C154" i="19"/>
  <c r="E153" i="19"/>
  <c r="C153" i="19"/>
  <c r="E152" i="19"/>
  <c r="C152" i="19"/>
  <c r="E151" i="19"/>
  <c r="C151" i="19"/>
  <c r="E150" i="19"/>
  <c r="C150" i="19"/>
  <c r="E149" i="19"/>
  <c r="C149" i="19"/>
  <c r="E148" i="19"/>
  <c r="C148" i="19"/>
  <c r="E147" i="19"/>
  <c r="C147" i="19"/>
  <c r="E146" i="19"/>
  <c r="C146" i="19"/>
  <c r="E145" i="19"/>
  <c r="C145" i="19"/>
  <c r="E144" i="19"/>
  <c r="C144" i="19"/>
  <c r="E143" i="19"/>
  <c r="C143" i="19"/>
  <c r="E142" i="19"/>
  <c r="C142" i="19"/>
  <c r="E141" i="19"/>
  <c r="C141" i="19"/>
  <c r="E140" i="19"/>
  <c r="C140" i="19"/>
  <c r="E139" i="19"/>
  <c r="C139" i="19"/>
  <c r="E138" i="19"/>
  <c r="C138" i="19"/>
  <c r="E137" i="19"/>
  <c r="C137" i="19"/>
  <c r="E136" i="19"/>
  <c r="C136" i="19"/>
  <c r="E135" i="19"/>
  <c r="C135" i="19"/>
  <c r="E134" i="19"/>
  <c r="C134" i="19"/>
  <c r="E133" i="19"/>
  <c r="C133" i="19"/>
  <c r="E132" i="19"/>
  <c r="C132" i="19"/>
  <c r="E131" i="19"/>
  <c r="C131" i="19"/>
  <c r="E130" i="19"/>
  <c r="C130" i="19"/>
  <c r="E129" i="19"/>
  <c r="C129" i="19"/>
  <c r="E128" i="19"/>
  <c r="C128" i="19"/>
  <c r="E127" i="19"/>
  <c r="C127" i="19"/>
  <c r="E126" i="19"/>
  <c r="C126" i="19"/>
  <c r="E125" i="19"/>
  <c r="C125" i="19"/>
  <c r="E124" i="19"/>
  <c r="C124" i="19"/>
  <c r="E123" i="19"/>
  <c r="C123" i="19"/>
  <c r="E122" i="19"/>
  <c r="C122" i="19"/>
  <c r="E121" i="19"/>
  <c r="C121" i="19"/>
  <c r="E120" i="19"/>
  <c r="C120" i="19"/>
  <c r="E119" i="19"/>
  <c r="C119" i="19"/>
  <c r="E118" i="19"/>
  <c r="C118" i="19"/>
  <c r="E117" i="19"/>
  <c r="C117" i="19"/>
  <c r="E116" i="19"/>
  <c r="C116" i="19"/>
  <c r="E115" i="19"/>
  <c r="C115" i="19"/>
  <c r="E114" i="19"/>
  <c r="C114" i="19"/>
  <c r="E113" i="19"/>
  <c r="C113" i="19"/>
  <c r="E112" i="19"/>
  <c r="C112" i="19"/>
  <c r="E111" i="19"/>
  <c r="C111" i="19"/>
  <c r="E110" i="19"/>
  <c r="C110" i="19"/>
  <c r="E109" i="19"/>
  <c r="C109" i="19"/>
  <c r="E108" i="19"/>
  <c r="C108" i="19"/>
  <c r="E107" i="19"/>
  <c r="C107" i="19"/>
  <c r="E106" i="19"/>
  <c r="C106" i="19"/>
  <c r="E105" i="19"/>
  <c r="C105" i="19"/>
  <c r="E104" i="19"/>
  <c r="C104" i="19"/>
  <c r="E103" i="19"/>
  <c r="C103" i="19"/>
  <c r="E102" i="19"/>
  <c r="C102" i="19"/>
  <c r="E101" i="19"/>
  <c r="C101" i="19"/>
  <c r="E100" i="19"/>
  <c r="C100" i="19"/>
  <c r="E99" i="19"/>
  <c r="C99" i="19"/>
  <c r="E98" i="19"/>
  <c r="C98" i="19"/>
  <c r="E97" i="19"/>
  <c r="C97" i="19"/>
  <c r="E96" i="19"/>
  <c r="C96" i="19"/>
  <c r="E95" i="19"/>
  <c r="C95" i="19"/>
  <c r="E94" i="19"/>
  <c r="C94" i="19"/>
  <c r="E93" i="19"/>
  <c r="C93" i="19"/>
  <c r="E92" i="19"/>
  <c r="C92" i="19"/>
  <c r="E91" i="19"/>
  <c r="C91" i="19"/>
  <c r="E90" i="19"/>
  <c r="C90" i="19"/>
  <c r="E89" i="19"/>
  <c r="C89" i="19"/>
  <c r="E88" i="19"/>
  <c r="C88" i="19"/>
  <c r="E87" i="19"/>
  <c r="C87" i="19"/>
  <c r="E86" i="19"/>
  <c r="C86" i="19"/>
  <c r="E85" i="19"/>
  <c r="C85" i="19"/>
  <c r="E84" i="19"/>
  <c r="C84" i="19"/>
  <c r="E83" i="19"/>
  <c r="C83" i="19"/>
  <c r="E82" i="19"/>
  <c r="C82" i="19"/>
  <c r="E81" i="19"/>
  <c r="C81" i="19"/>
  <c r="E80" i="19"/>
  <c r="C80" i="19"/>
  <c r="E79" i="19"/>
  <c r="C79" i="19"/>
  <c r="E78" i="19"/>
  <c r="C78" i="19"/>
  <c r="E77" i="19"/>
  <c r="C77" i="19"/>
  <c r="E76" i="19"/>
  <c r="C76" i="19"/>
  <c r="E75" i="19"/>
  <c r="C75" i="19"/>
  <c r="E74" i="19"/>
  <c r="C74" i="19"/>
  <c r="E73" i="19"/>
  <c r="C73" i="19"/>
  <c r="E72" i="19"/>
  <c r="C72" i="19"/>
  <c r="E71" i="19"/>
  <c r="C71" i="19"/>
  <c r="E70" i="19"/>
  <c r="C70" i="19"/>
  <c r="E69" i="19"/>
  <c r="C69" i="19"/>
  <c r="E68" i="19"/>
  <c r="C68" i="19"/>
  <c r="E67" i="19"/>
  <c r="C67" i="19"/>
  <c r="E66" i="19"/>
  <c r="C66" i="19"/>
  <c r="E65" i="19"/>
  <c r="C65" i="19"/>
  <c r="E64" i="19"/>
  <c r="C64" i="19"/>
  <c r="E63" i="19"/>
  <c r="C63" i="19"/>
  <c r="E62" i="19"/>
  <c r="C62" i="19"/>
  <c r="E61" i="19"/>
  <c r="C61" i="19"/>
  <c r="E60" i="19"/>
  <c r="C60" i="19"/>
  <c r="E59" i="19"/>
  <c r="C59" i="19"/>
  <c r="E58" i="19"/>
  <c r="C58" i="19"/>
  <c r="N70" i="19"/>
  <c r="N69" i="19" s="1"/>
  <c r="N68" i="19" s="1"/>
  <c r="N67" i="19" s="1"/>
  <c r="N66" i="19" s="1"/>
  <c r="N65" i="19" s="1"/>
  <c r="N64" i="19" s="1"/>
  <c r="N63" i="19" s="1"/>
  <c r="N62" i="19" s="1"/>
  <c r="N61" i="19" s="1"/>
  <c r="N60" i="19" s="1"/>
  <c r="N59" i="19" s="1"/>
  <c r="N58" i="19" s="1"/>
  <c r="N57" i="19" s="1"/>
  <c r="N56" i="19" s="1"/>
  <c r="N55" i="19" s="1"/>
  <c r="N54" i="19" s="1"/>
  <c r="N53" i="19" s="1"/>
  <c r="N52" i="19" s="1"/>
  <c r="N51" i="19" s="1"/>
  <c r="N50" i="19" s="1"/>
  <c r="N49" i="19" s="1"/>
  <c r="N48" i="19" s="1"/>
  <c r="N47" i="19" s="1"/>
  <c r="N46" i="19" s="1"/>
  <c r="N45" i="19" s="1"/>
  <c r="N44" i="19" s="1"/>
  <c r="N43" i="19" s="1"/>
  <c r="N42" i="19" s="1"/>
  <c r="N41" i="19" s="1"/>
  <c r="N40" i="19" s="1"/>
  <c r="N39" i="19" s="1"/>
  <c r="N38" i="19" s="1"/>
  <c r="N37" i="19" s="1"/>
  <c r="N36" i="19" s="1"/>
  <c r="N35" i="19" s="1"/>
  <c r="N34" i="19" s="1"/>
  <c r="N33" i="19" s="1"/>
  <c r="N32" i="19" s="1"/>
  <c r="N31" i="19" s="1"/>
  <c r="N30" i="19" s="1"/>
  <c r="N29" i="19" s="1"/>
  <c r="N28" i="19" s="1"/>
  <c r="N27" i="19" s="1"/>
  <c r="N26" i="19" s="1"/>
  <c r="N25" i="19" s="1"/>
  <c r="N24" i="19" s="1"/>
  <c r="N23" i="19" s="1"/>
  <c r="N22" i="19" s="1"/>
  <c r="N21" i="19" s="1"/>
  <c r="N20" i="19" s="1"/>
  <c r="N19" i="19" s="1"/>
  <c r="N18" i="19" s="1"/>
  <c r="N17" i="19" s="1"/>
  <c r="N16" i="19" s="1"/>
  <c r="N15" i="19" s="1"/>
  <c r="N14" i="19" s="1"/>
  <c r="N13" i="19" s="1"/>
  <c r="N12" i="19" s="1"/>
  <c r="N11" i="19" s="1"/>
  <c r="N10" i="19" s="1"/>
  <c r="N9" i="19" s="1"/>
  <c r="N8" i="19" s="1"/>
  <c r="N7" i="19" s="1"/>
  <c r="E57" i="19"/>
  <c r="C57" i="19"/>
  <c r="E56" i="19"/>
  <c r="C56" i="19"/>
  <c r="E55" i="19"/>
  <c r="C55" i="19"/>
  <c r="E54" i="19"/>
  <c r="C54" i="19"/>
  <c r="E53" i="19"/>
  <c r="C53" i="19"/>
  <c r="E52" i="19"/>
  <c r="C52" i="19"/>
  <c r="E51" i="19"/>
  <c r="C51" i="19"/>
  <c r="E50" i="19"/>
  <c r="C50" i="19"/>
  <c r="E49" i="19"/>
  <c r="C49" i="19"/>
  <c r="E48" i="19"/>
  <c r="C48" i="19"/>
  <c r="E47" i="19"/>
  <c r="C47" i="19"/>
  <c r="E46" i="19"/>
  <c r="C46" i="19"/>
  <c r="E45" i="19"/>
  <c r="C45" i="19"/>
  <c r="E44" i="19"/>
  <c r="C44" i="19"/>
  <c r="E43" i="19"/>
  <c r="C43" i="19"/>
  <c r="E42" i="19"/>
  <c r="C42" i="19"/>
  <c r="E41" i="19"/>
  <c r="C41" i="19"/>
  <c r="E40" i="19"/>
  <c r="C40" i="19"/>
  <c r="E39" i="19"/>
  <c r="C39" i="19"/>
  <c r="E38" i="19"/>
  <c r="C38" i="19"/>
  <c r="E37" i="19"/>
  <c r="C37" i="19"/>
  <c r="E36" i="19"/>
  <c r="C36" i="19"/>
  <c r="E35" i="19"/>
  <c r="C35" i="19"/>
  <c r="E34" i="19"/>
  <c r="C34" i="19"/>
  <c r="E33" i="19"/>
  <c r="C33" i="19"/>
  <c r="E32" i="19"/>
  <c r="C32" i="19"/>
  <c r="E31" i="19"/>
  <c r="C31" i="19"/>
  <c r="E30" i="19"/>
  <c r="C30" i="19"/>
  <c r="E29" i="19"/>
  <c r="C29" i="19"/>
  <c r="E28" i="19"/>
  <c r="C28" i="19"/>
  <c r="E27" i="19"/>
  <c r="C27" i="19"/>
  <c r="E26" i="19"/>
  <c r="C26" i="19"/>
  <c r="E25" i="19"/>
  <c r="C25" i="19"/>
  <c r="E24" i="19"/>
  <c r="C24" i="19"/>
  <c r="E23" i="19"/>
  <c r="C23" i="19"/>
  <c r="E22" i="19"/>
  <c r="C22" i="19"/>
  <c r="E21" i="19"/>
  <c r="C21" i="19"/>
  <c r="E20" i="19"/>
  <c r="C20" i="19"/>
  <c r="E19" i="19"/>
  <c r="C19" i="19"/>
  <c r="E18" i="19"/>
  <c r="C18" i="19"/>
  <c r="E17" i="19"/>
  <c r="C17" i="19"/>
  <c r="E16" i="19"/>
  <c r="C16" i="19"/>
  <c r="E15" i="19"/>
  <c r="C15" i="19"/>
  <c r="E14" i="19"/>
  <c r="C14" i="19"/>
  <c r="E13" i="19"/>
  <c r="C13" i="19"/>
  <c r="E12" i="19"/>
  <c r="C12" i="19"/>
  <c r="E11" i="19"/>
  <c r="C11" i="19"/>
  <c r="E10" i="19"/>
  <c r="C10" i="19"/>
  <c r="E9" i="19"/>
  <c r="C9" i="19"/>
  <c r="E8" i="19"/>
  <c r="C8" i="19"/>
  <c r="E7" i="19"/>
  <c r="C7" i="19"/>
  <c r="E5" i="19"/>
  <c r="C5" i="19"/>
  <c r="O7" i="19" l="1"/>
  <c r="N5" i="19"/>
  <c r="N6" i="19"/>
  <c r="O10" i="19"/>
  <c r="O9" i="19"/>
  <c r="O8" i="19"/>
  <c r="T9" i="1"/>
  <c r="I409" i="15"/>
  <c r="I616" i="15"/>
  <c r="I738" i="15"/>
  <c r="I918" i="15"/>
  <c r="I664" i="15"/>
  <c r="I954" i="15"/>
  <c r="I532" i="15"/>
  <c r="I957" i="15"/>
  <c r="J741" i="15"/>
  <c r="I741" i="15" s="1"/>
  <c r="I642" i="15"/>
  <c r="J618" i="15"/>
  <c r="K618" i="15" s="1"/>
  <c r="I529" i="15"/>
  <c r="I605" i="15"/>
  <c r="I839" i="15"/>
  <c r="J761" i="15"/>
  <c r="K761" i="15" s="1"/>
  <c r="I471" i="15"/>
  <c r="I552" i="15"/>
  <c r="L571" i="15"/>
  <c r="I737" i="15"/>
  <c r="I408" i="15"/>
  <c r="I533" i="15"/>
  <c r="I588" i="15"/>
  <c r="I871" i="15"/>
  <c r="I958" i="15"/>
  <c r="I1018" i="15"/>
  <c r="I736" i="15"/>
  <c r="I832" i="15"/>
  <c r="J902" i="15"/>
  <c r="K902" i="15" s="1"/>
  <c r="I530" i="15"/>
  <c r="I531" i="15"/>
  <c r="L673" i="15"/>
  <c r="I758" i="15"/>
  <c r="L537" i="15"/>
  <c r="I551" i="15"/>
  <c r="L899" i="15"/>
  <c r="I604" i="15"/>
  <c r="I562" i="15"/>
  <c r="I585" i="15"/>
  <c r="I663" i="15"/>
  <c r="I956" i="15"/>
  <c r="I1015" i="15"/>
  <c r="I564" i="15"/>
  <c r="I587" i="15"/>
  <c r="I919" i="15"/>
  <c r="I1017" i="15"/>
  <c r="I463" i="15"/>
  <c r="I661" i="15"/>
  <c r="I915" i="15"/>
  <c r="K411" i="15"/>
  <c r="L928" i="15"/>
  <c r="I589" i="15"/>
  <c r="I1019" i="15"/>
  <c r="I662" i="15"/>
  <c r="L667" i="15"/>
  <c r="I916" i="15"/>
  <c r="I464" i="15"/>
  <c r="I735" i="15"/>
  <c r="K644" i="15"/>
  <c r="I756" i="15"/>
  <c r="I869" i="15"/>
  <c r="I739" i="15"/>
  <c r="I821" i="15"/>
  <c r="L874" i="15"/>
  <c r="I528" i="15"/>
  <c r="I763" i="15"/>
  <c r="I1016" i="15"/>
  <c r="J1029" i="15"/>
  <c r="K1029" i="15" s="1"/>
  <c r="K586" i="15"/>
  <c r="K870" i="15"/>
  <c r="K977" i="15"/>
  <c r="K469" i="15"/>
  <c r="L539" i="15"/>
  <c r="I563" i="15"/>
  <c r="I603" i="15"/>
  <c r="I759" i="15"/>
  <c r="L770" i="15"/>
  <c r="I798" i="15"/>
  <c r="I917" i="15"/>
  <c r="I955" i="15"/>
  <c r="K640" i="15"/>
  <c r="K138" i="15"/>
  <c r="I534" i="15"/>
  <c r="I643" i="15"/>
  <c r="L665" i="15"/>
  <c r="I835" i="15"/>
  <c r="L878" i="15"/>
  <c r="I755" i="15"/>
  <c r="L240" i="19"/>
  <c r="L145" i="19"/>
  <c r="L123" i="19"/>
  <c r="L116" i="19"/>
  <c r="L137" i="19"/>
  <c r="L129" i="19"/>
  <c r="L101" i="19"/>
  <c r="L74" i="19"/>
  <c r="L67" i="19"/>
  <c r="L54" i="19"/>
  <c r="L219" i="19"/>
  <c r="L211" i="19"/>
  <c r="L159" i="19"/>
  <c r="L144" i="19"/>
  <c r="L122" i="19"/>
  <c r="L115" i="19"/>
  <c r="L94" i="19"/>
  <c r="L87" i="19"/>
  <c r="L175" i="19"/>
  <c r="L151" i="19"/>
  <c r="L107" i="19"/>
  <c r="L166" i="19"/>
  <c r="L128" i="19"/>
  <c r="L100" i="19"/>
  <c r="L218" i="19"/>
  <c r="L158" i="19"/>
  <c r="L121" i="19"/>
  <c r="L93" i="19"/>
  <c r="L86" i="19"/>
  <c r="L135" i="19"/>
  <c r="L199" i="19"/>
  <c r="L191" i="19"/>
  <c r="L142" i="19"/>
  <c r="L127" i="19"/>
  <c r="L113" i="19"/>
  <c r="L99" i="19"/>
  <c r="L72" i="19"/>
  <c r="L65" i="19"/>
  <c r="L52" i="19"/>
  <c r="L25" i="19"/>
  <c r="L217" i="19"/>
  <c r="L157" i="19"/>
  <c r="L149" i="19"/>
  <c r="L164" i="19"/>
  <c r="L105" i="19"/>
  <c r="L78" i="19"/>
  <c r="L198" i="19"/>
  <c r="L141" i="19"/>
  <c r="L126" i="19"/>
  <c r="L119" i="19"/>
  <c r="L133" i="19"/>
  <c r="L179" i="19"/>
  <c r="L171" i="19"/>
  <c r="L111" i="19"/>
  <c r="L104" i="19"/>
  <c r="L77" i="19"/>
  <c r="L215" i="19"/>
  <c r="L197" i="19"/>
  <c r="L155" i="19"/>
  <c r="L147" i="19"/>
  <c r="L125" i="19"/>
  <c r="L118" i="19"/>
  <c r="L97" i="19"/>
  <c r="L162" i="19"/>
  <c r="L83" i="19"/>
  <c r="L36" i="19"/>
  <c r="L17" i="19"/>
  <c r="L49" i="19"/>
  <c r="L42" i="19"/>
  <c r="L22" i="19"/>
  <c r="L35" i="19"/>
  <c r="L16" i="19"/>
  <c r="L102" i="19"/>
  <c r="L75" i="19"/>
  <c r="L68" i="19"/>
  <c r="L55" i="19"/>
  <c r="L28" i="19"/>
  <c r="L9" i="19"/>
  <c r="L95" i="19"/>
  <c r="L88" i="19"/>
  <c r="L61" i="19"/>
  <c r="L48" i="19"/>
  <c r="L41" i="19"/>
  <c r="L21" i="19"/>
  <c r="L108" i="19"/>
  <c r="L81" i="19"/>
  <c r="L34" i="19"/>
  <c r="L15" i="19"/>
  <c r="L27" i="19"/>
  <c r="L8" i="19"/>
  <c r="L60" i="19"/>
  <c r="L47" i="19"/>
  <c r="L40" i="19"/>
  <c r="L80" i="19"/>
  <c r="L33" i="19"/>
  <c r="L14" i="19"/>
  <c r="L73" i="19"/>
  <c r="L66" i="19"/>
  <c r="L53" i="19"/>
  <c r="L26" i="19"/>
  <c r="L7" i="19"/>
  <c r="L59" i="19"/>
  <c r="L46" i="19"/>
  <c r="L39" i="19"/>
  <c r="L20" i="19"/>
  <c r="L106" i="19"/>
  <c r="L79" i="19"/>
  <c r="L32" i="19"/>
  <c r="L13" i="19"/>
  <c r="L5" i="19"/>
  <c r="L92" i="19"/>
  <c r="L85" i="19"/>
  <c r="L58" i="19"/>
  <c r="L45" i="19"/>
  <c r="L38" i="19"/>
  <c r="L19" i="19"/>
  <c r="L31" i="19"/>
  <c r="L12" i="19"/>
  <c r="L98" i="19"/>
  <c r="L71" i="19"/>
  <c r="L64" i="19"/>
  <c r="L51" i="19"/>
  <c r="L24" i="19"/>
  <c r="L91" i="19"/>
  <c r="L84" i="19"/>
  <c r="L37" i="19"/>
  <c r="L18" i="19"/>
  <c r="L30" i="19"/>
  <c r="L11" i="19"/>
  <c r="L63" i="19"/>
  <c r="L50" i="19"/>
  <c r="L43" i="19"/>
  <c r="L23" i="19"/>
  <c r="L178" i="19"/>
  <c r="L139" i="19"/>
  <c r="L103" i="19"/>
  <c r="L76" i="19"/>
  <c r="L69" i="19"/>
  <c r="L56" i="19"/>
  <c r="L29" i="19"/>
  <c r="L10" i="19"/>
  <c r="L89" i="19"/>
  <c r="L146" i="19"/>
  <c r="L131" i="19"/>
  <c r="L124" i="19"/>
  <c r="L117" i="19"/>
  <c r="L96" i="19"/>
  <c r="L62" i="19"/>
  <c r="L169" i="19"/>
  <c r="L161" i="19"/>
  <c r="L109" i="19"/>
  <c r="L82" i="19"/>
  <c r="L195" i="19"/>
  <c r="L177" i="19"/>
  <c r="L153" i="19"/>
  <c r="L138" i="19"/>
  <c r="J542" i="15"/>
  <c r="K542" i="15" s="1"/>
  <c r="L999" i="15"/>
  <c r="L746" i="15"/>
  <c r="M623" i="15"/>
  <c r="L651" i="15"/>
  <c r="L412" i="15"/>
  <c r="J413" i="15"/>
  <c r="I413" i="15" s="1"/>
  <c r="L535" i="15"/>
  <c r="L467" i="15"/>
  <c r="J765" i="15"/>
  <c r="J966" i="15"/>
  <c r="K966" i="15" s="1"/>
  <c r="L845" i="15"/>
  <c r="L553" i="15"/>
  <c r="L789" i="15"/>
  <c r="L436" i="15"/>
  <c r="M981" i="15"/>
  <c r="L569" i="15"/>
  <c r="L841" i="15"/>
  <c r="L882" i="15"/>
  <c r="F91" i="10"/>
  <c r="K996" i="15"/>
  <c r="I996" i="15"/>
  <c r="K566" i="15"/>
  <c r="I566" i="15"/>
  <c r="K540" i="15"/>
  <c r="I540" i="15"/>
  <c r="K670" i="15"/>
  <c r="I670" i="15"/>
  <c r="K904" i="15"/>
  <c r="I904" i="15"/>
  <c r="L143" i="19"/>
  <c r="L163" i="19"/>
  <c r="L183" i="19"/>
  <c r="L203" i="19"/>
  <c r="L223" i="19"/>
  <c r="L230" i="19"/>
  <c r="L237" i="19"/>
  <c r="F30" i="10"/>
  <c r="F75" i="10"/>
  <c r="J654" i="15"/>
  <c r="I654" i="15" s="1"/>
  <c r="J1021" i="15"/>
  <c r="L44" i="19"/>
  <c r="L57" i="19"/>
  <c r="L70" i="19"/>
  <c r="L90" i="19"/>
  <c r="L110" i="19"/>
  <c r="L130" i="19"/>
  <c r="L150" i="19"/>
  <c r="L170" i="19"/>
  <c r="L190" i="19"/>
  <c r="L210" i="19"/>
  <c r="F8" i="10"/>
  <c r="F66" i="10"/>
  <c r="J546" i="15"/>
  <c r="L600" i="15"/>
  <c r="L787" i="15"/>
  <c r="L826" i="15"/>
  <c r="L959" i="15"/>
  <c r="L555" i="15"/>
  <c r="L619" i="15"/>
  <c r="L768" i="15"/>
  <c r="J921" i="15"/>
  <c r="J968" i="15"/>
  <c r="L184" i="19"/>
  <c r="L204" i="19"/>
  <c r="L224" i="19"/>
  <c r="L231" i="19"/>
  <c r="F22" i="10"/>
  <c r="F123" i="10"/>
  <c r="F134" i="10"/>
  <c r="L465" i="15"/>
  <c r="L596" i="15"/>
  <c r="I875" i="15"/>
  <c r="L565" i="15"/>
  <c r="L239" i="19"/>
  <c r="L165" i="19"/>
  <c r="L185" i="19"/>
  <c r="L205" i="19"/>
  <c r="L225" i="19"/>
  <c r="L232" i="19"/>
  <c r="F10" i="10"/>
  <c r="F102" i="10"/>
  <c r="L112" i="19"/>
  <c r="L132" i="19"/>
  <c r="L152" i="19"/>
  <c r="L172" i="19"/>
  <c r="L192" i="19"/>
  <c r="L212" i="19"/>
  <c r="F114" i="10"/>
  <c r="B137" i="10"/>
  <c r="L543" i="15"/>
  <c r="J593" i="15"/>
  <c r="I593" i="15" s="1"/>
  <c r="L669" i="15"/>
  <c r="L903" i="15"/>
  <c r="L995" i="15"/>
  <c r="L1022" i="15"/>
  <c r="J1027" i="15"/>
  <c r="L186" i="19"/>
  <c r="L206" i="19"/>
  <c r="F24" i="10"/>
  <c r="F126" i="10"/>
  <c r="F137" i="10"/>
  <c r="L847" i="15"/>
  <c r="L922" i="15"/>
  <c r="L991" i="15"/>
  <c r="L173" i="19"/>
  <c r="L193" i="19"/>
  <c r="L213" i="19"/>
  <c r="J927" i="15"/>
  <c r="I927" i="15" s="1"/>
  <c r="L120" i="19"/>
  <c r="L140" i="19"/>
  <c r="L160" i="19"/>
  <c r="L180" i="19"/>
  <c r="L200" i="19"/>
  <c r="L220" i="19"/>
  <c r="L227" i="19"/>
  <c r="L234" i="19"/>
  <c r="B26" i="10"/>
  <c r="F59" i="10"/>
  <c r="F70" i="10"/>
  <c r="F82" i="10"/>
  <c r="L621" i="15"/>
  <c r="L876" i="15"/>
  <c r="L167" i="19"/>
  <c r="L187" i="19"/>
  <c r="L207" i="19"/>
  <c r="J648" i="15"/>
  <c r="J743" i="15"/>
  <c r="I743" i="15" s="1"/>
  <c r="L819" i="15"/>
  <c r="J881" i="15"/>
  <c r="L114" i="19"/>
  <c r="L134" i="19"/>
  <c r="L154" i="19"/>
  <c r="L174" i="19"/>
  <c r="L194" i="19"/>
  <c r="L214" i="19"/>
  <c r="F4" i="10"/>
  <c r="F118" i="10"/>
  <c r="L766" i="15"/>
  <c r="J844" i="15"/>
  <c r="I844" i="15" s="1"/>
  <c r="L181" i="19"/>
  <c r="L201" i="19"/>
  <c r="L221" i="19"/>
  <c r="L228" i="19"/>
  <c r="L235" i="19"/>
  <c r="B5" i="10"/>
  <c r="B6" i="10" s="1"/>
  <c r="F50" i="10"/>
  <c r="F62" i="10"/>
  <c r="I554" i="15"/>
  <c r="L594" i="15"/>
  <c r="L148" i="19"/>
  <c r="L168" i="19"/>
  <c r="L188" i="19"/>
  <c r="L208" i="19"/>
  <c r="F107" i="10"/>
  <c r="L590" i="15"/>
  <c r="L613" i="15"/>
  <c r="F6" i="10"/>
  <c r="F96" i="10"/>
  <c r="L567" i="15"/>
  <c r="I572" i="15"/>
  <c r="L1024" i="15"/>
  <c r="L182" i="19"/>
  <c r="L202" i="19"/>
  <c r="L222" i="19"/>
  <c r="L229" i="19"/>
  <c r="L236" i="19"/>
  <c r="L189" i="19"/>
  <c r="L209" i="19"/>
  <c r="F28" i="10"/>
  <c r="F86" i="10"/>
  <c r="F130" i="10"/>
  <c r="J415" i="15"/>
  <c r="L905" i="15"/>
  <c r="L924" i="15"/>
  <c r="L993" i="15"/>
  <c r="L136" i="19"/>
  <c r="L156" i="19"/>
  <c r="L176" i="19"/>
  <c r="L196" i="19"/>
  <c r="L216" i="19"/>
  <c r="F42" i="10"/>
  <c r="F98" i="10"/>
  <c r="L649" i="15"/>
  <c r="L671" i="15"/>
  <c r="L744" i="15"/>
  <c r="L963" i="15"/>
  <c r="L997" i="15"/>
  <c r="K767" i="15"/>
  <c r="I767" i="15"/>
  <c r="K595" i="15"/>
  <c r="I595" i="15"/>
  <c r="I591" i="15"/>
  <c r="K591" i="15"/>
  <c r="K614" i="15"/>
  <c r="I614" i="15"/>
  <c r="K568" i="15"/>
  <c r="I568" i="15"/>
  <c r="I749" i="15"/>
  <c r="K749" i="15"/>
  <c r="I929" i="15"/>
  <c r="K929" i="15"/>
  <c r="K994" i="15"/>
  <c r="I994" i="15"/>
  <c r="K650" i="15"/>
  <c r="I650" i="15"/>
  <c r="K672" i="15"/>
  <c r="I672" i="15"/>
  <c r="K745" i="15"/>
  <c r="I745" i="15"/>
  <c r="I797" i="15"/>
  <c r="K797" i="15"/>
  <c r="K883" i="15"/>
  <c r="I883" i="15"/>
  <c r="I898" i="15"/>
  <c r="K898" i="15"/>
  <c r="I964" i="15"/>
  <c r="K964" i="15"/>
  <c r="K998" i="15"/>
  <c r="I998" i="15"/>
  <c r="I837" i="15"/>
  <c r="K837" i="15"/>
  <c r="K846" i="15"/>
  <c r="I846" i="15"/>
  <c r="K879" i="15"/>
  <c r="I879" i="15"/>
  <c r="I601" i="15"/>
  <c r="K601" i="15"/>
  <c r="K788" i="15"/>
  <c r="I788" i="15"/>
  <c r="I827" i="15"/>
  <c r="K827" i="15"/>
  <c r="I842" i="15"/>
  <c r="K842" i="15"/>
  <c r="I960" i="15"/>
  <c r="K960" i="15"/>
  <c r="K556" i="15"/>
  <c r="I556" i="15"/>
  <c r="K620" i="15"/>
  <c r="I620" i="15"/>
  <c r="I769" i="15"/>
  <c r="K769" i="15"/>
  <c r="K466" i="15"/>
  <c r="I466" i="15"/>
  <c r="I597" i="15"/>
  <c r="K597" i="15"/>
  <c r="I1025" i="15"/>
  <c r="K1025" i="15"/>
  <c r="K536" i="15"/>
  <c r="I536" i="15"/>
  <c r="I652" i="15"/>
  <c r="K652" i="15"/>
  <c r="K674" i="15"/>
  <c r="I674" i="15"/>
  <c r="I747" i="15"/>
  <c r="K747" i="15"/>
  <c r="I900" i="15"/>
  <c r="K900" i="15"/>
  <c r="I1000" i="15"/>
  <c r="K1000" i="15"/>
  <c r="I848" i="15"/>
  <c r="K848" i="15"/>
  <c r="K923" i="15"/>
  <c r="I923" i="15"/>
  <c r="K992" i="15"/>
  <c r="I992" i="15"/>
  <c r="K1023" i="15"/>
  <c r="I1023" i="15"/>
  <c r="K666" i="15"/>
  <c r="I666" i="15"/>
  <c r="K790" i="15"/>
  <c r="I790" i="15"/>
  <c r="I962" i="15"/>
  <c r="K962" i="15"/>
  <c r="K538" i="15"/>
  <c r="I538" i="15"/>
  <c r="K668" i="15"/>
  <c r="I668" i="15"/>
  <c r="K906" i="15"/>
  <c r="I906" i="15"/>
  <c r="I925" i="15"/>
  <c r="K925" i="15"/>
  <c r="K437" i="15"/>
  <c r="I437" i="15"/>
  <c r="K570" i="15"/>
  <c r="I570" i="15"/>
  <c r="K544" i="15"/>
  <c r="I544" i="15"/>
  <c r="I622" i="15"/>
  <c r="K622" i="15"/>
  <c r="K877" i="15"/>
  <c r="I877" i="15"/>
  <c r="K468" i="15"/>
  <c r="I468" i="15"/>
  <c r="I599" i="15"/>
  <c r="K599" i="15"/>
  <c r="K820" i="15"/>
  <c r="I820" i="15"/>
  <c r="K470" i="15"/>
  <c r="J646" i="15"/>
  <c r="L598" i="15"/>
  <c r="L748" i="15"/>
  <c r="L796" i="15"/>
  <c r="L836" i="15"/>
  <c r="L897" i="15"/>
  <c r="L961" i="15"/>
  <c r="M1062" i="15"/>
  <c r="J612" i="15"/>
  <c r="J391" i="15"/>
  <c r="K987" i="15"/>
  <c r="G392" i="15"/>
  <c r="K754" i="15"/>
  <c r="K771" i="15"/>
  <c r="I833" i="15"/>
  <c r="K641" i="15"/>
  <c r="F48" i="10"/>
  <c r="F108" i="10"/>
  <c r="F11" i="10"/>
  <c r="F16" i="10"/>
  <c r="F103" i="10"/>
  <c r="F124" i="10"/>
  <c r="F135" i="10"/>
  <c r="F87" i="10"/>
  <c r="F78" i="10"/>
  <c r="F94" i="10"/>
  <c r="F110" i="10"/>
  <c r="F35" i="10"/>
  <c r="F31" i="10"/>
  <c r="F36" i="10"/>
  <c r="F71" i="10"/>
  <c r="F51" i="10"/>
  <c r="B7" i="10"/>
  <c r="B8" i="10" s="1"/>
  <c r="B9" i="10" s="1"/>
  <c r="B10" i="10" s="1"/>
  <c r="F67" i="10"/>
  <c r="F27" i="10"/>
  <c r="F47" i="10"/>
  <c r="F83" i="10"/>
  <c r="F88" i="10"/>
  <c r="F99" i="10"/>
  <c r="F104" i="10"/>
  <c r="F120" i="10"/>
  <c r="F131" i="10"/>
  <c r="F136" i="10"/>
  <c r="F115" i="10"/>
  <c r="F46" i="10"/>
  <c r="F92" i="10"/>
  <c r="F18" i="10"/>
  <c r="F23" i="10"/>
  <c r="F38" i="10"/>
  <c r="F58" i="10"/>
  <c r="F68" i="10"/>
  <c r="F111" i="10"/>
  <c r="F74" i="10"/>
  <c r="F90" i="10"/>
  <c r="F106" i="10"/>
  <c r="F116" i="10"/>
  <c r="F122" i="10"/>
  <c r="F127" i="10"/>
  <c r="F60" i="10"/>
  <c r="B44" i="10"/>
  <c r="F14" i="10"/>
  <c r="F15" i="10"/>
  <c r="F40" i="10"/>
  <c r="B11" i="10"/>
  <c r="B12" i="10" s="1"/>
  <c r="B13" i="10" s="1"/>
  <c r="B14" i="10" s="1"/>
  <c r="B15" i="10" s="1"/>
  <c r="B16" i="10" s="1"/>
  <c r="B17" i="10" s="1"/>
  <c r="B18" i="10" s="1"/>
  <c r="B19" i="10" s="1"/>
  <c r="B20" i="10" s="1"/>
  <c r="B21" i="10" s="1"/>
  <c r="B22" i="10" s="1"/>
  <c r="B23" i="10" s="1"/>
  <c r="B24" i="10" s="1"/>
  <c r="B25" i="10" s="1"/>
  <c r="B27" i="10" s="1"/>
  <c r="B28" i="10" s="1"/>
  <c r="B29" i="10" s="1"/>
  <c r="B30" i="10" s="1"/>
  <c r="B31" i="10" s="1"/>
  <c r="B32" i="10" s="1"/>
  <c r="B33" i="10" s="1"/>
  <c r="B34" i="10" s="1"/>
  <c r="B35" i="10" s="1"/>
  <c r="B36" i="10" s="1"/>
  <c r="B37" i="10" s="1"/>
  <c r="B38" i="10" s="1"/>
  <c r="B39" i="10" s="1"/>
  <c r="B40" i="10" s="1"/>
  <c r="B41" i="10" s="1"/>
  <c r="B42" i="10" s="1"/>
  <c r="B43" i="10" s="1"/>
  <c r="B45" i="10" s="1"/>
  <c r="B46" i="10" s="1"/>
  <c r="B47" i="10" s="1"/>
  <c r="B48" i="10" s="1"/>
  <c r="B49" i="10" s="1"/>
  <c r="B50" i="10" s="1"/>
  <c r="B51" i="10" s="1"/>
  <c r="B52" i="10" s="1"/>
  <c r="B53" i="10" s="1"/>
  <c r="B54" i="10" s="1"/>
  <c r="B55" i="10" s="1"/>
  <c r="B56" i="10" s="1"/>
  <c r="B57" i="10" s="1"/>
  <c r="B58" i="10" s="1"/>
  <c r="B60" i="10" s="1"/>
  <c r="B61" i="10" s="1"/>
  <c r="B62" i="10" s="1"/>
  <c r="B63" i="10" s="1"/>
  <c r="B64" i="10" s="1"/>
  <c r="B65" i="10" s="1"/>
  <c r="B66" i="10" s="1"/>
  <c r="B67" i="10" s="1"/>
  <c r="B68" i="10" s="1"/>
  <c r="B70" i="10" s="1"/>
  <c r="B72" i="10" s="1"/>
  <c r="B73" i="10" s="1"/>
  <c r="B74" i="10" s="1"/>
  <c r="B75" i="10" s="1"/>
  <c r="B76" i="10" s="1"/>
  <c r="B77" i="10" s="1"/>
  <c r="B78" i="10" s="1"/>
  <c r="B79" i="10" s="1"/>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B116" i="10" s="1"/>
  <c r="B117" i="10" s="1"/>
  <c r="B118" i="10" s="1"/>
  <c r="B119" i="10" s="1"/>
  <c r="B120" i="10" s="1"/>
  <c r="B121" i="10" s="1"/>
  <c r="B122" i="10" s="1"/>
  <c r="B123" i="10" s="1"/>
  <c r="B125" i="10" s="1"/>
  <c r="B126" i="10" s="1"/>
  <c r="B127" i="10" s="1"/>
  <c r="B128" i="10" s="1"/>
  <c r="B129" i="10" s="1"/>
  <c r="B130" i="10" s="1"/>
  <c r="B131" i="10" s="1"/>
  <c r="B132" i="10" s="1"/>
  <c r="B133" i="10" s="1"/>
  <c r="B134" i="10" s="1"/>
  <c r="B135" i="10" s="1"/>
  <c r="B136" i="10" s="1"/>
  <c r="B138" i="10" s="1"/>
  <c r="F76" i="10"/>
  <c r="F34" i="10"/>
  <c r="F54" i="10"/>
  <c r="F19" i="10"/>
  <c r="F39" i="10"/>
  <c r="F64" i="10"/>
  <c r="F5" i="10"/>
  <c r="F9" i="10"/>
  <c r="F13" i="10"/>
  <c r="F17" i="10"/>
  <c r="F21" i="10"/>
  <c r="F25" i="10"/>
  <c r="F29" i="10"/>
  <c r="F33" i="10"/>
  <c r="F37" i="10"/>
  <c r="F41" i="10"/>
  <c r="F45" i="10"/>
  <c r="F49" i="10"/>
  <c r="F53" i="10"/>
  <c r="F57" i="10"/>
  <c r="F61" i="10"/>
  <c r="F65" i="10"/>
  <c r="F73" i="10"/>
  <c r="F77" i="10"/>
  <c r="F81" i="10"/>
  <c r="F85" i="10"/>
  <c r="F89" i="10"/>
  <c r="F93" i="10"/>
  <c r="F97" i="10"/>
  <c r="F101" i="10"/>
  <c r="F105" i="10"/>
  <c r="F109" i="10"/>
  <c r="F113" i="10"/>
  <c r="F117" i="10"/>
  <c r="F121" i="10"/>
  <c r="F125" i="10"/>
  <c r="F129" i="10"/>
  <c r="F133" i="10"/>
  <c r="B90" i="3"/>
  <c r="A91" i="3"/>
  <c r="V48" i="3"/>
  <c r="V6" i="3"/>
  <c r="V7" i="3"/>
  <c r="V27" i="3"/>
  <c r="V47" i="3"/>
  <c r="V67" i="3"/>
  <c r="V28" i="3"/>
  <c r="V68" i="3"/>
  <c r="V11" i="3"/>
  <c r="L238" i="19"/>
  <c r="O5" i="19"/>
  <c r="L226" i="19"/>
  <c r="L233" i="19"/>
  <c r="J303" i="20"/>
  <c r="H303" i="20"/>
  <c r="J302" i="20"/>
  <c r="H302" i="20"/>
  <c r="J301" i="20"/>
  <c r="H301" i="20"/>
  <c r="J300" i="20"/>
  <c r="H300" i="20"/>
  <c r="J299" i="20"/>
  <c r="H299" i="20"/>
  <c r="J298" i="20"/>
  <c r="H298" i="20"/>
  <c r="J297" i="20"/>
  <c r="H297" i="20"/>
  <c r="J296" i="20"/>
  <c r="H296" i="20"/>
  <c r="J295" i="20"/>
  <c r="H295" i="20"/>
  <c r="J294" i="20"/>
  <c r="H294" i="20"/>
  <c r="J293" i="20"/>
  <c r="H293" i="20"/>
  <c r="J292" i="20"/>
  <c r="H292" i="20"/>
  <c r="J291" i="20"/>
  <c r="H291" i="20"/>
  <c r="J290" i="20"/>
  <c r="H290" i="20"/>
  <c r="J289" i="20"/>
  <c r="H289" i="20"/>
  <c r="J288" i="20"/>
  <c r="H288" i="20"/>
  <c r="J287" i="20"/>
  <c r="H287" i="20"/>
  <c r="J286" i="20"/>
  <c r="H286" i="20"/>
  <c r="J285" i="20"/>
  <c r="H285" i="20"/>
  <c r="J284" i="20"/>
  <c r="H284" i="20"/>
  <c r="J283" i="20"/>
  <c r="H283" i="20"/>
  <c r="J282" i="20"/>
  <c r="H282" i="20"/>
  <c r="J281" i="20"/>
  <c r="H281" i="20"/>
  <c r="J280" i="20"/>
  <c r="H280" i="20"/>
  <c r="J279" i="20"/>
  <c r="H279" i="20"/>
  <c r="J278" i="20"/>
  <c r="H278" i="20"/>
  <c r="J277" i="20"/>
  <c r="H277" i="20"/>
  <c r="J276" i="20"/>
  <c r="H276" i="20"/>
  <c r="J275" i="20"/>
  <c r="H275" i="20"/>
  <c r="J274" i="20"/>
  <c r="H274" i="20"/>
  <c r="J273" i="20"/>
  <c r="H273" i="20"/>
  <c r="J272" i="20"/>
  <c r="H272" i="20"/>
  <c r="J271" i="20"/>
  <c r="H271" i="20"/>
  <c r="J270" i="20"/>
  <c r="H270" i="20"/>
  <c r="J269" i="20"/>
  <c r="H269" i="20"/>
  <c r="J268" i="20"/>
  <c r="H268" i="20"/>
  <c r="J267" i="20"/>
  <c r="H267" i="20"/>
  <c r="J266" i="20"/>
  <c r="H266" i="20"/>
  <c r="J265" i="20"/>
  <c r="H265" i="20"/>
  <c r="J264" i="20"/>
  <c r="H264" i="20"/>
  <c r="J263" i="20"/>
  <c r="H263" i="20"/>
  <c r="J262" i="20"/>
  <c r="H262" i="20"/>
  <c r="J261" i="20"/>
  <c r="H261" i="20"/>
  <c r="J260" i="20"/>
  <c r="H260" i="20"/>
  <c r="J259" i="20"/>
  <c r="H259" i="20"/>
  <c r="J258" i="20"/>
  <c r="H258" i="20"/>
  <c r="J257" i="20"/>
  <c r="H257" i="20"/>
  <c r="J256" i="20"/>
  <c r="H256" i="20"/>
  <c r="J255" i="20"/>
  <c r="H255" i="20"/>
  <c r="J254" i="20"/>
  <c r="H254" i="20"/>
  <c r="J253" i="20"/>
  <c r="H253" i="20"/>
  <c r="J252" i="20"/>
  <c r="H252" i="20"/>
  <c r="J251" i="20"/>
  <c r="H251" i="20"/>
  <c r="J250" i="20"/>
  <c r="H250" i="20"/>
  <c r="J249" i="20"/>
  <c r="H249" i="20"/>
  <c r="J248" i="20"/>
  <c r="H248" i="20"/>
  <c r="J247" i="20"/>
  <c r="H247" i="20"/>
  <c r="J246" i="20"/>
  <c r="H246" i="20"/>
  <c r="J245" i="20"/>
  <c r="H245" i="20"/>
  <c r="J244" i="20"/>
  <c r="H244" i="20"/>
  <c r="J243" i="20"/>
  <c r="H243" i="20"/>
  <c r="J242" i="20"/>
  <c r="H242" i="20"/>
  <c r="J241" i="20"/>
  <c r="H241" i="20"/>
  <c r="J240" i="20"/>
  <c r="H240" i="20"/>
  <c r="J239" i="20"/>
  <c r="H239" i="20"/>
  <c r="J238" i="20"/>
  <c r="H238" i="20"/>
  <c r="J237" i="20"/>
  <c r="H237" i="20"/>
  <c r="J236" i="20"/>
  <c r="H236" i="20"/>
  <c r="J235" i="20"/>
  <c r="H235" i="20"/>
  <c r="J234" i="20"/>
  <c r="H234" i="20"/>
  <c r="J233" i="20"/>
  <c r="H233" i="20"/>
  <c r="J232" i="20"/>
  <c r="H232" i="20"/>
  <c r="J231" i="20"/>
  <c r="H231" i="20"/>
  <c r="J230" i="20"/>
  <c r="H230" i="20"/>
  <c r="J229" i="20"/>
  <c r="H229" i="20"/>
  <c r="J228" i="20"/>
  <c r="H228" i="20"/>
  <c r="J227" i="20"/>
  <c r="H227" i="20"/>
  <c r="J226" i="20"/>
  <c r="H226" i="20"/>
  <c r="J225" i="20"/>
  <c r="H225" i="20"/>
  <c r="J224" i="20"/>
  <c r="H224" i="20"/>
  <c r="J223" i="20"/>
  <c r="H223" i="20"/>
  <c r="J222" i="20"/>
  <c r="H222" i="20"/>
  <c r="J221" i="20"/>
  <c r="H221" i="20"/>
  <c r="J220" i="20"/>
  <c r="H220" i="20"/>
  <c r="J219" i="20"/>
  <c r="H219" i="20"/>
  <c r="J218" i="20"/>
  <c r="H218" i="20"/>
  <c r="J217" i="20"/>
  <c r="H217" i="20"/>
  <c r="J216" i="20"/>
  <c r="H216" i="20"/>
  <c r="J215" i="20"/>
  <c r="H215" i="20"/>
  <c r="J214" i="20"/>
  <c r="H214" i="20"/>
  <c r="J213" i="20"/>
  <c r="H213" i="20"/>
  <c r="J212" i="20"/>
  <c r="H212" i="20"/>
  <c r="J211" i="20"/>
  <c r="H211" i="20"/>
  <c r="J210" i="20"/>
  <c r="H210" i="20"/>
  <c r="J209" i="20"/>
  <c r="H209" i="20"/>
  <c r="J208" i="20"/>
  <c r="H208" i="20"/>
  <c r="J207" i="20"/>
  <c r="H207" i="20"/>
  <c r="J206" i="20"/>
  <c r="H206" i="20"/>
  <c r="J205" i="20"/>
  <c r="H205" i="20"/>
  <c r="J204" i="20"/>
  <c r="H204" i="20"/>
  <c r="J203" i="20"/>
  <c r="H203" i="20"/>
  <c r="J202" i="20"/>
  <c r="H202" i="20"/>
  <c r="J201" i="20"/>
  <c r="H201" i="20"/>
  <c r="J200" i="20"/>
  <c r="H200" i="20"/>
  <c r="J199" i="20"/>
  <c r="H199" i="20"/>
  <c r="J198" i="20"/>
  <c r="H198" i="20"/>
  <c r="J197" i="20"/>
  <c r="H197" i="20"/>
  <c r="J196" i="20"/>
  <c r="H196" i="20"/>
  <c r="J195" i="20"/>
  <c r="H195" i="20"/>
  <c r="J194" i="20"/>
  <c r="H194" i="20"/>
  <c r="J193" i="20"/>
  <c r="H193" i="20"/>
  <c r="J192" i="20"/>
  <c r="H192" i="20"/>
  <c r="J191" i="20"/>
  <c r="H191" i="20"/>
  <c r="J190" i="20"/>
  <c r="H190" i="20"/>
  <c r="J189" i="20"/>
  <c r="H189" i="20"/>
  <c r="J188" i="20"/>
  <c r="H188" i="20"/>
  <c r="J187" i="20"/>
  <c r="H187" i="20"/>
  <c r="J186" i="20"/>
  <c r="H186" i="20"/>
  <c r="J185" i="20"/>
  <c r="H185" i="20"/>
  <c r="J184" i="20"/>
  <c r="H184" i="20"/>
  <c r="J183" i="20"/>
  <c r="H183" i="20"/>
  <c r="J182" i="20"/>
  <c r="H182" i="20"/>
  <c r="J181" i="20"/>
  <c r="H181" i="20"/>
  <c r="J180" i="20"/>
  <c r="H180" i="20"/>
  <c r="J179" i="20"/>
  <c r="H179" i="20"/>
  <c r="J178" i="20"/>
  <c r="H178" i="20"/>
  <c r="J177" i="20"/>
  <c r="H177" i="20"/>
  <c r="J176" i="20"/>
  <c r="H176" i="20"/>
  <c r="J175" i="20"/>
  <c r="H175" i="20"/>
  <c r="J174" i="20"/>
  <c r="H174" i="20"/>
  <c r="J173" i="20"/>
  <c r="H173" i="20"/>
  <c r="J172" i="20"/>
  <c r="H172" i="20"/>
  <c r="J171" i="20"/>
  <c r="H171" i="20"/>
  <c r="J170" i="20"/>
  <c r="H170" i="20"/>
  <c r="J169" i="20"/>
  <c r="H169" i="20"/>
  <c r="J168" i="20"/>
  <c r="H168" i="20"/>
  <c r="J167" i="20"/>
  <c r="H167" i="20"/>
  <c r="J166" i="20"/>
  <c r="H166" i="20"/>
  <c r="J165" i="20"/>
  <c r="H165" i="20"/>
  <c r="J164" i="20"/>
  <c r="H164" i="20"/>
  <c r="J163" i="20"/>
  <c r="H163" i="20"/>
  <c r="J162" i="20"/>
  <c r="H162" i="20"/>
  <c r="J161" i="20"/>
  <c r="H161" i="20"/>
  <c r="J160" i="20"/>
  <c r="H160" i="20"/>
  <c r="J159" i="20"/>
  <c r="H159" i="20"/>
  <c r="J158" i="20"/>
  <c r="H158" i="20"/>
  <c r="J157" i="20"/>
  <c r="H157" i="20"/>
  <c r="J156" i="20"/>
  <c r="H156" i="20"/>
  <c r="J155" i="20"/>
  <c r="H155" i="20"/>
  <c r="J154" i="20"/>
  <c r="H154" i="20"/>
  <c r="J153" i="20"/>
  <c r="H153" i="20"/>
  <c r="J152" i="20"/>
  <c r="H152" i="20"/>
  <c r="J151" i="20"/>
  <c r="H151" i="20"/>
  <c r="J150" i="20"/>
  <c r="H150" i="20"/>
  <c r="J149" i="20"/>
  <c r="H149" i="20"/>
  <c r="J148" i="20"/>
  <c r="H148" i="20"/>
  <c r="J147" i="20"/>
  <c r="H147" i="20"/>
  <c r="J146" i="20"/>
  <c r="H146" i="20"/>
  <c r="J145" i="20"/>
  <c r="H145" i="20"/>
  <c r="J144" i="20"/>
  <c r="H144" i="20"/>
  <c r="J143" i="20"/>
  <c r="H143" i="20"/>
  <c r="J142" i="20"/>
  <c r="H142" i="20"/>
  <c r="J141" i="20"/>
  <c r="H141" i="20"/>
  <c r="J140" i="20"/>
  <c r="H140" i="20"/>
  <c r="J139" i="20"/>
  <c r="H139" i="20"/>
  <c r="J138" i="20"/>
  <c r="H138" i="20"/>
  <c r="J137" i="20"/>
  <c r="H137" i="20"/>
  <c r="J136" i="20"/>
  <c r="H136" i="20"/>
  <c r="J135" i="20"/>
  <c r="H135" i="20"/>
  <c r="J134" i="20"/>
  <c r="H134" i="20"/>
  <c r="J133" i="20"/>
  <c r="H133" i="20"/>
  <c r="J132" i="20"/>
  <c r="H132" i="20"/>
  <c r="J131" i="20"/>
  <c r="H131" i="20"/>
  <c r="J130" i="20"/>
  <c r="H130" i="20"/>
  <c r="J129" i="20"/>
  <c r="H129" i="20"/>
  <c r="J128" i="20"/>
  <c r="H128" i="20"/>
  <c r="J127" i="20"/>
  <c r="H127" i="20"/>
  <c r="J126" i="20"/>
  <c r="H126" i="20"/>
  <c r="J125" i="20"/>
  <c r="H125" i="20"/>
  <c r="J124" i="20"/>
  <c r="H124" i="20"/>
  <c r="J123" i="20"/>
  <c r="H123" i="20"/>
  <c r="J122" i="20"/>
  <c r="H122" i="20"/>
  <c r="J121" i="20"/>
  <c r="H121" i="20"/>
  <c r="J120" i="20"/>
  <c r="H120" i="20"/>
  <c r="J119" i="20"/>
  <c r="H119" i="20"/>
  <c r="J118" i="20"/>
  <c r="H118" i="20"/>
  <c r="J117" i="20"/>
  <c r="H117" i="20"/>
  <c r="J116" i="20"/>
  <c r="H116" i="20"/>
  <c r="J115" i="20"/>
  <c r="H115" i="20"/>
  <c r="J114" i="20"/>
  <c r="H114" i="20"/>
  <c r="J113" i="20"/>
  <c r="H113" i="20"/>
  <c r="J112" i="20"/>
  <c r="H112" i="20"/>
  <c r="J111" i="20"/>
  <c r="H111" i="20"/>
  <c r="J110" i="20"/>
  <c r="H110" i="20"/>
  <c r="J109" i="20"/>
  <c r="H109" i="20"/>
  <c r="J108" i="20"/>
  <c r="H108" i="20"/>
  <c r="J107" i="20"/>
  <c r="H107" i="20"/>
  <c r="J106" i="20"/>
  <c r="H106" i="20"/>
  <c r="J105" i="20"/>
  <c r="H105" i="20"/>
  <c r="J104" i="20"/>
  <c r="H104" i="20"/>
  <c r="J103" i="20"/>
  <c r="H103" i="20"/>
  <c r="J102" i="20"/>
  <c r="H102" i="20"/>
  <c r="J101" i="20"/>
  <c r="H101" i="20"/>
  <c r="J100" i="20"/>
  <c r="H100" i="20"/>
  <c r="J99" i="20"/>
  <c r="H99" i="20"/>
  <c r="J98" i="20"/>
  <c r="H98" i="20"/>
  <c r="J97" i="20"/>
  <c r="H97" i="20"/>
  <c r="J96" i="20"/>
  <c r="H96" i="20"/>
  <c r="J95" i="20"/>
  <c r="H95" i="20"/>
  <c r="J94" i="20"/>
  <c r="H94" i="20"/>
  <c r="J93" i="20"/>
  <c r="H93" i="20"/>
  <c r="J92" i="20"/>
  <c r="H92" i="20"/>
  <c r="J91" i="20"/>
  <c r="H91" i="20"/>
  <c r="J90" i="20"/>
  <c r="H90" i="20"/>
  <c r="J89" i="20"/>
  <c r="H89" i="20"/>
  <c r="J88" i="20"/>
  <c r="H88" i="20"/>
  <c r="J87" i="20"/>
  <c r="H87" i="20"/>
  <c r="J86" i="20"/>
  <c r="H86" i="20"/>
  <c r="J85" i="20"/>
  <c r="H85" i="20"/>
  <c r="J84" i="20"/>
  <c r="H84" i="20"/>
  <c r="J83" i="20"/>
  <c r="H83" i="20"/>
  <c r="J82" i="20"/>
  <c r="H82" i="20"/>
  <c r="J81" i="20"/>
  <c r="H81" i="20"/>
  <c r="J80" i="20"/>
  <c r="H80" i="20"/>
  <c r="J79" i="20"/>
  <c r="H79" i="20"/>
  <c r="J78" i="20"/>
  <c r="H78" i="20"/>
  <c r="J77" i="20"/>
  <c r="H77" i="20"/>
  <c r="J76" i="20"/>
  <c r="H76" i="20"/>
  <c r="J75" i="20"/>
  <c r="H75" i="20"/>
  <c r="J74" i="20"/>
  <c r="H74" i="20"/>
  <c r="J73" i="20"/>
  <c r="H73" i="20"/>
  <c r="J72" i="20"/>
  <c r="H72" i="20"/>
  <c r="J71" i="20"/>
  <c r="H71" i="20"/>
  <c r="J70" i="20"/>
  <c r="H70" i="20"/>
  <c r="J69" i="20"/>
  <c r="H69" i="20"/>
  <c r="J68" i="20"/>
  <c r="H68" i="20"/>
  <c r="J67" i="20"/>
  <c r="H67" i="20"/>
  <c r="J66" i="20"/>
  <c r="H66" i="20"/>
  <c r="J65" i="20"/>
  <c r="H65" i="20"/>
  <c r="J64" i="20"/>
  <c r="H64" i="20"/>
  <c r="J63" i="20"/>
  <c r="H63" i="20"/>
  <c r="J62" i="20"/>
  <c r="H62" i="20"/>
  <c r="J61" i="20"/>
  <c r="H61" i="20"/>
  <c r="J60" i="20"/>
  <c r="H60" i="20"/>
  <c r="J59" i="20"/>
  <c r="H59" i="20"/>
  <c r="J58" i="20"/>
  <c r="H58" i="20"/>
  <c r="J57" i="20"/>
  <c r="H57" i="20"/>
  <c r="J56" i="20"/>
  <c r="H56" i="20"/>
  <c r="J55" i="20"/>
  <c r="H55" i="20"/>
  <c r="J54" i="20"/>
  <c r="H54" i="20"/>
  <c r="J53" i="20"/>
  <c r="H53" i="20"/>
  <c r="J52" i="20"/>
  <c r="H52" i="20"/>
  <c r="J51" i="20"/>
  <c r="H51" i="20"/>
  <c r="J50" i="20"/>
  <c r="H50" i="20"/>
  <c r="J49" i="20"/>
  <c r="H49" i="20"/>
  <c r="J48" i="20"/>
  <c r="H48" i="20"/>
  <c r="J47" i="20"/>
  <c r="H47" i="20"/>
  <c r="J46" i="20"/>
  <c r="H46" i="20"/>
  <c r="J45" i="20"/>
  <c r="H45" i="20"/>
  <c r="J44" i="20"/>
  <c r="H44" i="20"/>
  <c r="J43" i="20"/>
  <c r="H43" i="20"/>
  <c r="J42" i="20"/>
  <c r="H42" i="20"/>
  <c r="J41" i="20"/>
  <c r="H41" i="20"/>
  <c r="J40" i="20"/>
  <c r="H40" i="20"/>
  <c r="J39" i="20"/>
  <c r="H39" i="20"/>
  <c r="J38" i="20"/>
  <c r="H38" i="20"/>
  <c r="J37" i="20"/>
  <c r="H37" i="20"/>
  <c r="J36" i="20"/>
  <c r="H36" i="20"/>
  <c r="J35" i="20"/>
  <c r="H35" i="20"/>
  <c r="J34" i="20"/>
  <c r="H34" i="20"/>
  <c r="J33" i="20"/>
  <c r="H33" i="20"/>
  <c r="J32" i="20"/>
  <c r="H32" i="20"/>
  <c r="J31" i="20"/>
  <c r="H31" i="20"/>
  <c r="J30" i="20"/>
  <c r="H30" i="20"/>
  <c r="J29" i="20"/>
  <c r="H29" i="20"/>
  <c r="J28" i="20"/>
  <c r="H28" i="20"/>
  <c r="J27" i="20"/>
  <c r="H27" i="20"/>
  <c r="J26" i="20"/>
  <c r="H26" i="20"/>
  <c r="J25" i="20"/>
  <c r="H25" i="20"/>
  <c r="J24" i="20"/>
  <c r="H24" i="20"/>
  <c r="J23" i="20"/>
  <c r="H23" i="20"/>
  <c r="J22" i="20"/>
  <c r="H22" i="20"/>
  <c r="J21" i="20"/>
  <c r="H21" i="20"/>
  <c r="J20" i="20"/>
  <c r="H20" i="20"/>
  <c r="J19" i="20"/>
  <c r="H19" i="20"/>
  <c r="J18" i="20"/>
  <c r="H18" i="20"/>
  <c r="J17" i="20"/>
  <c r="H17" i="20"/>
  <c r="J16" i="20"/>
  <c r="H16" i="20"/>
  <c r="J15" i="20"/>
  <c r="H15" i="20"/>
  <c r="J14" i="20"/>
  <c r="H14" i="20"/>
  <c r="J13" i="20"/>
  <c r="H13" i="20"/>
  <c r="J12" i="20"/>
  <c r="H12" i="20"/>
  <c r="J11" i="20"/>
  <c r="H11" i="20"/>
  <c r="J10" i="20"/>
  <c r="H10" i="20"/>
  <c r="J9" i="20"/>
  <c r="H9" i="20"/>
  <c r="J8" i="20"/>
  <c r="H8" i="20"/>
  <c r="J7" i="20"/>
  <c r="H7" i="20"/>
  <c r="J6" i="20"/>
  <c r="H6" i="20"/>
  <c r="J5" i="20"/>
  <c r="H5" i="20"/>
  <c r="AI44" i="4"/>
  <c r="AA44" i="4"/>
  <c r="S44" i="4"/>
  <c r="K44" i="4"/>
  <c r="C44" i="4"/>
  <c r="AI41" i="4"/>
  <c r="AA41" i="4"/>
  <c r="S41" i="4"/>
  <c r="K41" i="4"/>
  <c r="C41" i="4"/>
  <c r="AI38" i="4"/>
  <c r="AA38" i="4"/>
  <c r="S38" i="4"/>
  <c r="K38" i="4"/>
  <c r="C38" i="4"/>
  <c r="AI37" i="4"/>
  <c r="AA37" i="4"/>
  <c r="S37" i="4"/>
  <c r="K37" i="4"/>
  <c r="C37" i="4"/>
  <c r="AI36" i="4"/>
  <c r="AA36" i="4"/>
  <c r="S36" i="4"/>
  <c r="K36" i="4"/>
  <c r="C36" i="4"/>
  <c r="AI34" i="4"/>
  <c r="AA34" i="4"/>
  <c r="S34" i="4"/>
  <c r="K34" i="4"/>
  <c r="C34" i="4"/>
  <c r="AI24" i="4"/>
  <c r="AA24" i="4"/>
  <c r="S24" i="4"/>
  <c r="K24" i="4"/>
  <c r="C24" i="4"/>
  <c r="AI21" i="4"/>
  <c r="AI42" i="4" s="1"/>
  <c r="AA21" i="4"/>
  <c r="AA42" i="4" s="1"/>
  <c r="S21" i="4"/>
  <c r="S42" i="4" s="1"/>
  <c r="K21" i="4"/>
  <c r="K42" i="4" s="1"/>
  <c r="C21" i="4"/>
  <c r="C42" i="4" s="1"/>
  <c r="I618" i="15" l="1"/>
  <c r="K741" i="15"/>
  <c r="I542" i="15"/>
  <c r="I902" i="15"/>
  <c r="I761" i="15"/>
  <c r="M1064" i="15"/>
  <c r="I1029" i="15"/>
  <c r="K654" i="15"/>
  <c r="I966" i="15"/>
  <c r="J1062" i="15"/>
  <c r="K413" i="15"/>
  <c r="L1064" i="15"/>
  <c r="K743" i="15"/>
  <c r="J981" i="15"/>
  <c r="K844" i="15"/>
  <c r="K593" i="15"/>
  <c r="K927" i="15"/>
  <c r="K765" i="15"/>
  <c r="I765" i="15"/>
  <c r="F43" i="10"/>
  <c r="K968" i="15"/>
  <c r="I968" i="15"/>
  <c r="K1027" i="15"/>
  <c r="I1027" i="15"/>
  <c r="K921" i="15"/>
  <c r="I921" i="15"/>
  <c r="K415" i="15"/>
  <c r="I415" i="15"/>
  <c r="F20" i="10"/>
  <c r="K1021" i="15"/>
  <c r="I1021" i="15"/>
  <c r="F72" i="10"/>
  <c r="F100" i="10"/>
  <c r="K881" i="15"/>
  <c r="I881" i="15"/>
  <c r="F95" i="10"/>
  <c r="F119" i="10"/>
  <c r="F84" i="10"/>
  <c r="F7" i="10"/>
  <c r="F56" i="10"/>
  <c r="K648" i="15"/>
  <c r="I648" i="15"/>
  <c r="F79" i="10"/>
  <c r="F132" i="10"/>
  <c r="F52" i="10"/>
  <c r="F55" i="10"/>
  <c r="F63" i="10"/>
  <c r="F32" i="10"/>
  <c r="K546" i="15"/>
  <c r="I546" i="15"/>
  <c r="I646" i="15"/>
  <c r="K646" i="15"/>
  <c r="K391" i="15"/>
  <c r="J623" i="15"/>
  <c r="I391" i="15"/>
  <c r="I612" i="15"/>
  <c r="K612" i="15"/>
  <c r="I3" i="10" a="1"/>
  <c r="I3" i="10" s="1"/>
  <c r="F12" i="10"/>
  <c r="G3" i="10" s="1"/>
  <c r="A90" i="3"/>
  <c r="B89" i="3"/>
  <c r="J1064" i="15" l="1"/>
  <c r="K1062" i="15"/>
  <c r="K981" i="15"/>
  <c r="I1064" i="15"/>
  <c r="K623" i="15"/>
  <c r="B88" i="3"/>
  <c r="A89" i="3"/>
  <c r="K1064" i="15" l="1"/>
  <c r="B87" i="3"/>
  <c r="A88" i="3"/>
  <c r="A87" i="3" l="1"/>
  <c r="B86" i="3"/>
  <c r="B85" i="3" l="1"/>
  <c r="A86" i="3"/>
  <c r="B84" i="3" l="1"/>
  <c r="A85" i="3"/>
  <c r="A84" i="3" l="1"/>
  <c r="B83" i="3"/>
  <c r="A83" i="3" l="1"/>
  <c r="B82" i="3"/>
  <c r="B81" i="3" l="1"/>
  <c r="A82" i="3"/>
  <c r="B80" i="3" l="1"/>
  <c r="A81" i="3"/>
  <c r="A80" i="3" l="1"/>
  <c r="B79" i="3"/>
  <c r="B78" i="3" l="1"/>
  <c r="A79" i="3"/>
  <c r="A78" i="3" l="1"/>
  <c r="B77" i="3"/>
  <c r="A77" i="3" l="1"/>
  <c r="B76" i="3"/>
  <c r="B75" i="3" l="1"/>
  <c r="A76" i="3"/>
  <c r="B74" i="3" l="1"/>
  <c r="A75" i="3"/>
  <c r="A74" i="3" l="1"/>
  <c r="B73" i="3"/>
  <c r="B72" i="3" l="1"/>
  <c r="A73" i="3"/>
  <c r="B71" i="3" l="1"/>
  <c r="A72" i="3"/>
  <c r="A71" i="3" l="1"/>
  <c r="B70" i="3"/>
  <c r="A70" i="3" l="1"/>
  <c r="B69" i="3"/>
  <c r="A69" i="3" l="1"/>
  <c r="B68" i="3"/>
  <c r="B67" i="3" l="1"/>
  <c r="A68" i="3"/>
  <c r="B66" i="3" l="1"/>
  <c r="A67" i="3"/>
  <c r="B65" i="3" l="1"/>
  <c r="A66" i="3"/>
  <c r="A65" i="3" l="1"/>
  <c r="B64" i="3"/>
  <c r="A64" i="3" l="1"/>
  <c r="B63" i="3"/>
  <c r="A63" i="3" l="1"/>
  <c r="B62" i="3"/>
  <c r="B61" i="3" l="1"/>
  <c r="A62" i="3"/>
  <c r="B60" i="3" l="1"/>
  <c r="A61" i="3"/>
  <c r="A60" i="3" l="1"/>
  <c r="B59" i="3"/>
  <c r="B58" i="3" l="1"/>
  <c r="A59" i="3"/>
  <c r="B57" i="3" l="1"/>
  <c r="A58" i="3"/>
  <c r="A57" i="3" l="1"/>
  <c r="B56" i="3"/>
  <c r="B55" i="3" l="1"/>
  <c r="A56" i="3"/>
  <c r="B54" i="3" l="1"/>
  <c r="A55" i="3"/>
  <c r="A54" i="3" l="1"/>
  <c r="B53" i="3"/>
  <c r="A53" i="3" l="1"/>
  <c r="B52" i="3"/>
  <c r="B51" i="3" l="1"/>
  <c r="A52" i="3"/>
  <c r="A51" i="3" l="1"/>
  <c r="B50" i="3"/>
  <c r="B49" i="3" l="1"/>
  <c r="A50" i="3"/>
  <c r="B48" i="3" l="1"/>
  <c r="A49" i="3"/>
  <c r="B47" i="3" l="1"/>
  <c r="A48" i="3"/>
  <c r="A47" i="3" l="1"/>
  <c r="B46" i="3"/>
  <c r="A46" i="3" l="1"/>
  <c r="B45" i="3"/>
  <c r="A45" i="3" l="1"/>
  <c r="B44" i="3"/>
  <c r="B43" i="3" l="1"/>
  <c r="A44" i="3"/>
  <c r="A43" i="3" l="1"/>
  <c r="B42" i="3"/>
  <c r="B41" i="3" l="1"/>
  <c r="A42" i="3"/>
  <c r="B40" i="3" l="1"/>
  <c r="A41" i="3"/>
  <c r="A40" i="3" l="1"/>
  <c r="B39" i="3"/>
  <c r="B38" i="3" l="1"/>
  <c r="A39" i="3"/>
  <c r="B37" i="3" l="1"/>
  <c r="A38" i="3"/>
  <c r="A37" i="3" l="1"/>
  <c r="B36" i="3"/>
  <c r="A36" i="3" l="1"/>
  <c r="B35" i="3"/>
  <c r="B34" i="3" l="1"/>
  <c r="A35" i="3"/>
  <c r="A34" i="3" l="1"/>
  <c r="B33" i="3"/>
  <c r="A33" i="3" l="1"/>
  <c r="B32" i="3"/>
  <c r="B31" i="3" l="1"/>
  <c r="A32" i="3"/>
  <c r="A31" i="3" l="1"/>
  <c r="B30" i="3"/>
  <c r="A30" i="3" l="1"/>
  <c r="B29" i="3"/>
  <c r="B28" i="3" l="1"/>
  <c r="A29" i="3"/>
  <c r="B27" i="3" l="1"/>
  <c r="A28" i="3"/>
  <c r="B26" i="3" l="1"/>
  <c r="A27" i="3"/>
  <c r="A26" i="3" l="1"/>
  <c r="B25" i="3"/>
  <c r="B24" i="3" l="1"/>
  <c r="A25" i="3"/>
  <c r="B23" i="3" l="1"/>
  <c r="A24" i="3"/>
  <c r="A23" i="3" l="1"/>
  <c r="B22" i="3"/>
  <c r="B21" i="3" l="1"/>
  <c r="A22" i="3"/>
  <c r="B20" i="3" l="1"/>
  <c r="A21" i="3"/>
  <c r="A20" i="3" l="1"/>
  <c r="B19" i="3"/>
  <c r="B18" i="3" l="1"/>
  <c r="A19" i="3"/>
  <c r="B17" i="3" l="1"/>
  <c r="A18" i="3"/>
  <c r="A17" i="3" l="1"/>
  <c r="B16" i="3"/>
  <c r="B15" i="3" l="1"/>
  <c r="A16" i="3"/>
  <c r="B14" i="3" l="1"/>
  <c r="A15" i="3"/>
  <c r="A14" i="3" l="1"/>
  <c r="B13" i="3"/>
  <c r="A13" i="3" l="1"/>
  <c r="B12" i="3"/>
  <c r="B11" i="3" l="1"/>
  <c r="A12" i="3"/>
  <c r="B10" i="3" l="1"/>
  <c r="A11" i="3"/>
  <c r="A10" i="3" l="1"/>
  <c r="B9" i="3"/>
  <c r="B8" i="3" l="1"/>
  <c r="A9" i="3"/>
  <c r="B7" i="3" l="1"/>
  <c r="A8" i="3"/>
  <c r="A7" i="3" l="1"/>
  <c r="B6" i="3"/>
  <c r="A6" i="3" l="1"/>
  <c r="I5" i="23"/>
  <c r="AI18" i="4"/>
  <c r="K65" i="21"/>
  <c r="H65" i="22"/>
  <c r="F35" i="21"/>
  <c r="H5" i="21"/>
  <c r="J50" i="21"/>
  <c r="E50" i="22"/>
  <c r="F20" i="21"/>
  <c r="H20" i="23"/>
  <c r="H5" i="22"/>
  <c r="K14" i="4"/>
  <c r="A15" i="4"/>
  <c r="A16" i="4"/>
  <c r="A11" i="4"/>
  <c r="E20" i="21"/>
  <c r="J5" i="23"/>
  <c r="E20" i="23"/>
  <c r="H35" i="23"/>
  <c r="AI12" i="4"/>
  <c r="K17" i="4"/>
  <c r="D65" i="22"/>
  <c r="C15" i="4"/>
  <c r="AG15" i="4"/>
  <c r="K65" i="23"/>
  <c r="J65" i="23"/>
  <c r="I11" i="4"/>
  <c r="AA18" i="4"/>
  <c r="F5" i="22"/>
  <c r="J65" i="21"/>
  <c r="K20" i="21"/>
  <c r="Y17" i="4"/>
  <c r="F65" i="23"/>
  <c r="D53" i="21"/>
  <c r="J20" i="23"/>
  <c r="E35" i="23"/>
  <c r="E65" i="21"/>
  <c r="F41" i="22"/>
  <c r="C17" i="4"/>
  <c r="E5" i="23"/>
  <c r="E35" i="22"/>
  <c r="Y15" i="4"/>
  <c r="AA16" i="4"/>
  <c r="Q14" i="4"/>
  <c r="H65" i="21"/>
  <c r="D20" i="22"/>
  <c r="K15" i="4"/>
  <c r="E20" i="22"/>
  <c r="S18" i="4"/>
  <c r="D68" i="21"/>
  <c r="D50" i="23"/>
  <c r="I20" i="22"/>
  <c r="F56" i="21"/>
  <c r="I35" i="23"/>
  <c r="AI15" i="4"/>
  <c r="F11" i="22"/>
  <c r="K65" i="22"/>
  <c r="E65" i="22"/>
  <c r="I14" i="4"/>
  <c r="AA12" i="4"/>
  <c r="J35" i="23"/>
  <c r="F35" i="22"/>
  <c r="F50" i="23"/>
  <c r="C14" i="4"/>
  <c r="C18" i="4"/>
  <c r="K20" i="22"/>
  <c r="J20" i="22"/>
  <c r="I65" i="23"/>
  <c r="J65" i="22"/>
  <c r="K35" i="21"/>
  <c r="D50" i="21"/>
  <c r="Q11" i="4"/>
  <c r="I20" i="21"/>
  <c r="D20" i="23"/>
  <c r="F35" i="23"/>
  <c r="I50" i="23"/>
  <c r="F41" i="21"/>
  <c r="F56" i="23"/>
  <c r="J5" i="21"/>
  <c r="E65" i="23"/>
  <c r="C16" i="4"/>
  <c r="I16" i="4"/>
  <c r="F56" i="22"/>
  <c r="D65" i="21"/>
  <c r="AG11" i="4"/>
  <c r="Y14" i="4"/>
  <c r="E5" i="22"/>
  <c r="K5" i="22"/>
  <c r="J50" i="22"/>
  <c r="I20" i="23"/>
  <c r="AA13" i="4"/>
  <c r="S15" i="4"/>
  <c r="H35" i="22"/>
  <c r="F11" i="21"/>
  <c r="K5" i="23"/>
  <c r="K12" i="4"/>
  <c r="S13" i="4"/>
  <c r="C12" i="4"/>
  <c r="A13" i="4"/>
  <c r="Q15" i="4"/>
  <c r="D35" i="21"/>
  <c r="AA14" i="4"/>
  <c r="F20" i="22"/>
  <c r="K50" i="22"/>
  <c r="D68" i="22"/>
  <c r="Y12" i="4"/>
  <c r="D23" i="23"/>
  <c r="I15" i="4"/>
  <c r="AI17" i="4"/>
  <c r="D38" i="22"/>
  <c r="H20" i="22"/>
  <c r="D68" i="23"/>
  <c r="Y13" i="4"/>
  <c r="C13" i="4"/>
  <c r="D5" i="22"/>
  <c r="F5" i="23"/>
  <c r="I5" i="22"/>
  <c r="Q12" i="4"/>
  <c r="K50" i="21"/>
  <c r="F26" i="21"/>
  <c r="I50" i="21"/>
  <c r="H50" i="22"/>
  <c r="D5" i="23"/>
  <c r="K16" i="4"/>
  <c r="Y16" i="4"/>
  <c r="J5" i="22"/>
  <c r="D8" i="23"/>
  <c r="K35" i="22"/>
  <c r="S16" i="4"/>
  <c r="D23" i="22"/>
  <c r="F41" i="23"/>
  <c r="I50" i="22"/>
  <c r="I5" i="21"/>
  <c r="F26" i="22"/>
  <c r="K18" i="4"/>
  <c r="F50" i="22"/>
  <c r="J35" i="22"/>
  <c r="E50" i="23"/>
  <c r="D23" i="21"/>
  <c r="F11" i="23"/>
  <c r="H5" i="23"/>
  <c r="AI13" i="4"/>
  <c r="D53" i="23"/>
  <c r="D5" i="21"/>
  <c r="H50" i="21"/>
  <c r="S12" i="4"/>
  <c r="H65" i="23"/>
  <c r="H20" i="21"/>
  <c r="F71" i="21"/>
  <c r="A12" i="4"/>
  <c r="D8" i="21"/>
  <c r="D8" i="22"/>
  <c r="S14" i="4"/>
  <c r="AG14" i="4"/>
  <c r="K13" i="4"/>
  <c r="AG17" i="4"/>
  <c r="A17" i="4"/>
  <c r="AG16" i="4"/>
  <c r="E35" i="21"/>
  <c r="AI16" i="4"/>
  <c r="I65" i="22"/>
  <c r="AI14" i="4"/>
  <c r="E50" i="21"/>
  <c r="F65" i="22"/>
  <c r="AG13" i="4"/>
  <c r="Q16" i="4"/>
  <c r="F5" i="21"/>
  <c r="AA17" i="4"/>
  <c r="S17" i="4"/>
  <c r="D50" i="22"/>
  <c r="D38" i="21"/>
  <c r="K50" i="23"/>
  <c r="AA15" i="4"/>
  <c r="I17" i="4"/>
  <c r="D20" i="21"/>
  <c r="F20" i="23"/>
  <c r="I13" i="4"/>
  <c r="Y11" i="4"/>
  <c r="K35" i="23"/>
  <c r="D53" i="22"/>
  <c r="E5" i="21"/>
  <c r="K20" i="23"/>
  <c r="F71" i="22"/>
  <c r="D35" i="23"/>
  <c r="I35" i="22"/>
  <c r="F65" i="21"/>
  <c r="J35" i="21"/>
  <c r="Q17" i="4"/>
  <c r="I65" i="21"/>
  <c r="A14" i="4"/>
  <c r="I12" i="4"/>
  <c r="J20" i="21"/>
  <c r="F26" i="23"/>
  <c r="F71" i="23"/>
  <c r="K5" i="21"/>
  <c r="AG12" i="4"/>
  <c r="J50" i="23"/>
  <c r="I35" i="21"/>
  <c r="D65" i="23"/>
  <c r="D35" i="22"/>
  <c r="H35" i="21"/>
  <c r="D38" i="23"/>
  <c r="F50" i="21"/>
  <c r="H50" i="23"/>
  <c r="Q13" i="4"/>
  <c r="O11" i="4" l="1" a="1"/>
  <c r="O11" i="4" s="1"/>
  <c r="B7" i="24"/>
  <c r="A7" i="24" s="1"/>
  <c r="G16" i="4"/>
  <c r="C30" i="4" s="1"/>
  <c r="B17" i="24"/>
  <c r="A17" i="24" s="1"/>
  <c r="R8" i="24"/>
  <c r="Q8" i="24" s="1"/>
  <c r="W15" i="4"/>
  <c r="S29" i="4" s="1"/>
  <c r="R16" i="24"/>
  <c r="Q16" i="24" s="1"/>
  <c r="S11" i="4"/>
  <c r="R6" i="24"/>
  <c r="Q6" i="24" s="1"/>
  <c r="R13" i="24"/>
  <c r="Q13" i="24" s="1"/>
  <c r="J10" i="24"/>
  <c r="I10" i="24" s="1"/>
  <c r="J14" i="24"/>
  <c r="I14" i="24" s="1"/>
  <c r="O13" i="4"/>
  <c r="K27" i="4" s="1"/>
  <c r="Z15" i="24"/>
  <c r="Y15" i="24" s="1"/>
  <c r="AE14" i="4"/>
  <c r="AA28" i="4" s="1"/>
  <c r="Z8" i="24"/>
  <c r="Y8" i="24" s="1"/>
  <c r="J11" i="24"/>
  <c r="I11" i="24" s="1"/>
  <c r="J15" i="24"/>
  <c r="I15" i="24" s="1"/>
  <c r="O14" i="4"/>
  <c r="K28" i="4" s="1"/>
  <c r="O17" i="4"/>
  <c r="K31" i="4" s="1"/>
  <c r="J9" i="24"/>
  <c r="I9" i="24" s="1"/>
  <c r="J18" i="24"/>
  <c r="I18" i="24" s="1"/>
  <c r="Z17" i="24"/>
  <c r="Y17" i="24" s="1"/>
  <c r="Z7" i="24"/>
  <c r="Y7" i="24" s="1"/>
  <c r="AE16" i="4"/>
  <c r="AA30" i="4" s="1"/>
  <c r="B16" i="24"/>
  <c r="A16" i="24" s="1"/>
  <c r="G15" i="4"/>
  <c r="C29" i="4" s="1"/>
  <c r="B9" i="24"/>
  <c r="A9" i="24" s="1"/>
  <c r="R7" i="24"/>
  <c r="Q7" i="24" s="1"/>
  <c r="W16" i="4"/>
  <c r="S30" i="4" s="1"/>
  <c r="R17" i="24"/>
  <c r="Q17" i="24" s="1"/>
  <c r="AA11" i="4"/>
  <c r="Z6" i="24"/>
  <c r="Y6" i="24" s="1"/>
  <c r="Z13" i="24"/>
  <c r="Y13" i="24" s="1"/>
  <c r="R12" i="24"/>
  <c r="Q12" i="24" s="1"/>
  <c r="R19" i="24"/>
  <c r="Q19" i="24" s="1"/>
  <c r="W18" i="4"/>
  <c r="S32" i="4" s="1"/>
  <c r="AM11" i="4" a="1"/>
  <c r="AM11" i="4" s="1"/>
  <c r="AM18" i="4"/>
  <c r="AI32" i="4" s="1"/>
  <c r="AH19" i="24"/>
  <c r="AG19" i="24" s="1"/>
  <c r="AH12" i="24"/>
  <c r="AG12" i="24" s="1"/>
  <c r="AH18" i="24"/>
  <c r="AG18" i="24" s="1"/>
  <c r="AH9" i="24"/>
  <c r="AG9" i="24" s="1"/>
  <c r="AM17" i="4"/>
  <c r="AI31" i="4" s="1"/>
  <c r="Z10" i="24"/>
  <c r="Y10" i="24" s="1"/>
  <c r="Z14" i="24"/>
  <c r="Y14" i="24" s="1"/>
  <c r="AE13" i="4"/>
  <c r="AA27" i="4" s="1"/>
  <c r="B11" i="24"/>
  <c r="A11" i="24" s="1"/>
  <c r="G17" i="4"/>
  <c r="C31" i="4" s="1"/>
  <c r="B18" i="24"/>
  <c r="A18" i="24" s="1"/>
  <c r="B15" i="24"/>
  <c r="A15" i="24" s="1"/>
  <c r="G14" i="4"/>
  <c r="C28" i="4" s="1"/>
  <c r="B10" i="24"/>
  <c r="A10" i="24" s="1"/>
  <c r="O15" i="4"/>
  <c r="K29" i="4" s="1"/>
  <c r="J16" i="24"/>
  <c r="I16" i="24" s="1"/>
  <c r="J8" i="24"/>
  <c r="I8" i="24" s="1"/>
  <c r="R18" i="24"/>
  <c r="Q18" i="24" s="1"/>
  <c r="W17" i="4"/>
  <c r="S31" i="4" s="1"/>
  <c r="R9" i="24"/>
  <c r="Q9" i="24" s="1"/>
  <c r="J17" i="24"/>
  <c r="I17" i="24" s="1"/>
  <c r="J7" i="24"/>
  <c r="I7" i="24" s="1"/>
  <c r="O16" i="4"/>
  <c r="K30" i="4" s="1"/>
  <c r="R15" i="24"/>
  <c r="Q15" i="24" s="1"/>
  <c r="R11" i="24"/>
  <c r="Q11" i="24" s="1"/>
  <c r="W14" i="4"/>
  <c r="S28" i="4" s="1"/>
  <c r="R14" i="24"/>
  <c r="Q14" i="24" s="1"/>
  <c r="W13" i="4"/>
  <c r="S27" i="4" s="1"/>
  <c r="R10" i="24"/>
  <c r="Q10" i="24" s="1"/>
  <c r="AH14" i="24"/>
  <c r="AG14" i="24" s="1"/>
  <c r="AM13" i="4"/>
  <c r="AI27" i="4" s="1"/>
  <c r="AH8" i="24"/>
  <c r="AG8" i="24" s="1"/>
  <c r="AH10" i="24"/>
  <c r="AG10" i="24" s="1"/>
  <c r="AM14" i="4"/>
  <c r="AI28" i="4" s="1"/>
  <c r="AH15" i="24"/>
  <c r="AG15" i="24" s="1"/>
  <c r="G11" i="4" a="1"/>
  <c r="G11" i="4" s="1"/>
  <c r="J13" i="24"/>
  <c r="I13" i="24" s="1"/>
  <c r="K11" i="4"/>
  <c r="J6" i="24"/>
  <c r="I6" i="24" s="1"/>
  <c r="Z11" i="24"/>
  <c r="Y11" i="24" s="1"/>
  <c r="AE15" i="4"/>
  <c r="AA29" i="4" s="1"/>
  <c r="Z16" i="24"/>
  <c r="Y16" i="24" s="1"/>
  <c r="AH16" i="24"/>
  <c r="AG16" i="24" s="1"/>
  <c r="AM15" i="4"/>
  <c r="AI29" i="4" s="1"/>
  <c r="AH11" i="24"/>
  <c r="AG11" i="24" s="1"/>
  <c r="B14" i="24"/>
  <c r="A14" i="24" s="1"/>
  <c r="G13" i="4"/>
  <c r="C27" i="4" s="1"/>
  <c r="B8" i="24"/>
  <c r="A8" i="24" s="1"/>
  <c r="AH6" i="24"/>
  <c r="AG6" i="24" s="1"/>
  <c r="AH13" i="24"/>
  <c r="AG13" i="24" s="1"/>
  <c r="AI11" i="4"/>
  <c r="C11" i="4"/>
  <c r="B13" i="24"/>
  <c r="A13" i="24" s="1"/>
  <c r="B6" i="24"/>
  <c r="A6" i="24" s="1"/>
  <c r="W11" i="4" a="1"/>
  <c r="W11" i="4" s="1"/>
  <c r="Z18" i="24"/>
  <c r="Y18" i="24" s="1"/>
  <c r="AE17" i="4"/>
  <c r="AA31" i="4" s="1"/>
  <c r="Z9" i="24"/>
  <c r="Y9" i="24" s="1"/>
  <c r="J19" i="24"/>
  <c r="I19" i="24" s="1"/>
  <c r="O18" i="4"/>
  <c r="K32" i="4" s="1"/>
  <c r="J12" i="24"/>
  <c r="I12" i="24" s="1"/>
  <c r="Z12" i="24"/>
  <c r="Y12" i="24" s="1"/>
  <c r="Z19" i="24"/>
  <c r="Y19" i="24" s="1"/>
  <c r="AE18" i="4"/>
  <c r="AA32" i="4" s="1"/>
  <c r="B19" i="24"/>
  <c r="A19" i="24" s="1"/>
  <c r="G18" i="4"/>
  <c r="C32" i="4" s="1"/>
  <c r="B12" i="24"/>
  <c r="A12" i="24" s="1"/>
  <c r="AM16" i="4"/>
  <c r="AI30" i="4" s="1"/>
  <c r="AH7" i="24"/>
  <c r="AG7" i="24" s="1"/>
  <c r="AH17" i="24"/>
  <c r="AG17" i="24" s="1"/>
  <c r="AE11" i="4" a="1"/>
  <c r="AE11" i="4" s="1"/>
  <c r="K9" i="4" l="1" a="1"/>
  <c r="K9" i="4" s="1"/>
  <c r="M20" i="4" s="1"/>
  <c r="K3" i="24" s="1"/>
  <c r="W12" i="4"/>
  <c r="S23" i="4"/>
  <c r="AI23" i="4"/>
  <c r="AM12" i="4"/>
  <c r="S9" i="4" a="1"/>
  <c r="S9" i="4" s="1"/>
  <c r="U20" i="4" s="1"/>
  <c r="S3" i="24" s="1"/>
  <c r="AE12" i="4"/>
  <c r="AA23" i="4"/>
  <c r="AI9" i="4" a="1"/>
  <c r="AI9" i="4" s="1"/>
  <c r="AK20" i="4" s="1"/>
  <c r="AI3" i="24" s="1"/>
  <c r="K23" i="4"/>
  <c r="O12" i="4"/>
  <c r="C9" i="4" a="1"/>
  <c r="C9" i="4" s="1"/>
  <c r="E20" i="4" s="1"/>
  <c r="C3" i="24" s="1"/>
  <c r="AA9" i="4" a="1"/>
  <c r="AA9" i="4" s="1"/>
  <c r="AC20" i="4" s="1"/>
  <c r="AA3" i="24" s="1"/>
  <c r="G12" i="4"/>
  <c r="C23" i="4"/>
  <c r="S22" i="24" l="1"/>
  <c r="S23" i="24"/>
  <c r="AA22" i="24"/>
  <c r="AA23" i="24"/>
  <c r="AI22" i="24"/>
  <c r="AI23" i="24"/>
  <c r="K22" i="24"/>
  <c r="K23" i="24"/>
  <c r="C23" i="24"/>
  <c r="C22" i="24"/>
  <c r="AI40" i="4"/>
  <c r="AI26" i="4"/>
  <c r="K40" i="4"/>
  <c r="K26" i="4"/>
  <c r="K4" i="24" s="1"/>
  <c r="AA40" i="4"/>
  <c r="AA26" i="4"/>
  <c r="C40" i="4"/>
  <c r="C26" i="4"/>
  <c r="C4" i="24" s="1"/>
  <c r="S40" i="4"/>
  <c r="S26" i="4"/>
  <c r="S4" i="24" s="1"/>
  <c r="AA4" i="24" l="1"/>
  <c r="AI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新岡 貴之</author>
  </authors>
  <commentList>
    <comment ref="A85" authorId="0" shapeId="0" xr:uid="{F8C23DB9-11EB-4E26-8175-0B11F816F035}">
      <text>
        <r>
          <rPr>
            <sz val="10"/>
            <color theme="1"/>
            <rFont val="Arial"/>
            <family val="2"/>
          </rPr>
          <t xml:space="preserve">ネットで同交配はみあたらない。判断できない。
</t>
        </r>
      </text>
    </comment>
    <comment ref="A101" authorId="0" shapeId="0" xr:uid="{16B4A37A-738B-47E3-84B7-69D71F2A5228}">
      <text>
        <r>
          <rPr>
            <sz val="10"/>
            <color theme="1"/>
            <rFont val="Arial"/>
            <family val="2"/>
          </rPr>
          <t xml:space="preserve">ネットで2つみつかったが、同品種とは断定できない。
</t>
        </r>
      </text>
    </comment>
    <comment ref="A105" authorId="0" shapeId="0" xr:uid="{3A66DD63-373B-40F4-829A-91135CF5075C}">
      <text>
        <r>
          <rPr>
            <sz val="10"/>
            <color theme="1"/>
            <rFont val="Arial"/>
            <family val="2"/>
          </rPr>
          <t xml:space="preserve">ネットで同品種はみあたらない。
</t>
        </r>
      </text>
    </comment>
    <comment ref="A107" authorId="0" shapeId="0" xr:uid="{CA816409-1A23-4A64-904C-86E1298DBA5B}">
      <text>
        <r>
          <rPr>
            <sz val="10"/>
            <color theme="1"/>
            <rFont val="Arial"/>
            <family val="2"/>
          </rPr>
          <t>PUKUBOOK: 流通している「エケベリア パルバ」としては計3種類あると思っていた方が良さそう……。ちなみに Echeveria に parva という学名は実在しますがその3種のいずれともまったく異なり、ダドレヤ D. cymosa ssp.pumila の同種とされています（つまり学術的にはエケベリアにパルバという種はないってこと）。</t>
        </r>
      </text>
    </comment>
    <comment ref="A108" authorId="0" shapeId="0" xr:uid="{6D470B99-B117-4192-B75C-DB94126096DC}">
      <text>
        <r>
          <rPr>
            <sz val="10"/>
            <color theme="1"/>
            <rFont val="Arial"/>
            <family val="2"/>
          </rPr>
          <t>Purmila、Pumila、プミラ、プリメーラ、どれもうちのと顔が違う。白峯園からの購入であるが、かなり疑問が残る調査結果となった。</t>
        </r>
      </text>
    </comment>
    <comment ref="A109" authorId="0" shapeId="0" xr:uid="{774F3E44-8DE5-44AB-8CB6-C306B9267954}">
      <text>
        <r>
          <rPr>
            <sz val="10"/>
            <color theme="1"/>
            <rFont val="Arial"/>
            <family val="2"/>
          </rPr>
          <t>1件だけだけど、同じのあった。</t>
        </r>
      </text>
    </comment>
    <comment ref="A137" authorId="0" shapeId="0" xr:uid="{89163827-B8C7-4F92-9FE8-625D4994E1A4}">
      <text>
        <r>
          <rPr>
            <sz val="10"/>
            <color theme="1"/>
            <rFont val="Arial"/>
            <family val="2"/>
          </rPr>
          <t xml:space="preserve">ネットで同品種はみあたらない。
</t>
        </r>
      </text>
    </comment>
    <comment ref="A146" authorId="0" shapeId="0" xr:uid="{164AB643-5154-4578-B873-BE8F52B49C61}">
      <text>
        <r>
          <rPr>
            <sz val="10"/>
            <color theme="1"/>
            <rFont val="Arial"/>
            <family val="2"/>
          </rPr>
          <t xml:space="preserve">ネットでいろいろみつかったが、同品種もいた。
ただ、PUKUBOOKには血斑系で記載があり、ネットでも血斑系が多めだった。
</t>
        </r>
      </text>
    </comment>
    <comment ref="A147" authorId="0" shapeId="0" xr:uid="{32269262-1889-42F5-B5E1-5EA250E3FF29}">
      <text>
        <r>
          <rPr>
            <sz val="10"/>
            <color theme="1"/>
            <rFont val="Arial"/>
            <family val="2"/>
          </rPr>
          <t xml:space="preserve">ちょっとうちの子は、肉厚なきがする。ネットで調べたエレバンスはもう少し薄葉。たくさんのバリエーションがあるとの事なので、よしとする。
</t>
        </r>
      </text>
    </comment>
    <comment ref="A166" authorId="0" shapeId="0" xr:uid="{AA23D3EE-674A-4184-AC52-8D9815775889}">
      <text>
        <r>
          <rPr>
            <sz val="10"/>
            <color theme="1"/>
            <rFont val="Arial"/>
            <family val="2"/>
          </rPr>
          <t xml:space="preserve">ネットでいろいろみたが、うちにいるのはちょっと微妙で断定できなかった。今後の成長で特徴がでるかもしれない。
</t>
        </r>
      </text>
    </comment>
    <comment ref="A179" authorId="0" shapeId="0" xr:uid="{14FAD3D8-CBF3-428C-807B-4898A5CC487C}">
      <text>
        <r>
          <rPr>
            <sz val="10"/>
            <color theme="1"/>
            <rFont val="Arial"/>
            <family val="2"/>
          </rPr>
          <t>全滅中</t>
        </r>
      </text>
    </comment>
    <comment ref="A192" authorId="0" shapeId="0" xr:uid="{DA82AFBE-BBE7-46F6-A26B-9392E39ACD63}">
      <text>
        <r>
          <rPr>
            <sz val="10"/>
            <color theme="1"/>
            <rFont val="Arial"/>
            <family val="2"/>
          </rPr>
          <t>明らかに別品種。</t>
        </r>
      </text>
    </comment>
    <comment ref="A199" authorId="0" shapeId="0" xr:uid="{AA91687B-DFFB-4B72-8602-E4E4957B28EA}">
      <text>
        <r>
          <rPr>
            <sz val="10"/>
            <color theme="1"/>
            <rFont val="Arial"/>
            <family val="2"/>
          </rPr>
          <t>品種名が不明</t>
        </r>
      </text>
    </comment>
    <comment ref="A201" authorId="0" shapeId="0" xr:uid="{0216255E-0B66-4581-945F-804631CCA8C3}">
      <text>
        <r>
          <rPr>
            <sz val="10"/>
            <color theme="1"/>
            <rFont val="Arial"/>
            <family val="2"/>
          </rPr>
          <t>品種名が不明</t>
        </r>
      </text>
    </comment>
    <comment ref="A205" authorId="0" shapeId="0" xr:uid="{2EC2D1AE-9B99-4815-9E5B-C24858D8B764}">
      <text>
        <r>
          <rPr>
            <sz val="10"/>
            <color theme="1"/>
            <rFont val="Arial"/>
            <family val="2"/>
          </rPr>
          <t>明らかに別品種。</t>
        </r>
      </text>
    </comment>
    <comment ref="A245" authorId="0" shapeId="0" xr:uid="{CBC1C268-B262-4C09-B53B-A9A97275D092}">
      <text>
        <r>
          <rPr>
            <sz val="10"/>
            <color theme="1"/>
            <rFont val="Arial"/>
            <family val="2"/>
          </rPr>
          <t>全滅中</t>
        </r>
      </text>
    </comment>
    <comment ref="A314" authorId="0" shapeId="0" xr:uid="{C59086BD-8FF0-4538-BAD7-15AE3F152994}">
      <text>
        <r>
          <rPr>
            <sz val="10"/>
            <color theme="1"/>
            <rFont val="Arial"/>
            <family val="2"/>
          </rPr>
          <t>全滅中</t>
        </r>
      </text>
    </comment>
    <comment ref="A358" authorId="0" shapeId="0" xr:uid="{3493169D-AD4F-4856-9ED3-882178549C34}">
      <text>
        <r>
          <rPr>
            <sz val="10"/>
            <color theme="1"/>
            <rFont val="Arial"/>
            <family val="2"/>
          </rPr>
          <t>かなり怪しい</t>
        </r>
      </text>
    </comment>
    <comment ref="A401" authorId="0" shapeId="0" xr:uid="{0A0CB9D1-DBE1-4749-8775-868535E44DC6}">
      <text>
        <r>
          <rPr>
            <sz val="10"/>
            <color theme="1"/>
            <rFont val="Arial"/>
            <family val="2"/>
          </rPr>
          <t>全滅中</t>
        </r>
      </text>
    </comment>
    <comment ref="A414" authorId="0" shapeId="0" xr:uid="{41DDEFD5-2BDB-464D-9D61-34B3F02C5FCD}">
      <text>
        <r>
          <rPr>
            <sz val="10"/>
            <color theme="1"/>
            <rFont val="Arial"/>
            <family val="2"/>
          </rPr>
          <t>全滅中</t>
        </r>
      </text>
    </comment>
    <comment ref="A427" authorId="0" shapeId="0" xr:uid="{0AE26BF6-4DF3-4B03-8BAF-FE1811A0BB83}">
      <text>
        <r>
          <rPr>
            <sz val="10"/>
            <color theme="1"/>
            <rFont val="Arial"/>
            <family val="2"/>
          </rPr>
          <t>全滅中</t>
        </r>
      </text>
    </comment>
    <comment ref="A437" authorId="0" shapeId="0" xr:uid="{7570700A-F65F-450A-AED8-BCE0977B59BA}">
      <text>
        <r>
          <rPr>
            <sz val="10"/>
            <color theme="1"/>
            <rFont val="Arial"/>
            <family val="2"/>
          </rPr>
          <t>全滅中</t>
        </r>
      </text>
    </comment>
    <comment ref="A447" authorId="0" shapeId="0" xr:uid="{74F40A39-47E3-4A9C-9F68-F59E93F8F2B3}">
      <text>
        <r>
          <rPr>
            <sz val="10"/>
            <color theme="1"/>
            <rFont val="Arial"/>
            <family val="2"/>
          </rPr>
          <t>記録の残ってる写真がチビ苗ばかりで判断できない。</t>
        </r>
      </text>
    </comment>
    <comment ref="A479" authorId="0" shapeId="0" xr:uid="{C38EFAE7-7F80-4CEB-A9EA-8A861CB66080}">
      <text>
        <r>
          <rPr>
            <sz val="10"/>
            <color theme="1"/>
            <rFont val="Arial"/>
            <family val="2"/>
          </rPr>
          <t>全滅中</t>
        </r>
      </text>
    </comment>
    <comment ref="A535" authorId="0" shapeId="0" xr:uid="{8AD17AAE-3D3B-4A35-9A12-581D378C4CD0}">
      <text>
        <r>
          <rPr>
            <sz val="10"/>
            <color theme="1"/>
            <rFont val="Arial"/>
            <family val="2"/>
          </rPr>
          <t>全滅中</t>
        </r>
      </text>
    </comment>
    <comment ref="A552" authorId="0" shapeId="0" xr:uid="{32039241-1E97-454B-B5E5-E4AC3D26FBCA}">
      <text>
        <r>
          <rPr>
            <sz val="10"/>
            <color theme="1"/>
            <rFont val="Arial"/>
            <family val="2"/>
          </rPr>
          <t>全滅中</t>
        </r>
      </text>
    </comment>
    <comment ref="A569" authorId="0" shapeId="0" xr:uid="{E4DF27C4-2CF1-482C-B924-28E41AA858A5}">
      <text>
        <r>
          <rPr>
            <sz val="10"/>
            <color theme="1"/>
            <rFont val="Arial"/>
            <family val="2"/>
          </rPr>
          <t>記録の残ってる写真がチビ苗ばかりで判断できない。</t>
        </r>
      </text>
    </comment>
    <comment ref="A586" authorId="0" shapeId="0" xr:uid="{478B8146-290A-444F-9CFA-BADD10B61F43}">
      <text>
        <r>
          <rPr>
            <sz val="10"/>
            <color theme="1"/>
            <rFont val="Arial"/>
            <family val="2"/>
          </rPr>
          <t>全滅中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<sst xmlns="http://schemas.openxmlformats.org/spreadsheetml/2006/main" count="13409" uniqueCount="3433">
  <si>
    <t>調査</t>
  </si>
  <si>
    <t>属</t>
  </si>
  <si>
    <t>原種</t>
  </si>
  <si>
    <t>札</t>
  </si>
  <si>
    <t>所持</t>
  </si>
  <si>
    <t>品種名</t>
  </si>
  <si>
    <t>リンク先</t>
  </si>
  <si>
    <t>創作者</t>
  </si>
  <si>
    <t>購入元</t>
  </si>
  <si>
    <t>購入先名称</t>
  </si>
  <si>
    <t>交配式(母)</t>
  </si>
  <si>
    <t>交配式(父)</t>
  </si>
  <si>
    <t>+</t>
  </si>
  <si>
    <t xml:space="preserve">◆ミックスベリア◆ </t>
  </si>
  <si>
    <t>属名称</t>
  </si>
  <si>
    <t>-</t>
  </si>
  <si>
    <t>ミックスベリア</t>
  </si>
  <si>
    <t>×</t>
  </si>
  <si>
    <t>001 ざわわ</t>
  </si>
  <si>
    <t>おらいさん</t>
  </si>
  <si>
    <t>100均</t>
  </si>
  <si>
    <t>エケベリア</t>
  </si>
  <si>
    <t>002 そわそわ</t>
  </si>
  <si>
    <t>多肉屋さん</t>
  </si>
  <si>
    <t>〇</t>
  </si>
  <si>
    <t>003 紅手鞠</t>
  </si>
  <si>
    <t>ミミ、Hiroさん</t>
  </si>
  <si>
    <t>メルカリ</t>
  </si>
  <si>
    <t>セダム</t>
  </si>
  <si>
    <t>004 片想い</t>
  </si>
  <si>
    <t>ホームセンター</t>
  </si>
  <si>
    <t>クラッスラ</t>
  </si>
  <si>
    <t>005 ストロベリーミルククラウン</t>
  </si>
  <si>
    <t>多肉屋GPK、ふうふう</t>
  </si>
  <si>
    <t>グラプトベリア</t>
  </si>
  <si>
    <t>006 紅染華</t>
  </si>
  <si>
    <t>カランコエ</t>
  </si>
  <si>
    <t>007 ももりん</t>
  </si>
  <si>
    <t>まるたそ、ルー</t>
  </si>
  <si>
    <t>セデベリア</t>
  </si>
  <si>
    <t>008 ちょこん</t>
  </si>
  <si>
    <t>EMMA</t>
  </si>
  <si>
    <t>グラプトペタルム</t>
  </si>
  <si>
    <t>009 夕波</t>
  </si>
  <si>
    <t>レモネード</t>
  </si>
  <si>
    <t>Daiso</t>
  </si>
  <si>
    <t>パキベリア</t>
  </si>
  <si>
    <t>010 青鬼</t>
  </si>
  <si>
    <t>多肉屋GPK</t>
  </si>
  <si>
    <t>Cando</t>
  </si>
  <si>
    <t>セネシオ</t>
  </si>
  <si>
    <t>011 赤鬼</t>
  </si>
  <si>
    <t>　</t>
  </si>
  <si>
    <t>パキフィツム</t>
  </si>
  <si>
    <t>012 クリスマスキャロル</t>
  </si>
  <si>
    <t>ミミ</t>
  </si>
  <si>
    <t>コチレドン</t>
  </si>
  <si>
    <t>013 恋煩い</t>
  </si>
  <si>
    <t>カリシア</t>
  </si>
  <si>
    <t>014 花占い</t>
  </si>
  <si>
    <t>ビオラ</t>
  </si>
  <si>
    <t>オロスタキス</t>
  </si>
  <si>
    <t>015 桜子</t>
  </si>
  <si>
    <t>尾野バラ園</t>
  </si>
  <si>
    <t>グラプトセダム</t>
  </si>
  <si>
    <t>016 梅子</t>
  </si>
  <si>
    <t>白峯園</t>
  </si>
  <si>
    <t>センペルビブム</t>
  </si>
  <si>
    <t>017 雲の花</t>
  </si>
  <si>
    <t>FUKUTOPO</t>
  </si>
  <si>
    <t>アナカンプセロス</t>
  </si>
  <si>
    <t>018 くまどり</t>
  </si>
  <si>
    <t>ふうふう</t>
  </si>
  <si>
    <t>ハチオラ</t>
  </si>
  <si>
    <t>019 ウエディングベル</t>
  </si>
  <si>
    <t>ゆうゆうグリーン</t>
  </si>
  <si>
    <t>グリーノビア</t>
  </si>
  <si>
    <t>020 白雪の渚</t>
  </si>
  <si>
    <t>Hiroさん</t>
  </si>
  <si>
    <t>セロペギア</t>
  </si>
  <si>
    <t>021 小人の渚</t>
  </si>
  <si>
    <t>Koharu</t>
  </si>
  <si>
    <t>テイカカズラ</t>
  </si>
  <si>
    <t>022 三日月</t>
  </si>
  <si>
    <t>日本花キ</t>
  </si>
  <si>
    <t>プレクトランサス</t>
  </si>
  <si>
    <t>023 夢々</t>
  </si>
  <si>
    <t>見元園芸</t>
  </si>
  <si>
    <t>ポーチュラカ</t>
  </si>
  <si>
    <t>024 ひなまつり</t>
  </si>
  <si>
    <t>サボテン相談室</t>
  </si>
  <si>
    <t>エキヌス</t>
  </si>
  <si>
    <t>025 アルバートチワワ</t>
  </si>
  <si>
    <t>道の駅</t>
  </si>
  <si>
    <t>ロディオラ</t>
  </si>
  <si>
    <t>026 ブルーベリームーン</t>
  </si>
  <si>
    <t>リバスタ</t>
  </si>
  <si>
    <t>ムラサキツユクサ</t>
  </si>
  <si>
    <t>027 ラズベリーメモリーズ</t>
  </si>
  <si>
    <t>ひろ</t>
  </si>
  <si>
    <t>hanahana</t>
  </si>
  <si>
    <t>028 雪つぼみ</t>
  </si>
  <si>
    <t>桜庭生花店</t>
  </si>
  <si>
    <t>029 円</t>
  </si>
  <si>
    <t>030 うぐいす</t>
  </si>
  <si>
    <t>031 石の花</t>
  </si>
  <si>
    <t>Happy smile</t>
  </si>
  <si>
    <t>032 眠り姫</t>
  </si>
  <si>
    <t>Lau</t>
  </si>
  <si>
    <t>033 藤紫</t>
  </si>
  <si>
    <t>紅ほっぺ</t>
  </si>
  <si>
    <t>034 風の花</t>
  </si>
  <si>
    <t>Flower＆yu</t>
  </si>
  <si>
    <t>035 プリンセスティアラ</t>
  </si>
  <si>
    <t>しゅうはく</t>
  </si>
  <si>
    <t>036 霜飾り</t>
  </si>
  <si>
    <t>xyz</t>
  </si>
  <si>
    <t>037 イーゲルコット</t>
  </si>
  <si>
    <t>Muu</t>
  </si>
  <si>
    <t>038 ルビーライム</t>
  </si>
  <si>
    <t>ルー</t>
  </si>
  <si>
    <t>039 ベリースフレ</t>
  </si>
  <si>
    <t>まるたそ</t>
  </si>
  <si>
    <t>040 モルゲンロート</t>
  </si>
  <si>
    <t>繭</t>
  </si>
  <si>
    <t>041 迷いの森</t>
  </si>
  <si>
    <t>もも</t>
  </si>
  <si>
    <t>042 パステルブロッサム</t>
  </si>
  <si>
    <t>043 木漏れ日</t>
  </si>
  <si>
    <t>DCM</t>
  </si>
  <si>
    <t>044 龍鱗蓮華</t>
  </si>
  <si>
    <t>吉坂包装</t>
  </si>
  <si>
    <t>045 紫紺の矢</t>
  </si>
  <si>
    <t>コメリ</t>
  </si>
  <si>
    <t>046 はじまりの花</t>
  </si>
  <si>
    <t>サンデー</t>
  </si>
  <si>
    <t>047 ブルーバニラ</t>
  </si>
  <si>
    <t>048 ノスタルジックセピア</t>
  </si>
  <si>
    <t>049 いばら時計</t>
  </si>
  <si>
    <t>050 桃染華</t>
  </si>
  <si>
    <t>051 ぺったん</t>
  </si>
  <si>
    <t>052 ミステリアスグラス</t>
  </si>
  <si>
    <t>053 ピーチック</t>
  </si>
  <si>
    <t>054 芍薬牡丹</t>
  </si>
  <si>
    <t>055 百合牡丹</t>
  </si>
  <si>
    <t>056 サンセットグレイ</t>
  </si>
  <si>
    <t>057 白銀姫</t>
  </si>
  <si>
    <t>058 黒銀姫</t>
  </si>
  <si>
    <t>059 もみじ飴</t>
  </si>
  <si>
    <t>060 桜鬼</t>
  </si>
  <si>
    <t>061 スノーミルフィーユ</t>
  </si>
  <si>
    <t>062 珊瑚の花</t>
  </si>
  <si>
    <t>063 プラチナローズ</t>
  </si>
  <si>
    <t>064 白玉美尼</t>
  </si>
  <si>
    <t>065 祭囃子</t>
  </si>
  <si>
    <t>066 マスカットキャンディ</t>
  </si>
  <si>
    <t>067 華切子</t>
  </si>
  <si>
    <t>068 ヴィンテージレター</t>
  </si>
  <si>
    <t>069 美紫妃</t>
  </si>
  <si>
    <t>072 蛙の音</t>
  </si>
  <si>
    <t>074 白染華</t>
  </si>
  <si>
    <t>フランシノxざわわ</t>
  </si>
  <si>
    <t>フランシノ</t>
  </si>
  <si>
    <t>x</t>
  </si>
  <si>
    <t>ざわわ</t>
  </si>
  <si>
    <t>ラウリンゼxラウ30</t>
  </si>
  <si>
    <t>ラウリンゼ</t>
  </si>
  <si>
    <t>ラウ30</t>
  </si>
  <si>
    <t>リンゼアナxざわわ</t>
  </si>
  <si>
    <t>リンゼアナ</t>
  </si>
  <si>
    <t xml:space="preserve">◆Miyaさん苗◆ </t>
  </si>
  <si>
    <t>アガボイデスサンタバーバラxエボニー</t>
  </si>
  <si>
    <t>Miyaさん</t>
  </si>
  <si>
    <t>アガボイデスサンタバーバラ</t>
  </si>
  <si>
    <t>エボニー</t>
  </si>
  <si>
    <t>コロラータ アテマハックxトバレンシス トバー</t>
  </si>
  <si>
    <t>コロラータ アテマハック</t>
  </si>
  <si>
    <t>トバレンシス トバー</t>
  </si>
  <si>
    <t>コロラータ タパルパxトバレンシス トバー</t>
  </si>
  <si>
    <t>コロラータ タパルパ</t>
  </si>
  <si>
    <t>？</t>
  </si>
  <si>
    <t>白蓮華xブラッククイーン</t>
  </si>
  <si>
    <t>白蓮華</t>
  </si>
  <si>
    <t>ブラッククイーン</t>
  </si>
  <si>
    <t>下山コロラータxいろは</t>
  </si>
  <si>
    <t>下山コロラータ</t>
  </si>
  <si>
    <t>いろは</t>
  </si>
  <si>
    <t>チェリークイーンxブラックライン</t>
  </si>
  <si>
    <t>チェリークイーン</t>
  </si>
  <si>
    <t>ブラックライン</t>
  </si>
  <si>
    <t>つむぎxエイプス</t>
  </si>
  <si>
    <t>つむぎ</t>
  </si>
  <si>
    <t>エイプス</t>
  </si>
  <si>
    <t>なぎxリラシナ</t>
  </si>
  <si>
    <t>なぎ</t>
  </si>
  <si>
    <t>ｘ</t>
  </si>
  <si>
    <t>リラシナ</t>
  </si>
  <si>
    <t>なぎxホワイトリンゼアナ</t>
  </si>
  <si>
    <t>ホワイトリンゼアナ</t>
  </si>
  <si>
    <t>ヒアリナ サンルイスデラパスxコロラータ アテマハック</t>
  </si>
  <si>
    <t>ヒアリナ サンルイスデラパス</t>
  </si>
  <si>
    <t>ヒアリナ サントドミンゴxひびき</t>
  </si>
  <si>
    <t>ヒアリナ サントドミンゴ</t>
  </si>
  <si>
    <t>ひびき</t>
  </si>
  <si>
    <t>ひなの</t>
  </si>
  <si>
    <t>チワワエンシスイエコラ✖レッドココロ　クスピダータ</t>
  </si>
  <si>
    <t>ヒアリナギロxメキシカンジャイアント</t>
  </si>
  <si>
    <t>モラニーxルンヨニー</t>
  </si>
  <si>
    <t>モラニー</t>
  </si>
  <si>
    <t>ルンヨニー</t>
  </si>
  <si>
    <t>リンゼアナ(2)</t>
  </si>
  <si>
    <t xml:space="preserve">◆アルファベット◆ </t>
  </si>
  <si>
    <t>ACRE AUREUM</t>
  </si>
  <si>
    <t>Agavoides SantaBarbara</t>
  </si>
  <si>
    <t>アガボイデス</t>
  </si>
  <si>
    <t>の</t>
  </si>
  <si>
    <t>選抜種</t>
  </si>
  <si>
    <t>CS-NO-07</t>
  </si>
  <si>
    <t>CPS02</t>
  </si>
  <si>
    <t>Super White</t>
  </si>
  <si>
    <t>Elbarco</t>
  </si>
  <si>
    <t>Forever</t>
  </si>
  <si>
    <t>ロンギシマ</t>
  </si>
  <si>
    <t>パーパソルム</t>
  </si>
  <si>
    <t>Leemon</t>
  </si>
  <si>
    <t>LILAC MIST</t>
  </si>
  <si>
    <t>eARTh SUCCULENTS</t>
  </si>
  <si>
    <t>Minos</t>
  </si>
  <si>
    <t>Prodidity</t>
  </si>
  <si>
    <t>PARVA</t>
  </si>
  <si>
    <t>エケベリアにパルバ</t>
  </si>
  <si>
    <t>は</t>
  </si>
  <si>
    <t>3種類存在する</t>
  </si>
  <si>
    <t>Purimila</t>
  </si>
  <si>
    <t>VIOLET</t>
  </si>
  <si>
    <t xml:space="preserve">◆ア◆ </t>
  </si>
  <si>
    <t>アイスグリーン</t>
  </si>
  <si>
    <t>ラウイ</t>
  </si>
  <si>
    <t>エレガンス</t>
  </si>
  <si>
    <t>アガボイデスルブラ</t>
  </si>
  <si>
    <t>交配種</t>
  </si>
  <si>
    <t>アガボイデスルメール</t>
  </si>
  <si>
    <t>アサンテサナ</t>
  </si>
  <si>
    <t>星美人</t>
  </si>
  <si>
    <t>アトランティス</t>
  </si>
  <si>
    <t>タケシマキリンソウ</t>
  </si>
  <si>
    <t>斑入り</t>
  </si>
  <si>
    <t>アプス</t>
  </si>
  <si>
    <t>花うらら</t>
  </si>
  <si>
    <t>アボガドクリーム</t>
  </si>
  <si>
    <t>アマビレ</t>
  </si>
  <si>
    <t>アミスター</t>
  </si>
  <si>
    <t>アメイジンググレイス</t>
  </si>
  <si>
    <t>ヒアリナ</t>
  </si>
  <si>
    <t>アメチスチヌム</t>
  </si>
  <si>
    <t>アラントイデス</t>
  </si>
  <si>
    <t>アルビパルマ</t>
  </si>
  <si>
    <t>アルフレッド</t>
  </si>
  <si>
    <t>エレガンスアルビカンス</t>
  </si>
  <si>
    <t>アロマティカス</t>
  </si>
  <si>
    <t>多肉屋さん、メルカリ</t>
  </si>
  <si>
    <t>KAORU、ミミ</t>
  </si>
  <si>
    <t>アワユキ</t>
  </si>
  <si>
    <t>朧月</t>
  </si>
  <si>
    <t>アンジェリーナ</t>
  </si>
  <si>
    <t>レフレクサム</t>
  </si>
  <si>
    <t>仲間</t>
  </si>
  <si>
    <t>あんみつ姫</t>
  </si>
  <si>
    <t>別名</t>
  </si>
  <si>
    <t>コンプレッシカウリス</t>
  </si>
  <si>
    <t xml:space="preserve">◆イ◆ </t>
  </si>
  <si>
    <t>伊弉諾(イザナギ)</t>
  </si>
  <si>
    <t>優木園</t>
  </si>
  <si>
    <t>伊奘冉(イザナミ)</t>
  </si>
  <si>
    <t>シノクラッスラ</t>
  </si>
  <si>
    <t>インディカ</t>
  </si>
  <si>
    <t xml:space="preserve">◆ウ◆ </t>
  </si>
  <si>
    <t>ヴィーナス錦</t>
  </si>
  <si>
    <t>ヴィヴァーチェ</t>
  </si>
  <si>
    <t>ウエストレインボー</t>
  </si>
  <si>
    <t>ハールフォンニュンベルグ</t>
  </si>
  <si>
    <t>ウオーターリリー</t>
  </si>
  <si>
    <t>スイレン、スリョン</t>
  </si>
  <si>
    <t>薄化粧, ミロッティー, ピンクベリー</t>
  </si>
  <si>
    <t>多肉屋さん、100均、ホームセンター、メルカリ</t>
  </si>
  <si>
    <t xml:space="preserve">◆エ◆ </t>
  </si>
  <si>
    <t>エアケア</t>
  </si>
  <si>
    <t>アガボイデス系</t>
  </si>
  <si>
    <t>で</t>
  </si>
  <si>
    <t>韓国産</t>
  </si>
  <si>
    <t>エリザベス</t>
  </si>
  <si>
    <t>エンジェルティアーズ</t>
  </si>
  <si>
    <t>アーモンドネックレス</t>
  </si>
  <si>
    <t xml:space="preserve">◆オ◆ </t>
  </si>
  <si>
    <t>黄金細葉万年草</t>
  </si>
  <si>
    <t>オーレウス、ゴールデンカーペット</t>
  </si>
  <si>
    <t>黄金丸葉万年草</t>
  </si>
  <si>
    <t>海外</t>
  </si>
  <si>
    <t>では</t>
  </si>
  <si>
    <t>Japanese Golden Sedum</t>
  </si>
  <si>
    <t>黄麗</t>
  </si>
  <si>
    <t>オーストラリアキャプテンヘイ</t>
  </si>
  <si>
    <t>静夜</t>
  </si>
  <si>
    <t>プロリフィカ</t>
  </si>
  <si>
    <t>オーストラリアジョイ</t>
  </si>
  <si>
    <t>黄金細葉万年草、ゴールデンカーペット</t>
  </si>
  <si>
    <t>オーレウス</t>
  </si>
  <si>
    <t>オーロラ</t>
  </si>
  <si>
    <t>オカタイトゴメ</t>
  </si>
  <si>
    <t>乙女心</t>
  </si>
  <si>
    <t>アツバベンケイ、パキフィラム</t>
  </si>
  <si>
    <t>オパリナxアメトルム</t>
  </si>
  <si>
    <t>オパリナ</t>
  </si>
  <si>
    <t>アメトルム</t>
  </si>
  <si>
    <t>オリオン</t>
  </si>
  <si>
    <t>2013年オランダのKudelstaart生まれ</t>
  </si>
  <si>
    <t>リラシナ系ハイブリッド</t>
  </si>
  <si>
    <t>花うらら系ハイブリッド</t>
  </si>
  <si>
    <t xml:space="preserve"> グラプトベリア</t>
  </si>
  <si>
    <t>オリビア</t>
  </si>
  <si>
    <t>Altman Plants の Renee O'Connell</t>
  </si>
  <si>
    <t>オルペット</t>
  </si>
  <si>
    <t>オレンジモンロー</t>
  </si>
  <si>
    <t>オレンジモンローxフレーベル</t>
  </si>
  <si>
    <t>オレンジ大福</t>
  </si>
  <si>
    <t>多肉永遠</t>
  </si>
  <si>
    <t>オンスロー</t>
  </si>
  <si>
    <t xml:space="preserve">◆カ◆ </t>
  </si>
  <si>
    <t>火炎車</t>
  </si>
  <si>
    <t>多肉屋GPK 007</t>
  </si>
  <si>
    <t>火炎の花</t>
  </si>
  <si>
    <t>多肉屋GPK 009</t>
  </si>
  <si>
    <t>カナディアン</t>
  </si>
  <si>
    <t>デスメチアナ、ピーコッキー</t>
  </si>
  <si>
    <t>カメレオン</t>
  </si>
  <si>
    <t>カメレオン錦</t>
  </si>
  <si>
    <t>カラスバミセバヤ</t>
  </si>
  <si>
    <t>カリシアショーン</t>
  </si>
  <si>
    <t>断捨離セール</t>
  </si>
  <si>
    <t>カリシアロザート</t>
  </si>
  <si>
    <t>a</t>
  </si>
  <si>
    <t>カリフォルニアサンセット</t>
  </si>
  <si>
    <t>Ex</t>
  </si>
  <si>
    <t>カンテ</t>
  </si>
  <si>
    <t xml:space="preserve">◆キ◆ </t>
  </si>
  <si>
    <t>キャラメルスプライト</t>
  </si>
  <si>
    <t>キャラメルエルフ、キャラメルスピリット</t>
  </si>
  <si>
    <t>キャラリアン</t>
  </si>
  <si>
    <t>キュービックフロスト</t>
  </si>
  <si>
    <t>R-21</t>
  </si>
  <si>
    <t>ドップラー</t>
  </si>
  <si>
    <t>キリンソウ</t>
  </si>
  <si>
    <t>ギルバ</t>
  </si>
  <si>
    <t>ギルバノバラ</t>
  </si>
  <si>
    <t>ミミ、イトウグリーン</t>
  </si>
  <si>
    <t>ザラゴーサノバ</t>
  </si>
  <si>
    <t>ギロxヒューミリスHyb</t>
  </si>
  <si>
    <t>キングミダス</t>
  </si>
  <si>
    <t>銀箭</t>
  </si>
  <si>
    <t>銀明色</t>
  </si>
  <si>
    <t>銀明水、カルニカラ―</t>
  </si>
  <si>
    <t>銀武源</t>
  </si>
  <si>
    <t>ブベスケンス原種</t>
  </si>
  <si>
    <t xml:space="preserve">◆ク◆ </t>
  </si>
  <si>
    <t>熊童子錦</t>
  </si>
  <si>
    <t>クスピダータ ピンクフォーム</t>
  </si>
  <si>
    <t>羽兼直行</t>
  </si>
  <si>
    <t>久米の里</t>
  </si>
  <si>
    <t>久米の舞</t>
  </si>
  <si>
    <t>グラウコフィラム</t>
  </si>
  <si>
    <t>H:\Taniku\グラウコフィラム</t>
  </si>
  <si>
    <t>北米東部原産</t>
  </si>
  <si>
    <t>つまり</t>
  </si>
  <si>
    <t>、</t>
  </si>
  <si>
    <t>名無し</t>
  </si>
  <si>
    <t>クラバツム</t>
  </si>
  <si>
    <t>名前の由来</t>
  </si>
  <si>
    <t>棍棒</t>
  </si>
  <si>
    <t>クララ</t>
  </si>
  <si>
    <t>クリームソーダ</t>
  </si>
  <si>
    <t>パリダム</t>
  </si>
  <si>
    <t>クリームティー</t>
  </si>
  <si>
    <t>白鳳</t>
  </si>
  <si>
    <t>クリームローズ</t>
  </si>
  <si>
    <t>グリーンネックレス</t>
  </si>
  <si>
    <t>アフリカ南西部</t>
  </si>
  <si>
    <t>ご出身</t>
  </si>
  <si>
    <t>クリスタルローズ</t>
  </si>
  <si>
    <t>クリスベートビューティー</t>
  </si>
  <si>
    <t>突然変異</t>
  </si>
  <si>
    <t>クレヨン</t>
  </si>
  <si>
    <t>黒バラHyb</t>
  </si>
  <si>
    <t>群月花</t>
  </si>
  <si>
    <t xml:space="preserve">◆ケ◆ </t>
  </si>
  <si>
    <t>月花美人</t>
  </si>
  <si>
    <t>見返り美人、ウォルファ美人</t>
  </si>
  <si>
    <t>ケッセルリンギアナ</t>
  </si>
  <si>
    <t>変種説あり</t>
  </si>
  <si>
    <t>原種ザラゴーサ</t>
  </si>
  <si>
    <t xml:space="preserve">◆コ◆ </t>
  </si>
  <si>
    <t>ゴーラム</t>
  </si>
  <si>
    <t>金のなる木</t>
  </si>
  <si>
    <t>モンスト</t>
  </si>
  <si>
    <t>ゴールドウィン</t>
  </si>
  <si>
    <t>ゴールドナゲット</t>
  </si>
  <si>
    <t>恋心</t>
  </si>
  <si>
    <t>カクトロコ</t>
  </si>
  <si>
    <t>ホームセンター、メルカリ</t>
  </si>
  <si>
    <t>DCM、チリチリ</t>
  </si>
  <si>
    <t>小梅</t>
  </si>
  <si>
    <t>つぶつぶ屋</t>
  </si>
  <si>
    <t>だるま秀麗</t>
  </si>
  <si>
    <t>スプリングワンダー</t>
  </si>
  <si>
    <t>紅葉祭り</t>
  </si>
  <si>
    <t>子宝草</t>
  </si>
  <si>
    <t>子宝弁慶</t>
  </si>
  <si>
    <t>胡蝶の舞</t>
  </si>
  <si>
    <t>コミックトム</t>
  </si>
  <si>
    <t>コンミクツム</t>
  </si>
  <si>
    <t>子持ち蓮華</t>
  </si>
  <si>
    <t>コロキ</t>
  </si>
  <si>
    <t>韓国エアマジックナーセリー産</t>
  </si>
  <si>
    <t>コロラータ</t>
  </si>
  <si>
    <t>Happy smile、白峯園</t>
  </si>
  <si>
    <t xml:space="preserve">◆サ◆ </t>
  </si>
  <si>
    <t>桜色カリシア</t>
  </si>
  <si>
    <t>レペンス、桃色カリシア、ゴールデン</t>
  </si>
  <si>
    <t>桜星</t>
  </si>
  <si>
    <t>桜吹雪</t>
  </si>
  <si>
    <t>沙羅姫蓮華</t>
  </si>
  <si>
    <t>ラウ065</t>
  </si>
  <si>
    <t>黒爪ザラゴーサ</t>
  </si>
  <si>
    <t>猿恋葦</t>
  </si>
  <si>
    <t>ざわわx黒爪ザラゴーサ x ザラゴーサxチワワエンシス</t>
  </si>
  <si>
    <t>ルイパパさん</t>
  </si>
  <si>
    <t xml:space="preserve">◆シ◆ </t>
  </si>
  <si>
    <t>シーサー</t>
  </si>
  <si>
    <t>ジェシカ</t>
  </si>
  <si>
    <t>メキシコポルデンシス</t>
  </si>
  <si>
    <t>ラブファイヤー</t>
  </si>
  <si>
    <t>紫海</t>
  </si>
  <si>
    <t>しじみ蝶錦</t>
  </si>
  <si>
    <t>七福神</t>
  </si>
  <si>
    <t>インブリカータ、セクンダ</t>
  </si>
  <si>
    <t>どちらも七福神</t>
  </si>
  <si>
    <t>七福のバラ</t>
  </si>
  <si>
    <t>七福美尼</t>
  </si>
  <si>
    <t>養老</t>
  </si>
  <si>
    <t>ベラ</t>
  </si>
  <si>
    <t>シベリア</t>
  </si>
  <si>
    <t>シムランス</t>
  </si>
  <si>
    <t>シムランスアセンションxザラゴーサノバ</t>
  </si>
  <si>
    <t>シムランスラグナサンチェスxシルエットxダークアイス</t>
  </si>
  <si>
    <t>シムランスラグナサンチェス</t>
  </si>
  <si>
    <t>シルエットxダークアイス</t>
  </si>
  <si>
    <t>霜花</t>
  </si>
  <si>
    <t>チワワエンシス</t>
  </si>
  <si>
    <t>シャーロット</t>
  </si>
  <si>
    <t>ジャシリー</t>
  </si>
  <si>
    <t>ジャッカル</t>
  </si>
  <si>
    <t>ザラゴーサ</t>
  </si>
  <si>
    <t>シャルルローズ</t>
  </si>
  <si>
    <t>ジュール</t>
  </si>
  <si>
    <t>樹氷</t>
  </si>
  <si>
    <t>秀麗</t>
  </si>
  <si>
    <t>白雪姫</t>
  </si>
  <si>
    <t>花うらら？</t>
  </si>
  <si>
    <t>エレガンス？</t>
  </si>
  <si>
    <t>白雪ミセバヤ</t>
  </si>
  <si>
    <t>スパツリフォリウム</t>
  </si>
  <si>
    <t>代表的な人気種</t>
  </si>
  <si>
    <t>シルエット</t>
  </si>
  <si>
    <t>シルバースター</t>
  </si>
  <si>
    <t>シルバーストーン</t>
  </si>
  <si>
    <t>新玉つづり</t>
  </si>
  <si>
    <t xml:space="preserve">◆ス◆ </t>
  </si>
  <si>
    <t>スイレン</t>
  </si>
  <si>
    <t>ウォーターリリー、スリョン</t>
  </si>
  <si>
    <t>スノーエンジェル</t>
  </si>
  <si>
    <t>スノージェイド</t>
  </si>
  <si>
    <t>スプリングワンダーxだるま秀麗</t>
  </si>
  <si>
    <t>コティヌス</t>
  </si>
  <si>
    <t>スモークツリー</t>
  </si>
  <si>
    <t>ウルシ科</t>
  </si>
  <si>
    <t>コティヌス属</t>
  </si>
  <si>
    <t>スリラーパール</t>
  </si>
  <si>
    <t>オランダのナーセリー OVATA B.V.</t>
  </si>
  <si>
    <t>スワベオレンス</t>
  </si>
  <si>
    <t>スリョン</t>
  </si>
  <si>
    <t>ウォーターリリー、スイレン</t>
  </si>
  <si>
    <t xml:space="preserve">◆セ◆ </t>
  </si>
  <si>
    <t>センセプルプ</t>
  </si>
  <si>
    <t>センセメジオ　</t>
  </si>
  <si>
    <t>細葉大和錦</t>
  </si>
  <si>
    <t xml:space="preserve">◆ソ◆ </t>
  </si>
  <si>
    <t>早春</t>
  </si>
  <si>
    <t>相府蓮</t>
  </si>
  <si>
    <t>ソンヨウン</t>
  </si>
  <si>
    <t>石英、クオーツ</t>
  </si>
  <si>
    <t>◆タ◆</t>
  </si>
  <si>
    <t>大扇月</t>
  </si>
  <si>
    <t>高砂の翁</t>
  </si>
  <si>
    <t>ダークアイス</t>
  </si>
  <si>
    <t>立田</t>
  </si>
  <si>
    <t>セクンダ</t>
  </si>
  <si>
    <t>藤美人</t>
  </si>
  <si>
    <t>玉蛋白</t>
  </si>
  <si>
    <t>ダシフィルム</t>
  </si>
  <si>
    <t>◆チ◆</t>
  </si>
  <si>
    <t>チーズ</t>
  </si>
  <si>
    <t>正式名称</t>
  </si>
  <si>
    <t>湯園チーズ</t>
  </si>
  <si>
    <t>チャイナローズ</t>
  </si>
  <si>
    <t>ルンヨニー説</t>
  </si>
  <si>
    <t>有</t>
  </si>
  <si>
    <t>ルンヨニーの愛称チョークローズが訛った説</t>
  </si>
  <si>
    <t>チュビーリップス</t>
  </si>
  <si>
    <t>エルエンシノ</t>
  </si>
  <si>
    <t>千代田の松</t>
  </si>
  <si>
    <t>ロンギフォリウムタイプ</t>
  </si>
  <si>
    <t>と</t>
  </si>
  <si>
    <t>コンパクツムタイプがある</t>
  </si>
  <si>
    <t>しゅうはく、ミミ</t>
  </si>
  <si>
    <t>桃太郎</t>
  </si>
  <si>
    <t>お母さん</t>
  </si>
  <si>
    <t>チワワエンシスイェコラ</t>
  </si>
  <si>
    <t>多肉屋GPK、ミミ</t>
  </si>
  <si>
    <t>産地違いの選抜種</t>
  </si>
  <si>
    <t>◆ツ◆</t>
  </si>
  <si>
    <t>月美人</t>
  </si>
  <si>
    <t>爪蓮華</t>
  </si>
  <si>
    <t>◆テ◆</t>
  </si>
  <si>
    <t>ティテュバンス錦</t>
  </si>
  <si>
    <t>ティファニーダイヤ凍グス</t>
  </si>
  <si>
    <t>デザートローズ</t>
  </si>
  <si>
    <t>唐印</t>
  </si>
  <si>
    <t>ティッピー</t>
  </si>
  <si>
    <t>デビー</t>
  </si>
  <si>
    <t>◆ト◆</t>
  </si>
  <si>
    <t>桃源郷</t>
  </si>
  <si>
    <t>トカ</t>
  </si>
  <si>
    <t>毒りんご</t>
  </si>
  <si>
    <t>ロウルサンコ</t>
  </si>
  <si>
    <t>トップアンドスター</t>
  </si>
  <si>
    <t>トップスレンダー</t>
  </si>
  <si>
    <t>ドドランタリス</t>
  </si>
  <si>
    <t>ドラゴンズブラッド</t>
  </si>
  <si>
    <t>正確に</t>
  </si>
  <si>
    <t>コーカサスキリンソウ</t>
  </si>
  <si>
    <t>トラディスカンティアラベンダー</t>
  </si>
  <si>
    <t>トランスパール</t>
  </si>
  <si>
    <t>レア度5</t>
  </si>
  <si>
    <t>だが</t>
  </si>
  <si>
    <t>ご予算420円</t>
  </si>
  <si>
    <t>トリマネンシス</t>
  </si>
  <si>
    <t>ドルフィンネックレス</t>
  </si>
  <si>
    <t>H:\Taniku\ドルフィンネックレス</t>
  </si>
  <si>
    <t>「葉っぱがイルカみたい！」</t>
  </si>
  <si>
    <t>日本のツイッターから人気に火がついた</t>
  </si>
  <si>
    <t>トレレアシー</t>
  </si>
  <si>
    <t>ドロサンテマムアイスクリスタル</t>
  </si>
  <si>
    <t>トロムソ</t>
  </si>
  <si>
    <t>ノルウェーの地域の名前</t>
  </si>
  <si>
    <t xml:space="preserve">◆ナ◆ </t>
  </si>
  <si>
    <t xml:space="preserve">◆ニ◆ </t>
  </si>
  <si>
    <t>錦蝶</t>
  </si>
  <si>
    <t>おまけ</t>
  </si>
  <si>
    <t>虹の玉</t>
  </si>
  <si>
    <t xml:space="preserve">◆ヌ◆ </t>
  </si>
  <si>
    <t>ヌダ</t>
  </si>
  <si>
    <t xml:space="preserve">◆ネ◆ </t>
  </si>
  <si>
    <t>ネオンブレーカーズ</t>
  </si>
  <si>
    <t xml:space="preserve">◆ノ◆ </t>
  </si>
  <si>
    <t xml:space="preserve">◆ハ◆ </t>
  </si>
  <si>
    <t>白鳥</t>
  </si>
  <si>
    <t>スワンレイク</t>
  </si>
  <si>
    <t>に</t>
  </si>
  <si>
    <t>よく似てる</t>
  </si>
  <si>
    <t>薄氷</t>
  </si>
  <si>
    <t>1935年</t>
  </si>
  <si>
    <t>Pierre Gossotが作出</t>
  </si>
  <si>
    <t>白牡丹</t>
  </si>
  <si>
    <t>他の品種</t>
  </si>
  <si>
    <t>ほとんどがこれベース</t>
  </si>
  <si>
    <t>花月夜</t>
  </si>
  <si>
    <t>横森さん</t>
  </si>
  <si>
    <t>ハートカズラ</t>
  </si>
  <si>
    <t>アレンヂフラワー</t>
  </si>
  <si>
    <t>夏場</t>
  </si>
  <si>
    <t>ワタ虫の類に注意</t>
  </si>
  <si>
    <t>パープルシャンペーン</t>
  </si>
  <si>
    <t>パープルヘイズ</t>
  </si>
  <si>
    <t>Flower＆yu、白峯園</t>
  </si>
  <si>
    <t>パープルヘイズ ストロベリーカラー</t>
  </si>
  <si>
    <t>パールフォンニュルンベルク</t>
  </si>
  <si>
    <t>1930年頃、ドイツの園芸家 Richard Graessner 氏</t>
  </si>
  <si>
    <t>ギビフロラ</t>
  </si>
  <si>
    <t>初雪カズラ</t>
  </si>
  <si>
    <t>パワーコメリ</t>
  </si>
  <si>
    <t>暑さにも寒さにも強い</t>
  </si>
  <si>
    <t>バニラシフォン</t>
  </si>
  <si>
    <t>2015年に長田さん</t>
  </si>
  <si>
    <t>「Osasempfuji」</t>
  </si>
  <si>
    <t>が</t>
  </si>
  <si>
    <t>バブルガム</t>
  </si>
  <si>
    <t>バブルキャンディ</t>
  </si>
  <si>
    <t>ご予算2700円</t>
  </si>
  <si>
    <t>ばらまきワンダワンダNo2</t>
  </si>
  <si>
    <t>Flower＆yu、紅ほっぺ</t>
  </si>
  <si>
    <t>春萌</t>
  </si>
  <si>
    <t>ルシダム</t>
  </si>
  <si>
    <t>パンダ</t>
  </si>
  <si>
    <t>花壇横丁</t>
  </si>
  <si>
    <t xml:space="preserve">◆ヒ◆ </t>
  </si>
  <si>
    <t>ビアホップ</t>
  </si>
  <si>
    <t>光る源氏</t>
  </si>
  <si>
    <t>ヒアリナ ラパス グアナファト</t>
  </si>
  <si>
    <t>火祭り</t>
  </si>
  <si>
    <t>姫花月</t>
  </si>
  <si>
    <t>姫秀麗</t>
  </si>
  <si>
    <t>ピラニア</t>
  </si>
  <si>
    <t>ピュアラブ</t>
  </si>
  <si>
    <t>韓国チャンヒー農園産</t>
  </si>
  <si>
    <t>ヒアリナベース</t>
  </si>
  <si>
    <t>ハイブリッド</t>
  </si>
  <si>
    <t>氷山</t>
  </si>
  <si>
    <t>xyz、ビオラ</t>
  </si>
  <si>
    <t>アルビカンス</t>
  </si>
  <si>
    <t>ピンキー(エケベリア)</t>
  </si>
  <si>
    <t>シャビアナ</t>
  </si>
  <si>
    <t>ピンキー(セダム)</t>
  </si>
  <si>
    <t>ピンクアレックス</t>
  </si>
  <si>
    <t>ピンクエッジ</t>
  </si>
  <si>
    <t>アエオニウム</t>
  </si>
  <si>
    <t>ピンクウィッチ</t>
  </si>
  <si>
    <t xml:space="preserve">Blushing Beauty' </t>
  </si>
  <si>
    <t>ピンクキャビア</t>
  </si>
  <si>
    <t>ピンクザラゴーサ</t>
  </si>
  <si>
    <t>ピンクスパイダー</t>
  </si>
  <si>
    <t>ピンクチップス</t>
  </si>
  <si>
    <t>ピンクプリティ</t>
  </si>
  <si>
    <t>ピンクマルガン</t>
  </si>
  <si>
    <t>ピンクルルビー</t>
  </si>
  <si>
    <t>100均、メルカリ</t>
  </si>
  <si>
    <t>Daiso、しゅうはく、Happy smile</t>
  </si>
  <si>
    <t>ピンクローサ</t>
  </si>
  <si>
    <t>韓国Airmagic産</t>
  </si>
  <si>
    <t>グロブローサ</t>
  </si>
  <si>
    <t>ピンクロール</t>
  </si>
  <si>
    <t>ビンセントカウル</t>
  </si>
  <si>
    <t>ビンセントカトー</t>
  </si>
  <si>
    <t>長年ずっと</t>
  </si>
  <si>
    <t>グロブローサとしても流通</t>
  </si>
  <si>
    <t xml:space="preserve">◆フ◆ </t>
  </si>
  <si>
    <t>ファイヤーピラー</t>
  </si>
  <si>
    <t>言われるが花うらら系っぽい子</t>
  </si>
  <si>
    <t>ファンクイーン</t>
  </si>
  <si>
    <t>100均、多肉屋さん、メルカリ</t>
  </si>
  <si>
    <t>Daiso、白峯園、Happy smile</t>
  </si>
  <si>
    <t>ファンタジー</t>
  </si>
  <si>
    <t>舞乙女</t>
  </si>
  <si>
    <t>フィオナ</t>
  </si>
  <si>
    <t>xyz、Muu、Happy smile</t>
  </si>
  <si>
    <t>ピオナ</t>
  </si>
  <si>
    <t>韓国語読み</t>
  </si>
  <si>
    <t>ブードゥー</t>
  </si>
  <si>
    <t>園芸品種</t>
  </si>
  <si>
    <t>斑入りグリーンネックレス</t>
  </si>
  <si>
    <t>マーブルネックレス、パールネックレス、緑の鈴錦</t>
  </si>
  <si>
    <t>斑入り子持ち蓮華</t>
  </si>
  <si>
    <t>斑入りタイトゴメ</t>
  </si>
  <si>
    <t>斑入りミセバヤ</t>
  </si>
  <si>
    <t>斑入り細葉万年草</t>
  </si>
  <si>
    <t>斑入り丸葉万年草</t>
  </si>
  <si>
    <t>福だるま</t>
  </si>
  <si>
    <t>ふっくら娘</t>
  </si>
  <si>
    <t>プシケ</t>
  </si>
  <si>
    <t>komu</t>
  </si>
  <si>
    <t>プシュケ</t>
  </si>
  <si>
    <t>とは</t>
  </si>
  <si>
    <t>別品種</t>
  </si>
  <si>
    <t>不死鳥錦</t>
  </si>
  <si>
    <t>プミラxエボニー</t>
  </si>
  <si>
    <t>フユビジン</t>
  </si>
  <si>
    <t>東美人</t>
  </si>
  <si>
    <t>ブラウンローズ</t>
  </si>
  <si>
    <t>ブラックキング</t>
  </si>
  <si>
    <t>ブラックネイル</t>
  </si>
  <si>
    <t>黒爪ザラコーザ</t>
  </si>
  <si>
    <t>同じかも？ By PUKUBOOK</t>
  </si>
  <si>
    <t>ブラックベリー</t>
  </si>
  <si>
    <t>ブラックローズ</t>
  </si>
  <si>
    <t>黒バラ</t>
  </si>
  <si>
    <t>フランチェスカ</t>
  </si>
  <si>
    <t>プリズム</t>
  </si>
  <si>
    <t>ブルーエルフ</t>
  </si>
  <si>
    <t>しゅうはく、白峯園</t>
  </si>
  <si>
    <t>ブルーサプライズ</t>
  </si>
  <si>
    <t>リラシナ系</t>
  </si>
  <si>
    <t>ブルードラゴン</t>
  </si>
  <si>
    <t>ブルーバード</t>
  </si>
  <si>
    <t>hiropon</t>
  </si>
  <si>
    <t>デスメチアナ</t>
  </si>
  <si>
    <t>ブルービーン</t>
  </si>
  <si>
    <t>ブルーミニマ</t>
  </si>
  <si>
    <t>ブルーリボン</t>
  </si>
  <si>
    <t>アルボレッセンス</t>
  </si>
  <si>
    <t>亜種</t>
  </si>
  <si>
    <t>プレビフォリウム天使のそよ風</t>
  </si>
  <si>
    <t>プレリンゼ</t>
  </si>
  <si>
    <t>ブロウメアナ</t>
  </si>
  <si>
    <t>Flower＆yu、レモネード</t>
  </si>
  <si>
    <t>ペキュリアリス？エキスパンサ？</t>
  </si>
  <si>
    <t>ブロードドロップ</t>
  </si>
  <si>
    <t>韓国苗</t>
  </si>
  <si>
    <t>プロリフィカ</t>
  </si>
  <si>
    <t>プロリフェラ</t>
  </si>
  <si>
    <t>同じか？</t>
  </si>
  <si>
    <t>ブロンズ姫</t>
  </si>
  <si>
    <t>玉葉</t>
  </si>
  <si>
    <t xml:space="preserve">◆ヘ◆ </t>
  </si>
  <si>
    <t>碧魚連</t>
  </si>
  <si>
    <t>紅かんざし</t>
  </si>
  <si>
    <t>紅稚児</t>
  </si>
  <si>
    <t>ベッラデインベルノ</t>
  </si>
  <si>
    <t>H:\Taniku\ベッラデインベルノ</t>
  </si>
  <si>
    <t>メセンブリアンセマム</t>
  </si>
  <si>
    <t>ベビーサンローズ</t>
  </si>
  <si>
    <t>ヘラクレス</t>
  </si>
  <si>
    <t>ペルシダ錦</t>
  </si>
  <si>
    <t>ペレスデラロサエ</t>
  </si>
  <si>
    <t>Sora_RuRi</t>
  </si>
  <si>
    <t>ペレスデラロサエピンクエッジ</t>
  </si>
  <si>
    <t>Chiec1027</t>
  </si>
  <si>
    <t>ベロア</t>
  </si>
  <si>
    <t>ペンデンス</t>
  </si>
  <si>
    <t>ベンバディス</t>
  </si>
  <si>
    <t>植物学者 C. H. Uhl氏</t>
  </si>
  <si>
    <t>パープソルム</t>
  </si>
  <si>
    <t xml:space="preserve">◆ホ◆ </t>
  </si>
  <si>
    <t>ボールオブファット</t>
  </si>
  <si>
    <t>ポールビーン</t>
  </si>
  <si>
    <t>星の王子</t>
  </si>
  <si>
    <t>ポセイドン</t>
  </si>
  <si>
    <t>サクララン</t>
  </si>
  <si>
    <t>ホヤカーリー</t>
  </si>
  <si>
    <t>GreenTiger</t>
  </si>
  <si>
    <t>ボルモン</t>
  </si>
  <si>
    <t>ボルケンシー</t>
  </si>
  <si>
    <t>ホワイトホース</t>
  </si>
  <si>
    <t xml:space="preserve">◆マ◆ </t>
  </si>
  <si>
    <t>マイルドライン</t>
  </si>
  <si>
    <t>マーガレットレッピン</t>
  </si>
  <si>
    <t>H:\Taniku\マーガレットレッピン</t>
  </si>
  <si>
    <t>菊日和</t>
  </si>
  <si>
    <t>マカダミア</t>
  </si>
  <si>
    <t>マスカポーネ</t>
  </si>
  <si>
    <t>マジョール</t>
  </si>
  <si>
    <t>マッコス</t>
  </si>
  <si>
    <t>マッコス錦</t>
  </si>
  <si>
    <t>マディバ</t>
  </si>
  <si>
    <t>スペインのゴンザレス氏</t>
  </si>
  <si>
    <t>マドレーヌ</t>
  </si>
  <si>
    <t>マドンナ</t>
  </si>
  <si>
    <t>マネーメーカー</t>
  </si>
  <si>
    <t>H:\Taniku\マネーメーカー</t>
  </si>
  <si>
    <t>丸葉万年草</t>
  </si>
  <si>
    <t xml:space="preserve">◆ミ◆ </t>
  </si>
  <si>
    <t>三日月美人xアマビレ</t>
  </si>
  <si>
    <t>ミセバヤ</t>
  </si>
  <si>
    <t>南十字星</t>
  </si>
  <si>
    <t>美尼王妃晃</t>
  </si>
  <si>
    <t>ミニマ</t>
  </si>
  <si>
    <t>王妃錦司晃</t>
  </si>
  <si>
    <t>ミニベル</t>
  </si>
  <si>
    <t>ミラ</t>
  </si>
  <si>
    <t>ミリナエ</t>
  </si>
  <si>
    <t>ミリネ</t>
  </si>
  <si>
    <t>ミルクゥージ</t>
  </si>
  <si>
    <t>ミロッティ</t>
  </si>
  <si>
    <t xml:space="preserve">◆ム◆ </t>
  </si>
  <si>
    <t>紫雲丹</t>
  </si>
  <si>
    <t>多肉屋</t>
  </si>
  <si>
    <t>多肉屋GPK 001</t>
  </si>
  <si>
    <t>紫式部</t>
  </si>
  <si>
    <t>サボテン相談室、ミミ</t>
  </si>
  <si>
    <t>クスピダータパラサナ</t>
  </si>
  <si>
    <t>ロメオ</t>
  </si>
  <si>
    <t xml:space="preserve">◆メ◆ </t>
  </si>
  <si>
    <t>メキシカンジャイアント</t>
  </si>
  <si>
    <t>メキシカンスノーボール</t>
  </si>
  <si>
    <t>メキシコクリーム</t>
  </si>
  <si>
    <t>女雛</t>
  </si>
  <si>
    <t>メラコ</t>
  </si>
  <si>
    <t>メリーベル</t>
  </si>
  <si>
    <t xml:space="preserve">◆モ◆ </t>
  </si>
  <si>
    <t>モーサン</t>
  </si>
  <si>
    <t>モヒカン</t>
  </si>
  <si>
    <t>桃くま</t>
  </si>
  <si>
    <t>白峯園、Lau</t>
  </si>
  <si>
    <t>桃美人</t>
  </si>
  <si>
    <t>モリムラマンネングサ</t>
  </si>
  <si>
    <t>モロキニエンシス</t>
  </si>
  <si>
    <t>多肉屋さん、ホームセンター</t>
  </si>
  <si>
    <t>尾野バラ園、サンデー、コメリ</t>
  </si>
  <si>
    <t>モンロー</t>
  </si>
  <si>
    <t>モンローQ</t>
  </si>
  <si>
    <t xml:space="preserve">◆ヤ◆ </t>
  </si>
  <si>
    <t>八千代</t>
  </si>
  <si>
    <t>ヤマトニシキ</t>
  </si>
  <si>
    <t>ヤマトヒメ</t>
  </si>
  <si>
    <t>大和錦系</t>
  </si>
  <si>
    <t xml:space="preserve">◆ユ◆ </t>
  </si>
  <si>
    <t>夕雲</t>
  </si>
  <si>
    <t>雪蜂</t>
  </si>
  <si>
    <t>さちこりん</t>
  </si>
  <si>
    <t>百合華</t>
  </si>
  <si>
    <t>多肉アン</t>
  </si>
  <si>
    <t xml:space="preserve">◆ヨ◆ </t>
  </si>
  <si>
    <t xml:space="preserve">◆ラ◆ </t>
  </si>
  <si>
    <t>ライノ</t>
  </si>
  <si>
    <t>紅司</t>
  </si>
  <si>
    <t>ラウィータ</t>
  </si>
  <si>
    <t>ライムシャワー</t>
  </si>
  <si>
    <t>ラインベリーx静夜</t>
  </si>
  <si>
    <t>ラインベリー</t>
  </si>
  <si>
    <t>アモエナ、ラウ165</t>
  </si>
  <si>
    <t>見元園芸、ミミ</t>
  </si>
  <si>
    <t>ラウイxメキシカンジャイアント</t>
  </si>
  <si>
    <t>ラウトップ</t>
  </si>
  <si>
    <t>ラウリンゼxシムランスブステマンテ</t>
  </si>
  <si>
    <t>シムランスブステマンテ</t>
  </si>
  <si>
    <t>ラウリンゼxプリドニス</t>
  </si>
  <si>
    <t>プリドニス</t>
  </si>
  <si>
    <t>ラズベリーアイス(K)</t>
  </si>
  <si>
    <t>ラパスxプリドニス</t>
  </si>
  <si>
    <t>ラパス</t>
  </si>
  <si>
    <t>ラブハート</t>
  </si>
  <si>
    <t>葉っぱ</t>
  </si>
  <si>
    <t>ラブリーローズ錦</t>
  </si>
  <si>
    <t>ラブリーローズ</t>
  </si>
  <si>
    <t>ミミ、Lau、繭</t>
  </si>
  <si>
    <t xml:space="preserve">◆リ◆ </t>
  </si>
  <si>
    <t>リザード</t>
  </si>
  <si>
    <t xml:space="preserve">ルベンス(S.rubens) </t>
  </si>
  <si>
    <t>園芸種</t>
  </si>
  <si>
    <t>リトルビューティー</t>
  </si>
  <si>
    <t>ちぇるみ</t>
  </si>
  <si>
    <t>リトルミッシー</t>
  </si>
  <si>
    <t>リンゼイさん</t>
  </si>
  <si>
    <t>見元園芸,FUKUTOPO</t>
  </si>
  <si>
    <t xml:space="preserve">◆ル◆ </t>
  </si>
  <si>
    <t>ルエラ</t>
  </si>
  <si>
    <t>Lau、Daiso</t>
  </si>
  <si>
    <t>ルッツ</t>
  </si>
  <si>
    <t>ルノーディーン</t>
  </si>
  <si>
    <t>Coccon、ミミ</t>
  </si>
  <si>
    <t>ルビースター</t>
  </si>
  <si>
    <t>ルビーティント</t>
  </si>
  <si>
    <t>ルビーネックレス</t>
  </si>
  <si>
    <t>ルビーハイ</t>
  </si>
  <si>
    <t>ルブラ</t>
  </si>
  <si>
    <t>ルペストリス錦</t>
  </si>
  <si>
    <t>ルペストリレアンジェリーナ</t>
  </si>
  <si>
    <t xml:space="preserve">◆レ◆ </t>
  </si>
  <si>
    <t>レズリー</t>
  </si>
  <si>
    <t>レッドエッグ</t>
  </si>
  <si>
    <t>レッドエボニーxコンプレッシカウス</t>
  </si>
  <si>
    <t>レッドキュー</t>
  </si>
  <si>
    <t>韓国のエアマジックナーセリー産</t>
  </si>
  <si>
    <t>レッドベリー</t>
  </si>
  <si>
    <t>Alto、ミミ</t>
  </si>
  <si>
    <t>レッドベルベット</t>
  </si>
  <si>
    <t>レッドモラン</t>
  </si>
  <si>
    <t>レディジア</t>
  </si>
  <si>
    <t>レディーハート</t>
  </si>
  <si>
    <t>green leaf</t>
  </si>
  <si>
    <t>レモータ</t>
  </si>
  <si>
    <t>Flower＆yu、ミミ</t>
  </si>
  <si>
    <t xml:space="preserve">◆ロ◆ </t>
  </si>
  <si>
    <t>ローズセダム</t>
  </si>
  <si>
    <t>ミミ、紅ほっぺ</t>
  </si>
  <si>
    <t>ロゲルシー</t>
  </si>
  <si>
    <t>ロココ</t>
  </si>
  <si>
    <t>呂千絵</t>
  </si>
  <si>
    <t>神刀</t>
  </si>
  <si>
    <t>都星</t>
  </si>
  <si>
    <t>ロメオx月影</t>
  </si>
  <si>
    <t>ロメオルビン</t>
  </si>
  <si>
    <t>ローラx沙羅姫牡丹</t>
  </si>
  <si>
    <t>ロレナ</t>
  </si>
  <si>
    <t>選抜種？</t>
  </si>
  <si>
    <t xml:space="preserve">◆ワ◆ </t>
  </si>
  <si>
    <t>ワイテルメイエリー</t>
  </si>
  <si>
    <t>ワンダワンダNo.2</t>
  </si>
  <si>
    <t xml:space="preserve">◆ヲ◆ </t>
  </si>
  <si>
    <t xml:space="preserve">◆ン◆ </t>
  </si>
  <si>
    <t xml:space="preserve">◆その他◆ </t>
  </si>
  <si>
    <t>別名リスト</t>
  </si>
  <si>
    <t xml:space="preserve"> ≒ほぼ同じ</t>
  </si>
  <si>
    <t>アガボイデス綴化（シャチ　鯱）</t>
  </si>
  <si>
    <t>(I)国際　(J)日本　(K)韓国　(C)中国　(EU)欧州</t>
  </si>
  <si>
    <t>XXXXX</t>
  </si>
  <si>
    <t xml:space="preserve">≠同じでない </t>
  </si>
  <si>
    <t>品種名(カナ)</t>
  </si>
  <si>
    <t>品種名(漢字)</t>
  </si>
  <si>
    <t>アイ</t>
  </si>
  <si>
    <t>愛</t>
  </si>
  <si>
    <t xml:space="preserve">サラン(K) </t>
  </si>
  <si>
    <t>アイスバーグ</t>
  </si>
  <si>
    <t xml:space="preserve">アイスボゴ </t>
  </si>
  <si>
    <t>アイスボゴ</t>
  </si>
  <si>
    <t xml:space="preserve">氷山 </t>
  </si>
  <si>
    <t>アイボリー</t>
  </si>
  <si>
    <t xml:space="preserve">ケペル </t>
  </si>
  <si>
    <t>アオイナギサ</t>
  </si>
  <si>
    <t>青い渚</t>
  </si>
  <si>
    <t xml:space="preserve">セトーサミノール(I) </t>
  </si>
  <si>
    <t>アオホシビジン</t>
  </si>
  <si>
    <t>青星美人</t>
  </si>
  <si>
    <t>スイートキャンディ</t>
  </si>
  <si>
    <t>アオヤマト</t>
  </si>
  <si>
    <t>青大和</t>
  </si>
  <si>
    <t>ディオニソス</t>
  </si>
  <si>
    <t>大和錦</t>
  </si>
  <si>
    <t>アカイホシ</t>
  </si>
  <si>
    <t>赤い星</t>
  </si>
  <si>
    <t>アガボイデスマカベアナ</t>
  </si>
  <si>
    <t>アカネボタン</t>
  </si>
  <si>
    <t>茜牡丹</t>
  </si>
  <si>
    <t>アトロプルプレア</t>
  </si>
  <si>
    <t>東雲</t>
  </si>
  <si>
    <t xml:space="preserve">曙 </t>
  </si>
  <si>
    <t>仙凰</t>
  </si>
  <si>
    <t>アガボイデスマルチフィーダ</t>
  </si>
  <si>
    <t>魅惑の宵</t>
  </si>
  <si>
    <t xml:space="preserve">レッドエッジ(I) </t>
  </si>
  <si>
    <t>リップスティック</t>
  </si>
  <si>
    <t>アケボノ</t>
  </si>
  <si>
    <t>曙</t>
  </si>
  <si>
    <t xml:space="preserve">東雲 </t>
  </si>
  <si>
    <t>アサヒツル</t>
  </si>
  <si>
    <t>旭鶴</t>
  </si>
  <si>
    <t>アトロサングイネア</t>
  </si>
  <si>
    <t>アズキ</t>
  </si>
  <si>
    <t>サビホン</t>
  </si>
  <si>
    <t xml:space="preserve">ペインテッドフリル </t>
  </si>
  <si>
    <t>アツバベンケイ</t>
  </si>
  <si>
    <t>厚葉弁慶</t>
  </si>
  <si>
    <t>パキフィラム</t>
  </si>
  <si>
    <t>ピーチスアンクリム</t>
  </si>
  <si>
    <t xml:space="preserve">ピーチアンドクリーム </t>
  </si>
  <si>
    <t>アトランティス(セダム)</t>
  </si>
  <si>
    <t>斑入りタケシマキリンソウ</t>
  </si>
  <si>
    <t>アドルフィー</t>
  </si>
  <si>
    <t>銘月</t>
  </si>
  <si>
    <t>アフィニスグレイフォーム</t>
  </si>
  <si>
    <t xml:space="preserve">シルバークイーン </t>
  </si>
  <si>
    <t>アフィニス</t>
  </si>
  <si>
    <t>古紫</t>
  </si>
  <si>
    <t>ブラックナイト</t>
  </si>
  <si>
    <t xml:space="preserve">ブラックレディ </t>
  </si>
  <si>
    <t>紫蘭妃</t>
  </si>
  <si>
    <t>黒紐</t>
  </si>
  <si>
    <t xml:space="preserve">エイプス </t>
  </si>
  <si>
    <t>アミスタ</t>
  </si>
  <si>
    <t>阿米斯達</t>
  </si>
  <si>
    <t>ラベンダーペブルス</t>
  </si>
  <si>
    <t>酔美人</t>
  </si>
  <si>
    <t>AK(アメリカン)マリア</t>
  </si>
  <si>
    <t>マリア</t>
  </si>
  <si>
    <t xml:space="preserve">E.マリア </t>
  </si>
  <si>
    <t>アメボイデス</t>
  </si>
  <si>
    <t>シテリナ</t>
  </si>
  <si>
    <t>アモエナ</t>
  </si>
  <si>
    <t xml:space="preserve">花乃井 </t>
  </si>
  <si>
    <t>乙女</t>
  </si>
  <si>
    <t>京童子</t>
  </si>
  <si>
    <t>バナナ美人</t>
  </si>
  <si>
    <t>アリス・エヴァンス</t>
  </si>
  <si>
    <t>アルビカンス(I)</t>
  </si>
  <si>
    <t xml:space="preserve">ケッセルリンギアナ </t>
  </si>
  <si>
    <t xml:space="preserve">ムーンフェアリー </t>
  </si>
  <si>
    <t>アンエン</t>
  </si>
  <si>
    <t>暗炎</t>
  </si>
  <si>
    <t>ダークフレーム</t>
  </si>
  <si>
    <t>アンギキュラータ　ウンガコラータ</t>
  </si>
  <si>
    <t>ウングイキュレータ</t>
  </si>
  <si>
    <t>イエロームーン</t>
  </si>
  <si>
    <t>サンライズマム</t>
  </si>
  <si>
    <t>新立田</t>
  </si>
  <si>
    <t>イージス</t>
  </si>
  <si>
    <t>神盾</t>
  </si>
  <si>
    <t>イーストレラ</t>
  </si>
  <si>
    <t xml:space="preserve">エストレラ </t>
  </si>
  <si>
    <t>イナダヒメ</t>
  </si>
  <si>
    <t>稲田姫</t>
  </si>
  <si>
    <t>フレーヌ</t>
  </si>
  <si>
    <t>イリア</t>
  </si>
  <si>
    <t>クリスタル</t>
  </si>
  <si>
    <t xml:space="preserve">月影の宵 </t>
  </si>
  <si>
    <t>イワイノマツ</t>
  </si>
  <si>
    <t>祝いの松</t>
  </si>
  <si>
    <t>スカフォフィラ</t>
  </si>
  <si>
    <t>インブリカータ</t>
  </si>
  <si>
    <t>玉凰</t>
  </si>
  <si>
    <t>ヴィクター(I)</t>
  </si>
  <si>
    <t>紅化粧</t>
  </si>
  <si>
    <t xml:space="preserve">エメラルド </t>
  </si>
  <si>
    <t xml:space="preserve">ヴィンセントカトー </t>
  </si>
  <si>
    <t xml:space="preserve">グロブローサ </t>
  </si>
  <si>
    <t xml:space="preserve">スリョン(K) </t>
  </si>
  <si>
    <t>ウォルファ美人</t>
  </si>
  <si>
    <t>見返り美人</t>
  </si>
  <si>
    <t>ウサギノキモチ</t>
  </si>
  <si>
    <t>うさぎの気持ち</t>
  </si>
  <si>
    <t>福兎耳</t>
  </si>
  <si>
    <t>ウスユキマンネングサ</t>
  </si>
  <si>
    <t>薄雪万年草</t>
  </si>
  <si>
    <t>ヒスパニクム</t>
  </si>
  <si>
    <t>ウチュウノキ</t>
  </si>
  <si>
    <t>宇宙の木</t>
  </si>
  <si>
    <t xml:space="preserve">アプス </t>
  </si>
  <si>
    <t>E.マリア</t>
  </si>
  <si>
    <t>AKマリア</t>
  </si>
  <si>
    <t xml:space="preserve">マリア </t>
  </si>
  <si>
    <t>エキゾチカ</t>
  </si>
  <si>
    <t>霜の朝</t>
  </si>
  <si>
    <t>パウダーパフ</t>
  </si>
  <si>
    <t>エースオブスペード</t>
  </si>
  <si>
    <t>黒桃</t>
  </si>
  <si>
    <t>エスター</t>
  </si>
  <si>
    <t>魅惑の月</t>
  </si>
  <si>
    <t>ムーンガドニス</t>
  </si>
  <si>
    <t xml:space="preserve">織姫 </t>
  </si>
  <si>
    <t>エストレラ</t>
  </si>
  <si>
    <t xml:space="preserve">イーストレラ </t>
  </si>
  <si>
    <t>エメラルド</t>
  </si>
  <si>
    <t xml:space="preserve">紅化粧 </t>
  </si>
  <si>
    <t>エメラルドリップ</t>
  </si>
  <si>
    <t xml:space="preserve">グリーンエメラルド </t>
  </si>
  <si>
    <t>ロンエバンス</t>
  </si>
  <si>
    <t xml:space="preserve">月影 </t>
  </si>
  <si>
    <t>エレガンスポトシナ</t>
  </si>
  <si>
    <t xml:space="preserve">星影 </t>
  </si>
  <si>
    <t>オウゴンホソバマンネングサ</t>
  </si>
  <si>
    <t>ゴールデンカーペット</t>
  </si>
  <si>
    <t>オウンスロー</t>
  </si>
  <si>
    <t xml:space="preserve">オンスロー </t>
  </si>
  <si>
    <t>オウレイ</t>
  </si>
  <si>
    <t>月の王子</t>
  </si>
  <si>
    <t>オトヒメノハナ</t>
  </si>
  <si>
    <t>乙姫の花</t>
  </si>
  <si>
    <t>ギガンテアテユパン</t>
  </si>
  <si>
    <t>オトメ</t>
  </si>
  <si>
    <t>オトメゴコロ</t>
  </si>
  <si>
    <t>オトメノユメ</t>
  </si>
  <si>
    <t>乙女の夢</t>
  </si>
  <si>
    <t>ポールブンヤン</t>
  </si>
  <si>
    <t>オビフェルム</t>
  </si>
  <si>
    <t>オボロヅキ</t>
  </si>
  <si>
    <t>パラグアイエンセ</t>
  </si>
  <si>
    <t>グラパラリーフ</t>
  </si>
  <si>
    <t>ピオリス</t>
  </si>
  <si>
    <t>ピオナ</t>
  </si>
  <si>
    <t xml:space="preserve">リディア(I) </t>
  </si>
  <si>
    <t>オリヒメ</t>
  </si>
  <si>
    <t>織姫</t>
  </si>
  <si>
    <t xml:space="preserve">ムーンガドニス </t>
  </si>
  <si>
    <t>オランダのリンゼアナ</t>
  </si>
  <si>
    <t>水蜜桃(C)</t>
  </si>
  <si>
    <t>チワワリンゼ</t>
  </si>
  <si>
    <t>ドテラン(K)</t>
  </si>
  <si>
    <t xml:space="preserve">ベアトリス </t>
  </si>
  <si>
    <t>ベアトリーチェ(I)</t>
  </si>
  <si>
    <t>オーレア　エル　イエロ</t>
  </si>
  <si>
    <t>玉姫椿</t>
  </si>
  <si>
    <t xml:space="preserve">オウンスロー </t>
  </si>
  <si>
    <t>A-Pink</t>
  </si>
  <si>
    <t>エルマノ</t>
  </si>
  <si>
    <t>スターベルベット</t>
  </si>
  <si>
    <t>カガミジシ</t>
  </si>
  <si>
    <t>鏡獅子</t>
  </si>
  <si>
    <t>ノビレ</t>
  </si>
  <si>
    <t>カザグルマ</t>
  </si>
  <si>
    <t>風ぐるま</t>
  </si>
  <si>
    <t xml:space="preserve">姫養老 </t>
  </si>
  <si>
    <t>カリビアン</t>
  </si>
  <si>
    <t>ピーコッキー</t>
  </si>
  <si>
    <t xml:space="preserve">養老 </t>
  </si>
  <si>
    <t>カミタテ</t>
  </si>
  <si>
    <t>カルニカラー</t>
  </si>
  <si>
    <t>カンゲツ</t>
  </si>
  <si>
    <t>寒月</t>
  </si>
  <si>
    <t xml:space="preserve">錦司晃(キンシコウ) </t>
  </si>
  <si>
    <t>セトーサ</t>
  </si>
  <si>
    <t>ガンゾウ</t>
  </si>
  <si>
    <t>キャンディーグレープ</t>
  </si>
  <si>
    <t>カントリス</t>
  </si>
  <si>
    <t>寒鳥巣</t>
  </si>
  <si>
    <t>ファッシクラータ</t>
  </si>
  <si>
    <t>ギオンノマイ</t>
  </si>
  <si>
    <t>祇園の舞</t>
  </si>
  <si>
    <t xml:space="preserve">シャビアナ </t>
  </si>
  <si>
    <t>ギビフロラビオレセンス</t>
  </si>
  <si>
    <t>呉朱弁・都</t>
  </si>
  <si>
    <t>キャラメルエルフ</t>
  </si>
  <si>
    <t>キャラメルスピリット</t>
  </si>
  <si>
    <t>キャラメルの妖精</t>
  </si>
  <si>
    <t>ケラリアン</t>
  </si>
  <si>
    <t>キューピット(K)</t>
  </si>
  <si>
    <t xml:space="preserve">トップシーデビー </t>
  </si>
  <si>
    <t>キョウドウジ</t>
  </si>
  <si>
    <t>キョウビジン</t>
  </si>
  <si>
    <t>京美人(カクトロコ)</t>
  </si>
  <si>
    <t>群雀</t>
  </si>
  <si>
    <t>ギンコウセイ</t>
  </si>
  <si>
    <t>銀晃星</t>
  </si>
  <si>
    <t>プルビナータルビー</t>
  </si>
  <si>
    <t>キンシコウ</t>
  </si>
  <si>
    <t>錦司晃</t>
  </si>
  <si>
    <t xml:space="preserve">セトーサ </t>
  </si>
  <si>
    <t>ギンテンニョ</t>
  </si>
  <si>
    <t>銀天女</t>
  </si>
  <si>
    <t>ルスビー</t>
  </si>
  <si>
    <t>ギンメイショク</t>
  </si>
  <si>
    <t>ギンメイテンヨウ</t>
  </si>
  <si>
    <t>クォーツ</t>
  </si>
  <si>
    <t>石英</t>
  </si>
  <si>
    <t xml:space="preserve">ソクヨン(K) </t>
  </si>
  <si>
    <t>グスト</t>
  </si>
  <si>
    <t>森の妖精</t>
  </si>
  <si>
    <t xml:space="preserve">スピア(I) </t>
  </si>
  <si>
    <t>クマドウジニシキ</t>
  </si>
  <si>
    <t>こぐまの手袋</t>
  </si>
  <si>
    <t>クメノサト</t>
  </si>
  <si>
    <t>クメノマイ</t>
  </si>
  <si>
    <t>スペクタビリイス</t>
  </si>
  <si>
    <t>クモボタン</t>
  </si>
  <si>
    <t>雲牡丹</t>
  </si>
  <si>
    <t>スノーペオニー</t>
  </si>
  <si>
    <t>ラウム</t>
  </si>
  <si>
    <t>ピンクロッティ</t>
  </si>
  <si>
    <t>グリーンエメラルド</t>
  </si>
  <si>
    <t xml:space="preserve">エメラルドリップ </t>
  </si>
  <si>
    <t>緑の鈴</t>
  </si>
  <si>
    <t>クレシュベンミヤコ</t>
  </si>
  <si>
    <t>クロスケ</t>
  </si>
  <si>
    <t>黒助</t>
  </si>
  <si>
    <t xml:space="preserve">ブラックプリンス </t>
  </si>
  <si>
    <t>クロモモ</t>
  </si>
  <si>
    <t>グローリア</t>
  </si>
  <si>
    <t>光輪</t>
  </si>
  <si>
    <t>クンイソウ</t>
  </si>
  <si>
    <t>薫衣草</t>
  </si>
  <si>
    <t>ラベンダーヒル</t>
  </si>
  <si>
    <t>グンキ</t>
  </si>
  <si>
    <t>軍旗</t>
  </si>
  <si>
    <t xml:space="preserve">ファンキー </t>
  </si>
  <si>
    <t>グンゲッカ</t>
  </si>
  <si>
    <t>スプリングジェイド</t>
  </si>
  <si>
    <t>グンジャン</t>
  </si>
  <si>
    <t>ゲッカビジン</t>
  </si>
  <si>
    <t xml:space="preserve">アルビカンス(I) </t>
  </si>
  <si>
    <t>ケープブランコ</t>
  </si>
  <si>
    <t>ケペル</t>
  </si>
  <si>
    <t xml:space="preserve">アイボリー </t>
  </si>
  <si>
    <t>コウキエン</t>
  </si>
  <si>
    <t>紅輝炎</t>
  </si>
  <si>
    <t>セトオリバー</t>
  </si>
  <si>
    <t>コウリン</t>
  </si>
  <si>
    <t>コグマノテブクロ</t>
  </si>
  <si>
    <t>ゴースティン</t>
  </si>
  <si>
    <t>桜牡丹</t>
  </si>
  <si>
    <t>コナベニテイジ</t>
  </si>
  <si>
    <t>粉紅提示</t>
  </si>
  <si>
    <t>ピンクティップス</t>
  </si>
  <si>
    <t>コムラサキ</t>
  </si>
  <si>
    <t>コーラルカーペット</t>
  </si>
  <si>
    <t>六条万年草</t>
  </si>
  <si>
    <t>ゴールデンガール</t>
  </si>
  <si>
    <t>チョコレートソルジャー</t>
  </si>
  <si>
    <t>コロラータタパルパ</t>
  </si>
  <si>
    <t xml:space="preserve">野生(ワイルド)コロラータ </t>
  </si>
  <si>
    <t>コロラータブランデティ</t>
  </si>
  <si>
    <t xml:space="preserve">コロラータブレンディティ </t>
  </si>
  <si>
    <t>コロラータブレンディティ</t>
  </si>
  <si>
    <t xml:space="preserve">コロラータブランデティ </t>
  </si>
  <si>
    <t>コンプトンカルーセル(I)</t>
  </si>
  <si>
    <t xml:space="preserve">ルノーディーン </t>
  </si>
  <si>
    <t>コンプレッシカウス</t>
  </si>
  <si>
    <t>サイキ</t>
  </si>
  <si>
    <t>サクサグラレモスグリーン</t>
  </si>
  <si>
    <t>サクラボタン</t>
  </si>
  <si>
    <t>ザーニー錦</t>
  </si>
  <si>
    <t>七変化</t>
  </si>
  <si>
    <t>サブコリンボーサ</t>
  </si>
  <si>
    <t xml:space="preserve">ラウ30 </t>
  </si>
  <si>
    <t>サブセシリス錦</t>
  </si>
  <si>
    <t>モーニングライト</t>
  </si>
  <si>
    <t>サラン(K)</t>
  </si>
  <si>
    <t xml:space="preserve">愛 </t>
  </si>
  <si>
    <t>サンア(K)</t>
  </si>
  <si>
    <t>象牙</t>
  </si>
  <si>
    <t xml:space="preserve">マンモス </t>
  </si>
  <si>
    <t>あずき</t>
  </si>
  <si>
    <t>サンビジン</t>
  </si>
  <si>
    <t>サン美人</t>
  </si>
  <si>
    <t>バイオリーナ</t>
  </si>
  <si>
    <t>プルパキ</t>
  </si>
  <si>
    <t>女美月</t>
  </si>
  <si>
    <t>シランキ</t>
  </si>
  <si>
    <t>シチフクジン</t>
  </si>
  <si>
    <t xml:space="preserve">セクンダ </t>
  </si>
  <si>
    <t>シチフクビニ</t>
  </si>
  <si>
    <t xml:space="preserve">ナナミニフック(K) </t>
  </si>
  <si>
    <t>シチヘンゲ</t>
  </si>
  <si>
    <t>シノノメ</t>
  </si>
  <si>
    <t>シモノアシタ</t>
  </si>
  <si>
    <t xml:space="preserve">パウダーパフ </t>
  </si>
  <si>
    <t>シモノツル</t>
  </si>
  <si>
    <t>霜の鶴</t>
  </si>
  <si>
    <t xml:space="preserve">パリダ </t>
  </si>
  <si>
    <t>シモヤマコロラータ</t>
  </si>
  <si>
    <t>シラユキヒメ</t>
  </si>
  <si>
    <t>シラユキミセバヤ</t>
  </si>
  <si>
    <t>シラゲショウ</t>
  </si>
  <si>
    <t>白化粧</t>
  </si>
  <si>
    <t>ホワイトメイクアップ</t>
  </si>
  <si>
    <t>シャイアン</t>
  </si>
  <si>
    <t>シャイデッケリ</t>
  </si>
  <si>
    <t>ジャガーローズ(K)</t>
  </si>
  <si>
    <t xml:space="preserve">ティッピー </t>
  </si>
  <si>
    <t>ハンメリー</t>
  </si>
  <si>
    <t xml:space="preserve">祇園の舞 </t>
  </si>
  <si>
    <t xml:space="preserve">シャーロットローズ </t>
  </si>
  <si>
    <t>シャーロットローズ</t>
  </si>
  <si>
    <t xml:space="preserve">シャルルローズ </t>
  </si>
  <si>
    <t>ジュヒョウ</t>
  </si>
  <si>
    <t>ソフトライム</t>
  </si>
  <si>
    <t>シュウエン</t>
  </si>
  <si>
    <t>愁宴(秋宴)</t>
  </si>
  <si>
    <t xml:space="preserve">ブラッドブリアナ </t>
  </si>
  <si>
    <t>ジュクガキ</t>
  </si>
  <si>
    <t>熟柿</t>
  </si>
  <si>
    <t xml:space="preserve">レッドプラム </t>
  </si>
  <si>
    <t>シルバークイーン</t>
  </si>
  <si>
    <t xml:space="preserve">アフィニスグレイフォーム </t>
  </si>
  <si>
    <t>シンタマツヅリ</t>
  </si>
  <si>
    <t>ブリトー</t>
  </si>
  <si>
    <t>シンハナオトメ</t>
  </si>
  <si>
    <t>新花乙女</t>
  </si>
  <si>
    <t xml:space="preserve">ドンド </t>
  </si>
  <si>
    <t>シンタツタ</t>
  </si>
  <si>
    <t>シンジュマンネングサ</t>
  </si>
  <si>
    <t>真珠星万年草</t>
  </si>
  <si>
    <t>スイボンクサ</t>
  </si>
  <si>
    <t>垂盆草</t>
  </si>
  <si>
    <t>ツルマンネングサ</t>
  </si>
  <si>
    <t>スイミツトウ</t>
  </si>
  <si>
    <t>スターライト</t>
  </si>
  <si>
    <t xml:space="preserve">女雛 </t>
  </si>
  <si>
    <t>スーパーブロー</t>
  </si>
  <si>
    <t>静夜つづり</t>
  </si>
  <si>
    <t>静夜玉</t>
  </si>
  <si>
    <t>スピア(I)</t>
  </si>
  <si>
    <t xml:space="preserve">グスト </t>
  </si>
  <si>
    <t>スミレボタン</t>
  </si>
  <si>
    <t>すみれ牡丹</t>
  </si>
  <si>
    <t xml:space="preserve">バイオレットクイーン </t>
  </si>
  <si>
    <t>スリョン(K)</t>
  </si>
  <si>
    <t xml:space="preserve">ウオーターリリー </t>
  </si>
  <si>
    <t>セイヤ</t>
  </si>
  <si>
    <t xml:space="preserve">デレンベルギー </t>
  </si>
  <si>
    <t>セイヤダマ</t>
  </si>
  <si>
    <t>セイヤツヅリ</t>
  </si>
  <si>
    <t>セキエイ</t>
  </si>
  <si>
    <t xml:space="preserve">七福神 </t>
  </si>
  <si>
    <t>セトーサミノール(I)</t>
  </si>
  <si>
    <t xml:space="preserve">青い渚 </t>
  </si>
  <si>
    <t>センホウ</t>
  </si>
  <si>
    <t>東雲(しののめ)</t>
  </si>
  <si>
    <t>センプウ</t>
  </si>
  <si>
    <t>旋風</t>
  </si>
  <si>
    <t>ホワールウインド</t>
  </si>
  <si>
    <t>ゾウゲ</t>
  </si>
  <si>
    <t>マンモス</t>
  </si>
  <si>
    <t>ソクヨン(K)</t>
  </si>
  <si>
    <t xml:space="preserve">クォーツ </t>
  </si>
  <si>
    <t>タウラス(EU)</t>
  </si>
  <si>
    <t xml:space="preserve">レッドエボニー(K) </t>
  </si>
  <si>
    <t>タカサゴノオキナニシキ</t>
  </si>
  <si>
    <t>高砂の翁錦</t>
  </si>
  <si>
    <t>ムーンリバー</t>
  </si>
  <si>
    <t>タクスパン</t>
  </si>
  <si>
    <t xml:space="preserve">ピンウィール </t>
  </si>
  <si>
    <t>タツタ</t>
  </si>
  <si>
    <t>タマノイズミ</t>
  </si>
  <si>
    <t>玉の泉</t>
  </si>
  <si>
    <t>プルビカン</t>
  </si>
  <si>
    <t>タマホウ</t>
  </si>
  <si>
    <t>タマヒメツバキ</t>
  </si>
  <si>
    <t>ダーリーダール</t>
  </si>
  <si>
    <t>春雛</t>
  </si>
  <si>
    <t>チワワエンシス(Ｊ)</t>
  </si>
  <si>
    <t>チワワエンシス(K)</t>
  </si>
  <si>
    <t>別物 桃太郎？</t>
  </si>
  <si>
    <t>ツキカゲ</t>
  </si>
  <si>
    <t>月影</t>
  </si>
  <si>
    <t xml:space="preserve">エレガンス </t>
  </si>
  <si>
    <t>ツキカゲノヨイ</t>
  </si>
  <si>
    <t>月影の宵</t>
  </si>
  <si>
    <t xml:space="preserve">クリスタル </t>
  </si>
  <si>
    <t>ツキノオウジ</t>
  </si>
  <si>
    <t>ツキビジン</t>
  </si>
  <si>
    <t xml:space="preserve">ジャガーローズ(K) </t>
  </si>
  <si>
    <t>ティテュバンス</t>
  </si>
  <si>
    <t>パープルクイーン</t>
  </si>
  <si>
    <t>デミヌタ</t>
  </si>
  <si>
    <t>ルンデリー</t>
  </si>
  <si>
    <t>デレンベルギー</t>
  </si>
  <si>
    <t xml:space="preserve">静夜 </t>
  </si>
  <si>
    <t>デローザ</t>
  </si>
  <si>
    <t>花乙女</t>
  </si>
  <si>
    <t>テンシノシズク</t>
  </si>
  <si>
    <t>天使の雫</t>
  </si>
  <si>
    <t>トレレアセイ</t>
  </si>
  <si>
    <t>トウイン</t>
  </si>
  <si>
    <t>トウギン</t>
  </si>
  <si>
    <t>東銀</t>
  </si>
  <si>
    <t>フルゲンス</t>
  </si>
  <si>
    <t>紅染笠</t>
  </si>
  <si>
    <t>トウテンコウ</t>
  </si>
  <si>
    <t>東天紅</t>
  </si>
  <si>
    <t>トリアンスィナ　リオ　トリマン</t>
  </si>
  <si>
    <t>トップシータービー</t>
  </si>
  <si>
    <t xml:space="preserve">トップスプレンダー </t>
  </si>
  <si>
    <t>トップシーツルビー</t>
  </si>
  <si>
    <t>トップスプレンダー</t>
  </si>
  <si>
    <t xml:space="preserve">トップシータービー </t>
  </si>
  <si>
    <t>トップシーデビー</t>
  </si>
  <si>
    <t xml:space="preserve">キューピット(K) </t>
  </si>
  <si>
    <t>トラムソ</t>
  </si>
  <si>
    <t xml:space="preserve">トロムソ </t>
  </si>
  <si>
    <t xml:space="preserve">トラムソ </t>
  </si>
  <si>
    <t>ドンド</t>
  </si>
  <si>
    <t xml:space="preserve">新花乙女 </t>
  </si>
  <si>
    <t>ナナミニフック(K)</t>
  </si>
  <si>
    <t xml:space="preserve">七福美尼(ビニ) </t>
  </si>
  <si>
    <t>ニシキノツカサ</t>
  </si>
  <si>
    <t>錦の司</t>
  </si>
  <si>
    <t>プルブオリバー</t>
  </si>
  <si>
    <t>ニクサーナ</t>
  </si>
  <si>
    <t>緑牡丹</t>
  </si>
  <si>
    <t xml:space="preserve">ローリー </t>
  </si>
  <si>
    <t>ノデュローサ錦</t>
  </si>
  <si>
    <t>紅司錦</t>
  </si>
  <si>
    <t>ノデュローサペインテッドビューティー</t>
  </si>
  <si>
    <t>バイオレットクイーン</t>
  </si>
  <si>
    <t xml:space="preserve">すみれ牡丹 </t>
  </si>
  <si>
    <t>バイカラー</t>
  </si>
  <si>
    <t>紅日傘</t>
  </si>
  <si>
    <t xml:space="preserve">霜の朝(アシタ) </t>
  </si>
  <si>
    <t>ハギノサト</t>
  </si>
  <si>
    <t>荻の里</t>
  </si>
  <si>
    <t>プシゴサ</t>
  </si>
  <si>
    <t>ハクセンカン</t>
  </si>
  <si>
    <t>白閃冠</t>
  </si>
  <si>
    <t xml:space="preserve">ボンビシナ </t>
  </si>
  <si>
    <t>ハクトジ</t>
  </si>
  <si>
    <t>白兎耳</t>
  </si>
  <si>
    <t>レウコトリカフロスティ</t>
  </si>
  <si>
    <t>ハクヒョウ</t>
  </si>
  <si>
    <t>姫朧月</t>
  </si>
  <si>
    <t>ハクボタン</t>
  </si>
  <si>
    <t>ハツコイ</t>
  </si>
  <si>
    <t>初恋</t>
  </si>
  <si>
    <t>パープルキング</t>
  </si>
  <si>
    <t>ハツコイニシキ</t>
  </si>
  <si>
    <t>初恋錦</t>
  </si>
  <si>
    <t>ブロケードハツコイ</t>
  </si>
  <si>
    <t>バッシュフル</t>
  </si>
  <si>
    <t>ハナウララ</t>
  </si>
  <si>
    <t xml:space="preserve">プリドニス </t>
  </si>
  <si>
    <t>ハナオトメ</t>
  </si>
  <si>
    <t>ハナノイ</t>
  </si>
  <si>
    <t>花乃井</t>
  </si>
  <si>
    <t xml:space="preserve">ラウ065 </t>
  </si>
  <si>
    <t>ハナノサイショウ</t>
  </si>
  <si>
    <t>花の宰相</t>
  </si>
  <si>
    <t xml:space="preserve">パリダプリンス </t>
  </si>
  <si>
    <t>ハナツカサ</t>
  </si>
  <si>
    <t>花司</t>
  </si>
  <si>
    <t xml:space="preserve">ハムシー </t>
  </si>
  <si>
    <t>バナナビジン</t>
  </si>
  <si>
    <t>ラブチェーン</t>
  </si>
  <si>
    <t xml:space="preserve">パーパソルム </t>
  </si>
  <si>
    <t>パープソルム錦</t>
  </si>
  <si>
    <t>大和の光</t>
  </si>
  <si>
    <t>パープルスノー</t>
  </si>
  <si>
    <t>紫の雪</t>
  </si>
  <si>
    <t xml:space="preserve">花司 </t>
  </si>
  <si>
    <t>バライワレンゲ</t>
  </si>
  <si>
    <t>薔薇岩蓮華</t>
  </si>
  <si>
    <t>パランセ(K)</t>
  </si>
  <si>
    <t xml:space="preserve">ブルーバード </t>
  </si>
  <si>
    <t>パリダ</t>
  </si>
  <si>
    <t xml:space="preserve">霜の鶴 </t>
  </si>
  <si>
    <t>パリダプリンス</t>
  </si>
  <si>
    <t xml:space="preserve">花の宰相 </t>
  </si>
  <si>
    <t>ハルヒナ</t>
  </si>
  <si>
    <t>ハルビンゲリ</t>
  </si>
  <si>
    <t xml:space="preserve">姫牡丹 </t>
  </si>
  <si>
    <t>ペルレ(100均)</t>
  </si>
  <si>
    <t>ハルモエ</t>
  </si>
  <si>
    <t>ピーチアンドクリーム</t>
  </si>
  <si>
    <t xml:space="preserve">アトランティス </t>
  </si>
  <si>
    <t xml:space="preserve">ピーチスアンクリム </t>
  </si>
  <si>
    <t>ピーチ姫</t>
  </si>
  <si>
    <t>ブロンズ姫錦</t>
  </si>
  <si>
    <t>ヒメオボロヅキ</t>
  </si>
  <si>
    <t>ヒメザサ</t>
  </si>
  <si>
    <t>姫笹</t>
  </si>
  <si>
    <t>覆輪万年草</t>
  </si>
  <si>
    <t>斑入りオノマンネングサ</t>
  </si>
  <si>
    <t>ヒメシュウレイ</t>
  </si>
  <si>
    <t>姫秋麗</t>
  </si>
  <si>
    <t>メンドーサエ</t>
  </si>
  <si>
    <t>ヒメボタン</t>
  </si>
  <si>
    <t>姫牡丹</t>
  </si>
  <si>
    <t xml:space="preserve">ハルビンゲリ </t>
  </si>
  <si>
    <t>ヒメヨウロウ</t>
  </si>
  <si>
    <t>姫養老</t>
  </si>
  <si>
    <t xml:space="preserve">風ぐるま </t>
  </si>
  <si>
    <t>ビャクヤ</t>
  </si>
  <si>
    <t>白夜</t>
  </si>
  <si>
    <t xml:space="preserve">ホワイトナイト </t>
  </si>
  <si>
    <t>ヒューミリス</t>
  </si>
  <si>
    <t xml:space="preserve">ホウミリス(K) </t>
  </si>
  <si>
    <t>ヒョウザン</t>
  </si>
  <si>
    <t>ピンウィール</t>
  </si>
  <si>
    <t xml:space="preserve">タクスパン </t>
  </si>
  <si>
    <t>ファンキー</t>
  </si>
  <si>
    <t xml:space="preserve">軍旗 </t>
  </si>
  <si>
    <t>フイリタケシマキリンソウ</t>
  </si>
  <si>
    <t>フイリハートカズラ</t>
  </si>
  <si>
    <t>斑入りハートカズラ</t>
  </si>
  <si>
    <t>レディハート</t>
  </si>
  <si>
    <t>フイリオノマンネングサ</t>
  </si>
  <si>
    <t>フェロロボス</t>
  </si>
  <si>
    <t>マイアレン</t>
  </si>
  <si>
    <t>フクトジ</t>
  </si>
  <si>
    <t>フクリンマンネングサ</t>
  </si>
  <si>
    <t>ブラックプリンス</t>
  </si>
  <si>
    <t xml:space="preserve">黒助 </t>
  </si>
  <si>
    <t>ブラックレディ</t>
  </si>
  <si>
    <t xml:space="preserve">アフィニス </t>
  </si>
  <si>
    <t>ブラッドブリアナ</t>
  </si>
  <si>
    <t xml:space="preserve">花うらら </t>
  </si>
  <si>
    <t>プリングレイパルバ</t>
  </si>
  <si>
    <t>森の精</t>
  </si>
  <si>
    <t>ブルーオリオン</t>
  </si>
  <si>
    <t xml:space="preserve">ヘラクレス </t>
  </si>
  <si>
    <t xml:space="preserve">パランセ(K) </t>
  </si>
  <si>
    <t xml:space="preserve">女美月(C) </t>
  </si>
  <si>
    <t>ペキュリアリス</t>
  </si>
  <si>
    <t>フロディティール</t>
  </si>
  <si>
    <t xml:space="preserve">フロリディティ </t>
  </si>
  <si>
    <t>フロリディティ</t>
  </si>
  <si>
    <t xml:space="preserve">フロディティール </t>
  </si>
  <si>
    <t xml:space="preserve">リトルバラ(ローズ) </t>
  </si>
  <si>
    <t>ブロンズヒメ錦</t>
  </si>
  <si>
    <t>ベアトリス</t>
  </si>
  <si>
    <t xml:space="preserve">水蜜桃(C) </t>
  </si>
  <si>
    <t>ペインテッドフリル</t>
  </si>
  <si>
    <t xml:space="preserve">サビホン </t>
  </si>
  <si>
    <t>ベニゲショウ</t>
  </si>
  <si>
    <t xml:space="preserve">ヴィクター(I) </t>
  </si>
  <si>
    <t>ベニゾメガサ</t>
  </si>
  <si>
    <t>ベニチゴ</t>
  </si>
  <si>
    <t xml:space="preserve">マクドガリー </t>
  </si>
  <si>
    <t>ベニツカサ</t>
  </si>
  <si>
    <t>ベニツカサニシキ</t>
  </si>
  <si>
    <t>ベニヒガサ</t>
  </si>
  <si>
    <t>ベニモンロー</t>
  </si>
  <si>
    <t>紅モンロー</t>
  </si>
  <si>
    <t xml:space="preserve">レッドモンロー </t>
  </si>
  <si>
    <t xml:space="preserve">ブルーオリオン </t>
  </si>
  <si>
    <t>ベルバラ</t>
  </si>
  <si>
    <t>ホウミリス(K)</t>
  </si>
  <si>
    <t xml:space="preserve">ヒューミリス </t>
  </si>
  <si>
    <t>ホシカゲ</t>
  </si>
  <si>
    <t>星影</t>
  </si>
  <si>
    <t xml:space="preserve">エレガンスポトシナ </t>
  </si>
  <si>
    <t>ホワイトナイト</t>
  </si>
  <si>
    <t xml:space="preserve">白夜 </t>
  </si>
  <si>
    <t xml:space="preserve">白閃冠 </t>
  </si>
  <si>
    <t>マクドガリー</t>
  </si>
  <si>
    <t xml:space="preserve">紅稚児 </t>
  </si>
  <si>
    <t xml:space="preserve">AKマリア </t>
  </si>
  <si>
    <t xml:space="preserve">サンア(K) </t>
  </si>
  <si>
    <t>ミカエリビジン</t>
  </si>
  <si>
    <t>ミドリノスズ</t>
  </si>
  <si>
    <t>ミドリボタン</t>
  </si>
  <si>
    <t>ミワクノマイ</t>
  </si>
  <si>
    <t xml:space="preserve">エスター </t>
  </si>
  <si>
    <t>ミワクノヨイ</t>
  </si>
  <si>
    <t>ムラサキノユキ</t>
  </si>
  <si>
    <t xml:space="preserve">魅惑の月 </t>
  </si>
  <si>
    <t>ムーンフェアリー</t>
  </si>
  <si>
    <t xml:space="preserve">アルフレッド </t>
  </si>
  <si>
    <t>メイゲツ</t>
  </si>
  <si>
    <t>メビナ</t>
  </si>
  <si>
    <t xml:space="preserve">スターライト </t>
  </si>
  <si>
    <t>モモタロウ</t>
  </si>
  <si>
    <t xml:space="preserve">下山(シモヤマ)コロラータ </t>
  </si>
  <si>
    <t>モリノセイ</t>
  </si>
  <si>
    <t>モリノヨウセイ</t>
  </si>
  <si>
    <t>モルガンビューティー</t>
  </si>
  <si>
    <t xml:space="preserve">ラウリンゼ </t>
  </si>
  <si>
    <t>ワイルドコロラータ</t>
  </si>
  <si>
    <t>野生(ワイルド)コロラータ</t>
  </si>
  <si>
    <t xml:space="preserve">コロラータタパルパ </t>
  </si>
  <si>
    <t>ヤマトノヒカリ</t>
  </si>
  <si>
    <t>ユーメイユエ(C)</t>
  </si>
  <si>
    <t>女美月(C)</t>
  </si>
  <si>
    <t xml:space="preserve">バイオリーナ </t>
  </si>
  <si>
    <t>ヨーサン</t>
  </si>
  <si>
    <t>麗聖</t>
  </si>
  <si>
    <t>ヨイビジン</t>
  </si>
  <si>
    <t>ヨウロウ</t>
  </si>
  <si>
    <t xml:space="preserve">カナディアン </t>
  </si>
  <si>
    <t xml:space="preserve">サブコリンボーサ </t>
  </si>
  <si>
    <t xml:space="preserve">モンロー </t>
  </si>
  <si>
    <t>ラズベリーアイス(Ｊ)</t>
  </si>
  <si>
    <t>別物 月影？</t>
  </si>
  <si>
    <t>ライラキナ</t>
  </si>
  <si>
    <t>リラキナ</t>
  </si>
  <si>
    <t>リディア(I)</t>
  </si>
  <si>
    <t xml:space="preserve">オリオン </t>
  </si>
  <si>
    <t>リトルバラ(ローズ)</t>
  </si>
  <si>
    <t xml:space="preserve">プロリフィカ </t>
  </si>
  <si>
    <t>ロウ</t>
  </si>
  <si>
    <t xml:space="preserve">コンプトンカルーセル(I) </t>
  </si>
  <si>
    <t>ルビン(K)</t>
  </si>
  <si>
    <t xml:space="preserve">ロビン(K) </t>
  </si>
  <si>
    <t>白兎耳（はくとじ）</t>
  </si>
  <si>
    <t>レイセイ</t>
  </si>
  <si>
    <t>レッドエッジ(I)</t>
  </si>
  <si>
    <t xml:space="preserve">魅惑の宵 </t>
  </si>
  <si>
    <t>レッドエボニー(K)</t>
  </si>
  <si>
    <t xml:space="preserve">ロメオ </t>
  </si>
  <si>
    <t>レッドプラム</t>
  </si>
  <si>
    <t xml:space="preserve">熟柿 </t>
  </si>
  <si>
    <t>レッドモンロー</t>
  </si>
  <si>
    <t xml:space="preserve">紅モンロー </t>
  </si>
  <si>
    <t>レントウ(C)</t>
  </si>
  <si>
    <t>蓮灯(C)</t>
  </si>
  <si>
    <t xml:space="preserve"> ロータスランタン </t>
  </si>
  <si>
    <t>ロクジョウマンネングサ</t>
  </si>
  <si>
    <t>ロータスランタン</t>
  </si>
  <si>
    <t xml:space="preserve">蓮灯(C) </t>
  </si>
  <si>
    <t>ローリー</t>
  </si>
  <si>
    <t xml:space="preserve">ヌダ </t>
  </si>
  <si>
    <t>ロチエ</t>
  </si>
  <si>
    <t xml:space="preserve">タウラス(EU) </t>
  </si>
  <si>
    <t>ロビン(K)</t>
  </si>
  <si>
    <t xml:space="preserve">ルビン(K) </t>
  </si>
  <si>
    <t xml:space="preserve">～～～～～～おまけ～～～～～～ </t>
  </si>
  <si>
    <t xml:space="preserve">読みにくい名前 </t>
  </si>
  <si>
    <t xml:space="preserve">美尼月迫(ビニゲッセル) </t>
  </si>
  <si>
    <t xml:space="preserve">花月夜(ハナヅキヨ) </t>
  </si>
  <si>
    <t xml:space="preserve">春の粧(ヨソオイ) </t>
  </si>
  <si>
    <t>モンストローサ（monstrosa）</t>
  </si>
  <si>
    <t xml:space="preserve">石化（セッカ）、綴化(テッカ)、帯化（タイカ） </t>
  </si>
  <si>
    <t>バリエガータ（variegata）</t>
  </si>
  <si>
    <t xml:space="preserve">斑入り、錦 </t>
  </si>
  <si>
    <t xml:space="preserve">ざわわとジャッカルは交配式が同じ (ザラゴーサ×チワワエンシス) </t>
  </si>
  <si>
    <t>PG</t>
  </si>
  <si>
    <t xml:space="preserve">プリドニス グリーンフォームの略称 </t>
  </si>
  <si>
    <t>hyb(ハイブリッド)</t>
  </si>
  <si>
    <t xml:space="preserve">交配種　 例）リラシナｈｙｂは片親がリラシナ </t>
  </si>
  <si>
    <t>エケベリアsp.</t>
  </si>
  <si>
    <t xml:space="preserve">両親不明　スペシャルではありませんよ </t>
  </si>
  <si>
    <t>シノニム(同物異名)</t>
  </si>
  <si>
    <t xml:space="preserve">同じ植物に複数の学名がある場合、そのそれぞれをいう </t>
  </si>
  <si>
    <t>多肉永遠さんには大福シリーズというオリジナル苗があるのです。</t>
  </si>
  <si>
    <t>胡桃大福、オレンジ大福、イチゴ大福(葉挿し持ってる)</t>
  </si>
  <si>
    <t>小梅大福、雪魅大福、李桃大福、イチゴミルク大福、桃魅大福</t>
  </si>
  <si>
    <t>メルカリ用の商品説明文章を自動で作成します。雛形は5つ準備しました。</t>
  </si>
  <si>
    <r>
      <rPr>
        <b/>
        <sz val="11"/>
        <color rgb="FFFF0000"/>
        <rFont val="Meiryo UI"/>
        <family val="3"/>
        <charset val="128"/>
      </rPr>
      <t>[使用方法]</t>
    </r>
    <r>
      <rPr>
        <sz val="11"/>
        <rFont val="Meiryo UI"/>
        <family val="3"/>
        <charset val="128"/>
      </rPr>
      <t xml:space="preserve"> ※左の(+)マーク 折り畳みを解除すれば表示されます。</t>
    </r>
  </si>
  <si>
    <t>[コメントテンプレート]</t>
  </si>
  <si>
    <t>[新規]</t>
  </si>
  <si>
    <t>この度はご購入頂きまして、ありがとうございます。
発送準備を進め、発送しましたらご連絡します。
もう少々お待ちください。</t>
  </si>
  <si>
    <t>[コンビニ前]</t>
  </si>
  <si>
    <t>この度はご購入頂きまして、ありがとうございます。
ご入金について承知しました。ご入金を確認しましたら、再度ご連絡します。よろしくお願いします。</t>
  </si>
  <si>
    <t>[リピート]</t>
  </si>
  <si>
    <t>再度ご購入頂きまして、ありがとうございます。
発送準備を進め、発送しましたらご連絡します。
もう少々お待ちください。</t>
  </si>
  <si>
    <t>[コンビニ後]</t>
  </si>
  <si>
    <t>ご入金ありがとうございました。発送準備を進めます。
発送しましたらご連絡します。もう少々お待ちください。</t>
  </si>
  <si>
    <t>[速達]</t>
  </si>
  <si>
    <t>ご購入頂きまして、ありがとうございます。
速達希望承知しました。専用ページを作成しますので、そちらのご購入もお願いします。
発送しましたらご連絡します。もう少々お待ちください。</t>
  </si>
  <si>
    <t>[不測の事態]</t>
  </si>
  <si>
    <t>こんばんは。
すみません。紫紺の矢の土を落としてみたところ、根が全く育っていなかったので、根がしっかりした同種苗も保険株として同梱させていただきます。
申し訳ございませんが、ご了承をお願いいたします。
明日発送を予定しております。発送しましたら再度ご連絡いたします。</t>
  </si>
  <si>
    <t>[配送]</t>
  </si>
  <si>
    <t>大変お待たせしました。先程、第4種郵便で発送しました。
無事、苗達が届きますように。</t>
  </si>
  <si>
    <t>[完了]</t>
  </si>
  <si>
    <t>この度は、お取り引きありがとうございました。
また機会がございましたら、よろしくお願いします。</t>
  </si>
  <si>
    <t>件名1</t>
  </si>
  <si>
    <t>件名2</t>
  </si>
  <si>
    <t>件名3</t>
  </si>
  <si>
    <t>件名4</t>
  </si>
  <si>
    <t>件名5</t>
  </si>
  <si>
    <t>ブランド</t>
  </si>
  <si>
    <t>A、B</t>
  </si>
  <si>
    <t>主役</t>
  </si>
  <si>
    <t>その他</t>
  </si>
  <si>
    <t>リスト</t>
  </si>
  <si>
    <t>公開</t>
  </si>
  <si>
    <t>本文</t>
  </si>
  <si>
    <t>苗名</t>
  </si>
  <si>
    <t>速達有無</t>
  </si>
  <si>
    <t>A</t>
  </si>
  <si>
    <t>※札はつきません</t>
  </si>
  <si>
    <t>速達代込</t>
  </si>
  <si>
    <t>青鬼</t>
  </si>
  <si>
    <t>B</t>
  </si>
  <si>
    <t>※札はつきません カット痕あり</t>
  </si>
  <si>
    <t>赤鬼</t>
  </si>
  <si>
    <t>C</t>
  </si>
  <si>
    <t>優木園さん</t>
  </si>
  <si>
    <t>※札はつきません ポッドごと発送します</t>
  </si>
  <si>
    <t>D</t>
  </si>
  <si>
    <t>サボテン相談室さん</t>
  </si>
  <si>
    <t>※札はつきません カット痕あり ポッドごと発送します</t>
  </si>
  <si>
    <t>E</t>
  </si>
  <si>
    <t>※ポッドごと発送します</t>
  </si>
  <si>
    <t>F</t>
  </si>
  <si>
    <t>※カット痕あり</t>
  </si>
  <si>
    <t>G</t>
  </si>
  <si>
    <t>※ポッドごと発送します カット痕あり</t>
  </si>
  <si>
    <t>イーゲルコット</t>
  </si>
  <si>
    <t>石の花</t>
  </si>
  <si>
    <t>いばら時計</t>
  </si>
  <si>
    <t>片想い</t>
  </si>
  <si>
    <t>グラバツム</t>
  </si>
  <si>
    <t>クリスペートビューティー</t>
  </si>
  <si>
    <t>黒銀姫</t>
  </si>
  <si>
    <t>恋煩い</t>
  </si>
  <si>
    <t>小雪の渚</t>
  </si>
  <si>
    <t>桜鬼</t>
  </si>
  <si>
    <t>珊瑚の花</t>
  </si>
  <si>
    <t>紫紺の矢</t>
  </si>
  <si>
    <t>芍薬牡丹</t>
  </si>
  <si>
    <t>スノーミルフィーユ</t>
  </si>
  <si>
    <t>ちょこん</t>
  </si>
  <si>
    <t>ノスタルジックセピア</t>
  </si>
  <si>
    <t>はじまりの花</t>
  </si>
  <si>
    <t>華切子</t>
  </si>
  <si>
    <t>ピーチック</t>
  </si>
  <si>
    <t>ビアポップ</t>
  </si>
  <si>
    <t>フォステリアナムシルバーストーン</t>
  </si>
  <si>
    <t>プミラ</t>
  </si>
  <si>
    <t>プラチナローズ</t>
  </si>
  <si>
    <t>ブルーベリームーン</t>
  </si>
  <si>
    <t>ブルーバニラ</t>
  </si>
  <si>
    <t>紅手鞠</t>
  </si>
  <si>
    <t>ぺったん</t>
  </si>
  <si>
    <t>ベッラ デ インベルノ</t>
  </si>
  <si>
    <t>ボール オブ ファット</t>
  </si>
  <si>
    <t>円</t>
  </si>
  <si>
    <t>ももりん</t>
  </si>
  <si>
    <t>モラニーxルンヨニーサンカルロス</t>
  </si>
  <si>
    <t>モルゲンロート</t>
  </si>
  <si>
    <t>ラズベリーメモリー</t>
  </si>
  <si>
    <t>龍鱗蓮華</t>
  </si>
  <si>
    <t>夕波</t>
  </si>
  <si>
    <t>購入者リスト</t>
  </si>
  <si>
    <t>まとめ買い</t>
  </si>
  <si>
    <t>リピート</t>
  </si>
  <si>
    <t>売れた時間(分)</t>
  </si>
  <si>
    <t>品名</t>
  </si>
  <si>
    <t>価格</t>
  </si>
  <si>
    <t>メルカリ名</t>
  </si>
  <si>
    <t>氏名</t>
  </si>
  <si>
    <t>郵便番号</t>
  </si>
  <si>
    <t>住所</t>
  </si>
  <si>
    <t>おまとめ</t>
  </si>
  <si>
    <t>取引完了日</t>
  </si>
  <si>
    <t>所在地</t>
  </si>
  <si>
    <t>出現数</t>
  </si>
  <si>
    <t>コメント</t>
  </si>
  <si>
    <t>モルゲンロート ももりん ミックスベリア 抜き苗 7種セット 多肉植物</t>
  </si>
  <si>
    <t>みーーこ</t>
  </si>
  <si>
    <t>西山 ふみこ</t>
  </si>
  <si>
    <t>864-0002</t>
  </si>
  <si>
    <t>熊本県 荒尾市万田 433-20</t>
  </si>
  <si>
    <t>紫紺の矢 ピーチック ミックスベリア 抜き苗 7種セット 多肉植物</t>
  </si>
  <si>
    <t>baron</t>
  </si>
  <si>
    <t>穴澤 千佳</t>
  </si>
  <si>
    <t>965-0056</t>
  </si>
  <si>
    <t>福島県 会津若松市 金川町7-23</t>
  </si>
  <si>
    <t>ちょこん ピーチック ミックスベリア 抜き苗 7種セット 多肉植物 B</t>
  </si>
  <si>
    <t>ちょこん ピーチック ミックスベリア 抜き苗 7種セット 多肉植物 A</t>
  </si>
  <si>
    <t>くんち</t>
  </si>
  <si>
    <t>澤合 博子</t>
  </si>
  <si>
    <t>245-0053</t>
  </si>
  <si>
    <t>神奈川県 横浜市戸塚区上矢部町 518-17</t>
  </si>
  <si>
    <t>桜鬼 赤鬼 ピーチック ミックスベリア 抜き苗 7種セット 多肉植物</t>
  </si>
  <si>
    <t>sun</t>
  </si>
  <si>
    <t>三宅 綾子</t>
  </si>
  <si>
    <t>597-0031</t>
  </si>
  <si>
    <t>大阪府 貝塚市久保 1-15-16 西田様方</t>
  </si>
  <si>
    <t>ちんちゃん</t>
  </si>
  <si>
    <t>森川 ちづ子</t>
  </si>
  <si>
    <t>697-0005</t>
  </si>
  <si>
    <t>島根県 浜田市上府町 941-15</t>
  </si>
  <si>
    <t>Paris</t>
  </si>
  <si>
    <t>渡部 理恵</t>
  </si>
  <si>
    <t>811-4304</t>
  </si>
  <si>
    <t>福岡県 遠賀郡遠賀町若松 330-4</t>
  </si>
  <si>
    <t>今回も元気で綺麗な苗が無事に到着致しました！
お譲り頂けて本当に嬉しいです(*☻-☻*)
お心遣いにも感謝致します！
またご縁がありますように…（^人^）
2025/12/05 17:38</t>
  </si>
  <si>
    <t>四季</t>
  </si>
  <si>
    <t>岡本 義信</t>
  </si>
  <si>
    <t>257-0006</t>
  </si>
  <si>
    <t>神奈川県 秦野市 北矢名767-5</t>
  </si>
  <si>
    <t>受け取りました。
とても可愛いし元気な子達でとても嬉しいです。
丁寧な梱包とおまけまでありがとうございます^ ^
またご縁がありましたらよろしくお願い致します
m(_ _)m
2025/12/04 15:32</t>
  </si>
  <si>
    <t>まいめろ</t>
  </si>
  <si>
    <t>大島 千穂</t>
  </si>
  <si>
    <t>843-0022</t>
  </si>
  <si>
    <t>佐賀県 武雄市 武雄町武雄4359</t>
  </si>
  <si>
    <t>先程受け取りました
とてもキレイな苗でした
お心遣いありがとうございます
(。・・。)♡
2025/12/08 16:59</t>
  </si>
  <si>
    <t>pepe</t>
  </si>
  <si>
    <t>山下 亜里子</t>
  </si>
  <si>
    <t>768-0060</t>
  </si>
  <si>
    <t>香川県 観音寺市 観音寺町甲2906-5</t>
  </si>
  <si>
    <t>受け取り確認致しました。
迅速丁寧な対応&amp;梱包ありがとーございました。
いつも素敵な仔達ばかりで出品を楽しみにしてます。
また機会があればヨロシクお願い致します。
2025/12/05 19:38</t>
  </si>
  <si>
    <t>ゆみ</t>
  </si>
  <si>
    <t>高橋 由美</t>
  </si>
  <si>
    <t>984-0037</t>
  </si>
  <si>
    <t>宮城県 仙台市若林区 蒲町21-11 グランドライフキクチ206</t>
  </si>
  <si>
    <t>無事に受け取りました。
迅速丁寧な対応、またお心遣いありがとうございました。
綺麗な苗で、大満足です。
また、ご縁がありましたらよろしくお願いいたします。
2025/11/12 18:47</t>
  </si>
  <si>
    <t>kei</t>
  </si>
  <si>
    <t>樺島 真由美</t>
  </si>
  <si>
    <t>840-2221</t>
  </si>
  <si>
    <t>佐賀県 佐賀市 東与賀町下古賀2146-5</t>
  </si>
  <si>
    <t>多肉 ちょこん入り 7種セット A 抜き苗</t>
  </si>
  <si>
    <t>受取りました
とてもキレイな苗でした(*˘︶˘*).。.:*♡
お心遣いありがとうございます
2025/11/15 11:14</t>
  </si>
  <si>
    <t>2h</t>
  </si>
  <si>
    <t>多肉 はじまりの花入り 7種セット 抜き苗</t>
  </si>
  <si>
    <t>本日無事に到着しました。
いつも可愛い苗を譲っていただきありがとうございます。
お心遣いも感謝感謝です。
大事に育てます！
2025/10/30 17:12</t>
  </si>
  <si>
    <t>多肉 ちょこん入り 7種セット B 抜き苗</t>
  </si>
  <si>
    <t>龍</t>
  </si>
  <si>
    <t>舟山 果鈴</t>
  </si>
  <si>
    <t>965-0044</t>
  </si>
  <si>
    <t>福島県 会津若松市 七日町14-18</t>
  </si>
  <si>
    <t>可愛いです(*^^*)！迅速丁寧なお取引ありがとうございましたm(_ _)m
2025/10/30 14:48</t>
  </si>
  <si>
    <t>受け取り確認致しました。
迅速丁寧な対応&amp;梱包ありがとーございました。
いつも可愛いくキレイに育てられていて尊敬です。
また機会があればヨロシクお願い致します。
2025/10/30 17:51</t>
  </si>
  <si>
    <t>多肉 紫紺の矢入り 7種セット 抜き苗</t>
  </si>
  <si>
    <t>あらら/moa</t>
  </si>
  <si>
    <t>村田 亜理沙</t>
  </si>
  <si>
    <t>880-1222</t>
  </si>
  <si>
    <t>宮崎県 東諸県郡国富町 八代北俣1689-75</t>
  </si>
  <si>
    <t>受けとりました
とてもきれいな苗、丁寧な梱包ありがとうございます╰(*´︶`*)╯♡
お心遣い感謝です
2025/10/31 17:23</t>
  </si>
  <si>
    <t>多肉 モルゲンロート入り 7種セット B 抜き苗</t>
  </si>
  <si>
    <t>断捨離中</t>
  </si>
  <si>
    <t>柏木 直子</t>
  </si>
  <si>
    <t>593-8326</t>
  </si>
  <si>
    <t>大阪府 堺市西区 鳳西町2-82-25</t>
  </si>
  <si>
    <t>立派な苗が届きました。包装も丁寧にして下さりありがとうございます。また出品楽しみにしています。
2025/10/24 14:17</t>
  </si>
  <si>
    <t>多肉 ちょこん入り 7種セット 抜き苗</t>
  </si>
  <si>
    <t>pancake</t>
  </si>
  <si>
    <t>リム ジェネビーブ</t>
  </si>
  <si>
    <t>114-0024</t>
  </si>
  <si>
    <t>東京都 北区 西ケ原2-44-5 第1マリンハイツ201</t>
  </si>
  <si>
    <t>多肉 モルゲンロート入り 7種セット A 抜き苗</t>
  </si>
  <si>
    <t>しほ</t>
  </si>
  <si>
    <t>坂口 詩帆</t>
  </si>
  <si>
    <t>474-0046</t>
  </si>
  <si>
    <t>愛知県 大府市 吉川町5丁目30-10</t>
  </si>
  <si>
    <t>立派な苗が無事に届きました。丁寧な梱包もありがとうございました。また機会ありましたらよろしくお願い致します(*^^*)
2025/10/23 22:33</t>
  </si>
  <si>
    <t>多肉 ぺったん入り 7種セット B 抜き苗</t>
  </si>
  <si>
    <t>U</t>
  </si>
  <si>
    <t>田上 優子</t>
  </si>
  <si>
    <t>311-1501</t>
  </si>
  <si>
    <t>茨城県 鉾田市 舟木132-20</t>
  </si>
  <si>
    <t>この度はありがとうございました♪
本日届きました。
ご丁寧に対応して頂きありがとうございます
また購入させて頂く事もあると思いますのでその時は、またよろしくお願い致します。
2025/10/22 17:59</t>
  </si>
  <si>
    <t>多肉 ぺったん入り 7種セット A 抜き苗</t>
  </si>
  <si>
    <t>うーたら</t>
  </si>
  <si>
    <t>山田 美希</t>
  </si>
  <si>
    <t>433-8123</t>
  </si>
  <si>
    <t>静岡県 浜松市中央区 幸2-30-7</t>
  </si>
  <si>
    <t>無事に受け取りました。
迅速で丁寧なご対応、梱包ありがとうございました。
また機会がありましたら是非宜しくお願い致します。
2025/10/23 18:45</t>
  </si>
  <si>
    <t>多肉 ぺったん入り 7種セット 抜き苗</t>
  </si>
  <si>
    <t>松井 治子</t>
  </si>
  <si>
    <t>800-0112</t>
  </si>
  <si>
    <t>福岡県 北九州市門司区 畑1690-11</t>
  </si>
  <si>
    <t>こんばんは☆彡
本日無事に受け取りました♪
どれも綺麗な可愛い多肉ちゃんでした。
この度は迅速丁寧なお取引をしてくださり、ありがとうございました。
またご縁がありましたら、どうぞよろしくお願いいたします(*^O^*)
2025/10/07 20:22</t>
  </si>
  <si>
    <t>りぃず</t>
  </si>
  <si>
    <t>吉田 礼子</t>
  </si>
  <si>
    <t>870-0326</t>
  </si>
  <si>
    <t>大分県 大分市久原南 1-13-5</t>
  </si>
  <si>
    <t>先程受け取り、無事を確認いたしました。
迅速丁寧にご対応頂きありがとうございました。
また是非ご縁がありますように(*^^*)
2025/10/09 20:05</t>
  </si>
  <si>
    <t>こちらもありがとーございました。
引き続き大切に育てさせて頂きまし。
また機会があればヨロシクお願い致します。
2025/10/09 18:54</t>
  </si>
  <si>
    <t>happy</t>
  </si>
  <si>
    <t>高橋 由香</t>
  </si>
  <si>
    <t>185-0004</t>
  </si>
  <si>
    <t>東京都 国分寺市新町2-4-20</t>
  </si>
  <si>
    <t>本日無事に届きました！丁寧なお取り引き
ありがとうございます。
2025/10/09 13:47</t>
  </si>
  <si>
    <t>多肉 モルゲンロート 7種セット 抜き苗</t>
  </si>
  <si>
    <t>受け取り確認致しました。
迅速丁寧な対応&amp;梱包ありがとーございました。
可愛いー仔ばかりなので毎回出品を楽しみにしてます。
また機会があればヨロシクお願い致します。
2025/10/09 18:53</t>
  </si>
  <si>
    <t>7日</t>
  </si>
  <si>
    <t>macaroni</t>
  </si>
  <si>
    <t>岡崎 寿美恵</t>
  </si>
  <si>
    <t>510-0891</t>
  </si>
  <si>
    <t>三重県 四日市市 日永西5-15-12</t>
  </si>
  <si>
    <t>本日無事到着しました。立派で綺麗な苗ばかりでした。またご縁がありましたら宜しくお願いいたします。
2025/09/22 23:15</t>
  </si>
  <si>
    <t>3日</t>
  </si>
  <si>
    <t>本日立派な苗が元気に到着致しました！
保管ありがとうございました（^人^）
またお心遣いまで頂き感謝でいっぱいです。
是非またお世話になりたいです。
この度はありがとうございました♪
2025/10/03 14:12</t>
  </si>
  <si>
    <t>チョコ肉</t>
  </si>
  <si>
    <t>田辺 喜世美</t>
  </si>
  <si>
    <t>660-0084</t>
  </si>
  <si>
    <t>兵庫県 尼崎市武庫川町3丁目 35-9</t>
  </si>
  <si>
    <t>コメントなし。 2025/09/11 16:05</t>
  </si>
  <si>
    <t>とても立派な苗で嬉しかったです。
この度はスムーズなお取り引きありがとうございました。
2025/09/12 18:02</t>
  </si>
  <si>
    <t>5h</t>
  </si>
  <si>
    <t>Yuzukichi</t>
  </si>
  <si>
    <t>岡田 真紀</t>
  </si>
  <si>
    <t>511-0819</t>
  </si>
  <si>
    <t>三重県 桑名市北別所 1082-233</t>
  </si>
  <si>
    <t>こんばんは、本日、無事に受け取りました。可愛い多肉ありがとうございました♪
2025/06/04 20:04</t>
  </si>
  <si>
    <t>3h</t>
  </si>
  <si>
    <t>多肉 七福神入り 7種セット A 抜き苗</t>
  </si>
  <si>
    <t>かみりん</t>
  </si>
  <si>
    <t>柘植 和美</t>
  </si>
  <si>
    <t>239-0806</t>
  </si>
  <si>
    <t>神奈川県 横須賀市 池田町6-7-38</t>
  </si>
  <si>
    <t>多肉 紫紺の矢入り 7種セット B 抜き苗</t>
  </si>
  <si>
    <t>ゅႫ⭐️</t>
  </si>
  <si>
    <t>島名 由美子</t>
  </si>
  <si>
    <t>350-0321</t>
  </si>
  <si>
    <t>埼玉県 比企郡鳩山町 赤沼145</t>
  </si>
  <si>
    <t>多肉 紫紺の矢入り 7種セット A 抜き苗</t>
  </si>
  <si>
    <t>多肉 七福神入り 7種セット B 抜き苗</t>
  </si>
  <si>
    <t>にょっち</t>
  </si>
  <si>
    <t>田中 きよみ</t>
  </si>
  <si>
    <t>253-0106</t>
  </si>
  <si>
    <t>神奈川県 高座郡寒川町 宮山1305-8</t>
  </si>
  <si>
    <t>とっても綺麗で元気な多肉さん達が届き
とても嬉しいです。大切に育てます。
ありがとうございました！
2025/06/05 16:32</t>
  </si>
  <si>
    <t>多肉 ももりん入り 7種セット A 抜き苗</t>
  </si>
  <si>
    <t>ぶんぶん。</t>
  </si>
  <si>
    <t>川瀧 智子</t>
  </si>
  <si>
    <t>795-0052</t>
  </si>
  <si>
    <t>愛媛県 大洲市 若宮836-8</t>
  </si>
  <si>
    <t>受け取りました。この度は丁寧でスムーズなお取り引きをありがとうございましたm(__)m大切に育てます！
2025/05/15 11:07</t>
  </si>
  <si>
    <t>受け取り確認致しました。
迅速丁寧な対応&amp;梱包ありがとーございました。
いつもキレイでしっかりした素敵な仔達をありがとーございます。
また機会があればヨロシクお願い致します。
2025/05/15 17:26</t>
  </si>
  <si>
    <t>多肉 ももりん入り 7種セット B 抜き苗</t>
  </si>
  <si>
    <t>Akiko</t>
  </si>
  <si>
    <t>大崎 章子</t>
  </si>
  <si>
    <t>116-0003</t>
  </si>
  <si>
    <t>東京都 荒川区 南千住8-1-1 トキアスデライトウイング826号室</t>
  </si>
  <si>
    <t>どこ子も綺麗で元気でな苗です
これから大事に育てて行きます
ありがとうございました！
また機会があればよろしくお願いします
2025/05/15 18:59</t>
  </si>
  <si>
    <t>本日、無事に到着しました！綺麗な苗をありがとうございます。丁寧な梱包に感謝感謝です。 2025/05/15 18:36</t>
  </si>
  <si>
    <t>小福</t>
  </si>
  <si>
    <t>柏木 美乃</t>
  </si>
  <si>
    <t>519-1101</t>
  </si>
  <si>
    <t>三重県 亀山市 関町坂下429</t>
  </si>
  <si>
    <t>この度はお取引ありがとうございました。
またご縁があれば是非、よろしくお願いいたします。
2025/05/15 18:37</t>
  </si>
  <si>
    <t>多肉 ももりん入り 7種セット 抜き苗</t>
  </si>
  <si>
    <t>funa</t>
  </si>
  <si>
    <t>船山 久美子</t>
  </si>
  <si>
    <t>994-0055</t>
  </si>
  <si>
    <t>山形県 天童市 原町甲34−18</t>
  </si>
  <si>
    <t>本日、無事に受け取りました!
箱を開けたらバラバラになっていた
苗もありましたが…お得なセットを
購入出来て良かったです！
大事に育てたいと思います(^o^)
2025/03/13 20:00</t>
  </si>
  <si>
    <t>豆柴助</t>
  </si>
  <si>
    <t>高橋 千春</t>
  </si>
  <si>
    <t>799-0422</t>
  </si>
  <si>
    <t>愛媛県 四国中央市 中之庄町522-2</t>
  </si>
  <si>
    <t>本日無事受け取りました。この度は良い苗を譲って頂きありがとうございました。またお心遣いにも感謝致します。機会がありましたらまたどうぞよろしくお願い致します。
2025/03/13 14:34</t>
  </si>
  <si>
    <t>受け取り確認致しました。
迅速丁寧な対応&amp;梱包ありがとーございました。
状態良く受け取る事が出来感謝致します。
また機会があればヨロシクお願い致します。
2025/03/14 17:35</t>
  </si>
  <si>
    <t>みい</t>
  </si>
  <si>
    <t>森本 優子</t>
  </si>
  <si>
    <t>771-1626</t>
  </si>
  <si>
    <t>徳島県 阿波市市場町 伊月字秀清42-1</t>
  </si>
  <si>
    <t>本日無事に届きました。どの子も綺麗で可愛くて嬉しいです(*^^*)お心遣いもありがとうございます。大事に育てます。
この度は、迅速丁寧なお取引をありがとうございました。またご縁がありましたら、よろしくお願いいたします。
2025/03/13 16:09</t>
  </si>
  <si>
    <t>6h</t>
  </si>
  <si>
    <t>Yu～</t>
  </si>
  <si>
    <t>須藤 由佳里</t>
  </si>
  <si>
    <t>195-0061</t>
  </si>
  <si>
    <t>東京都 町田市 鶴川1-22-37</t>
  </si>
  <si>
    <t>先程、到着しました。
長旅でしたが、何事もなく無事です。
ありがとうございます。
2025/03/07 18:02</t>
  </si>
  <si>
    <t>ゆか</t>
  </si>
  <si>
    <t>橋場 由香</t>
  </si>
  <si>
    <t>920-0214</t>
  </si>
  <si>
    <t>石川県 金沢市 三ツ屋町ロ21-4</t>
  </si>
  <si>
    <t>jeep</t>
  </si>
  <si>
    <t>中川 明美</t>
  </si>
  <si>
    <t>329-2746</t>
  </si>
  <si>
    <t>栃木県 那須塩原市 四区町728-188</t>
  </si>
  <si>
    <t>キレイな商品無事に受け取りました
大事に育てますね〜！
お心遣いに感謝いたします
迅速で丁寧なお取引ありがとうございました(⌒▽⌒)
2025/03/06 20:11</t>
  </si>
  <si>
    <t>むーちゃん♡</t>
  </si>
  <si>
    <t>新井 菜月</t>
  </si>
  <si>
    <t>615-0056</t>
  </si>
  <si>
    <t>京都府 京都市右京区西院西貝川町 83-9</t>
  </si>
  <si>
    <t>この度はありがとうございました！
またの機会がございましたら、ぜひよろしくお願いしますし！
2025/03/06 16:17</t>
  </si>
  <si>
    <t>芋山ポテコ</t>
  </si>
  <si>
    <t>新岡 利香子</t>
  </si>
  <si>
    <t>038-3288</t>
  </si>
  <si>
    <t>青森県 つがる市 木造出来島雉子森70</t>
  </si>
  <si>
    <t>丁寧に対応していただき、とても綺麗な苗が今日届きました。ありがとうございました。
2025/03/05 15:41</t>
  </si>
  <si>
    <t>2日</t>
  </si>
  <si>
    <t>多肉 クリスペートビューティー入り 7種セット 抜き苗</t>
  </si>
  <si>
    <t>モモスケモモコ</t>
  </si>
  <si>
    <t>菅原 澄子</t>
  </si>
  <si>
    <t>197-0802</t>
  </si>
  <si>
    <t>東京都 あきる野市 草花953-1</t>
  </si>
  <si>
    <t>思ってたより、大きくて良かったです。ありがとうございます
2024/12/26 17:01</t>
  </si>
  <si>
    <t>受け取り確認致しました。
迅速丁寧な対応＆梱包ありがとーございました。
状態良くキレイで嬉しいです。
また機会があればヨロシクお願い致します。
2024/12/26 19:01</t>
  </si>
  <si>
    <t>コジママ</t>
  </si>
  <si>
    <t>浅野 幸子</t>
  </si>
  <si>
    <t>700-0944</t>
  </si>
  <si>
    <t>岡山県 岡山市南区 泉田4-5-15</t>
  </si>
  <si>
    <t>受け取りました。ありがとうございました。
2024/12/27 19:14</t>
  </si>
  <si>
    <t>カステラ</t>
  </si>
  <si>
    <t>中川 千秋</t>
  </si>
  <si>
    <t>926-0178</t>
  </si>
  <si>
    <t>石川県 七尾市 石崎町(香島) 2-52-11</t>
  </si>
  <si>
    <t>コメントなし。 2024/12/24 18:17</t>
  </si>
  <si>
    <t>多肉 クリスペートビューティー入り 7種セット A 抜き苗</t>
  </si>
  <si>
    <t>ローズ</t>
  </si>
  <si>
    <t>長谷川 さとみ</t>
  </si>
  <si>
    <t>503-2112</t>
  </si>
  <si>
    <t>岐阜県 不破郡垂井町 綾戸965-7</t>
  </si>
  <si>
    <t>コメントなし。 2024/12/06 13:09</t>
  </si>
  <si>
    <t>ぴのぴな</t>
  </si>
  <si>
    <t>藤田 理恵</t>
  </si>
  <si>
    <t>616-8258</t>
  </si>
  <si>
    <t>京都府 京都市右京区 鳴滝般若寺町20-4</t>
  </si>
  <si>
    <t>本日無事届きました。おまけもたくさんありがとうございます。大切に育てます。
またご縁がありましたらよろしくお願いいたします。
2024/12/04 16:01</t>
  </si>
  <si>
    <t>多肉 はじまりの花入り 7種セット A 抜き苗</t>
  </si>
  <si>
    <t>大阪府 貝塚市久保 1-20-15</t>
  </si>
  <si>
    <t>先ほど無事受け取りました。丁寧な梱包ありがとうございます。そしておまけのセダムもありがとうございます♪また機会がありましたらよろしくお願いします。
2024/12/05 15:48</t>
  </si>
  <si>
    <t>多肉 はじまりの花入り 7種セット B 抜き苗</t>
  </si>
  <si>
    <t>ボンテンマル</t>
  </si>
  <si>
    <t>西川 純一</t>
  </si>
  <si>
    <t>818-0134</t>
  </si>
  <si>
    <t>福岡県 太宰府市 大佐野6丁目35-2</t>
  </si>
  <si>
    <t>商品到着に到着しました。
この度は大変良いお取引ができました。
ありがとうございました。
機会があればまたよろしくお願いします。
2024/12/06 12:51</t>
  </si>
  <si>
    <t>12h</t>
  </si>
  <si>
    <t>多肉 クリスペートビューティー入り 7種セット B 抜き苗</t>
  </si>
  <si>
    <t>Baronねこさん</t>
  </si>
  <si>
    <t>横山 美奈子</t>
  </si>
  <si>
    <t>305-0044</t>
  </si>
  <si>
    <t>茨城県 つくば市 並木3-17-1 ロイヤルコーポヨコタ405</t>
  </si>
  <si>
    <t>とても立派で可愛い苗達送ってくださいましてありがとうございました！大事にします！
お心遣いもありがとうございました♪
2024/12/05 16:22</t>
  </si>
  <si>
    <t>mokamama</t>
  </si>
  <si>
    <t>大藪 早苗</t>
  </si>
  <si>
    <t>658-0015</t>
  </si>
  <si>
    <t>兵庫県 神戸市東灘区 本山南町9-8-45 コスモシティ神戸本山1013</t>
  </si>
  <si>
    <t>本日届きました。丁寧な梱包ありがとうございました。
2024/11/14 21:40</t>
  </si>
  <si>
    <t>さきちゃん</t>
  </si>
  <si>
    <t>米城 沙希</t>
  </si>
  <si>
    <t>252-0226</t>
  </si>
  <si>
    <t>神奈川県 相模原市中央区 陽光台6丁目13の7の4</t>
  </si>
  <si>
    <t>無事受け取りました！写真で見るより大きくてもりもりでこんなにたくさん嬉しいです。ぜひまた購入させていただきたいです。ありがとうございました！
2024/11/13 18:47</t>
  </si>
  <si>
    <t>5日</t>
  </si>
  <si>
    <t>多肉 ピンクキャビア入り 7種セット B 抜き苗</t>
  </si>
  <si>
    <t>ミッキーママちゃん</t>
  </si>
  <si>
    <t>村上 容子</t>
  </si>
  <si>
    <t>601-8364</t>
  </si>
  <si>
    <t>京都府 京都市南区 吉祥院石原南町34 石原住宅A107</t>
  </si>
  <si>
    <t>多肉セット無事届きました。
寄せ植えに必要なセダムもたくさんありがとうございました。
2024/11/08 19:53</t>
  </si>
  <si>
    <t>多肉 ピンクキャビア入り 7種セット A 抜き苗</t>
  </si>
  <si>
    <t>どら</t>
  </si>
  <si>
    <t>真砂 美智子</t>
  </si>
  <si>
    <t>761-4121</t>
  </si>
  <si>
    <t>香川県 土庄町 渕崎甲1248-1</t>
  </si>
  <si>
    <t>今受け取りました。
また丁寧に梱包して頂いたおかげで元気な苗です。
ありがとうございました。
2024/11/11 12:30</t>
  </si>
  <si>
    <t>21h</t>
  </si>
  <si>
    <t>多肉 モラニーxルンヨニーサンカルロス入り 7種セット 抜き苗</t>
  </si>
  <si>
    <t>yukky</t>
  </si>
  <si>
    <t>大西 幸恵</t>
  </si>
  <si>
    <t>413-0232</t>
  </si>
  <si>
    <t>静岡県 伊東市 八幡野 1741-199 E-38</t>
  </si>
  <si>
    <t>とてもいい状態で届きました。
ありがとうございました。
また機会がありましたらよろしくお願いします。
2024/11/05 13:36</t>
  </si>
  <si>
    <t>多肉 クリームローズ入り 7種セット 抜き苗</t>
  </si>
  <si>
    <t>タドリー</t>
  </si>
  <si>
    <t>内田 恵利</t>
  </si>
  <si>
    <t>240-0033</t>
  </si>
  <si>
    <t>神奈川県 横浜市保土ケ谷区 境木本町50-3</t>
  </si>
  <si>
    <t>無事届きました^ - ^ありがとうございました！
2024/10/31 23:16</t>
  </si>
  <si>
    <t>多肉 クリスベートビューティー入り 7種セット 抜き苗</t>
  </si>
  <si>
    <t>すずらん</t>
  </si>
  <si>
    <t>須田 律子</t>
  </si>
  <si>
    <t>284-0043</t>
  </si>
  <si>
    <t>千葉県 四街道市 めいわ一丁目16ー18</t>
  </si>
  <si>
    <t>本日可愛い苗届きました(^^)
大切に育ててみます♪
ありがとうございました♪
2024/11/01 13:41</t>
  </si>
  <si>
    <t>阿部 由紀</t>
  </si>
  <si>
    <t>770-0194</t>
  </si>
  <si>
    <t>徳島県 徳島市 籠屋町1丁目20-1籠屋町アビタシオン305</t>
  </si>
  <si>
    <t>はある</t>
  </si>
  <si>
    <t>田中 晴香</t>
  </si>
  <si>
    <t>277-0863</t>
  </si>
  <si>
    <t>千葉県 柏市 豊四季543-17</t>
  </si>
  <si>
    <t>ただ今無事に届きました！
この度はお取引ありがとうございました(^^)
2024/11/01 18:15</t>
  </si>
  <si>
    <t>ぴくるす*多肉雑貨</t>
  </si>
  <si>
    <t>大沼 美香</t>
  </si>
  <si>
    <t>985-0842</t>
  </si>
  <si>
    <t>宮城県 多賀城市 桜木2-7-45</t>
  </si>
  <si>
    <t>この度はご丁寧にありがとうございました☆
大切に育てます♪
また機会がございましたら宜しくお願い致します(^-^)
2024/10/31 17:18</t>
  </si>
  <si>
    <t>レインボー</t>
  </si>
  <si>
    <t>高井 マユ</t>
  </si>
  <si>
    <t>673-0037</t>
  </si>
  <si>
    <t>兵庫県 明石市貴崎 4丁目27番地13号</t>
  </si>
  <si>
    <t>無事に受け取りました。
とても可愛い苗たちをありがとうございます。
また機会がありましたら、よろしくお願いいたします。
2024/10/31 19:59</t>
  </si>
  <si>
    <t>ポテサラたいち</t>
  </si>
  <si>
    <t>前田 美紀</t>
  </si>
  <si>
    <t>891-0112</t>
  </si>
  <si>
    <t>鹿児島県 鹿児島市魚見町2364-5</t>
  </si>
  <si>
    <t>商品受け取りました。
台風の影響が懸念されましたが、どの苗も元気です。またカシリアも沢山ありがとうございます。
早速植えて、大切に育てていきます。
また機会がありましたら宜しくお願い致します。ありがとうございました。
2024/09/02 12:19</t>
  </si>
  <si>
    <t>ネコバス</t>
  </si>
  <si>
    <t>若松 恵梨</t>
  </si>
  <si>
    <t>963-8852</t>
  </si>
  <si>
    <t>福島県 郡山市台新2-8-2</t>
  </si>
  <si>
    <t>本日受け取りました(^^)
お心遣いもありがとうございました♪
大事に育てますね(^^)
2024/08/29 18:40</t>
  </si>
  <si>
    <t>多肉 キュービックフロスト入り 7種セット 抜き苗</t>
  </si>
  <si>
    <t>本日無事に届きました。
とっても可愛い苗がたくさん届いて、嬉しいです。
ありがとうございました。
2024/07/03 11:32</t>
  </si>
  <si>
    <t>多肉 チャイナローズ入り 7種セット 抜き苗</t>
  </si>
  <si>
    <t>なーお</t>
  </si>
  <si>
    <t>池田 直子</t>
  </si>
  <si>
    <t>919-0633</t>
  </si>
  <si>
    <t>福井県 あわら市花乃杜1-27-2-105</t>
  </si>
  <si>
    <t>本日無事に到着しました^ ^
可愛い子たちをお迎えできました
また機会があればよろしくお願いします。
2024/06/28 18:19</t>
  </si>
  <si>
    <t>20h</t>
  </si>
  <si>
    <t>多肉 アガボイデス ルブラ入り 7種セット 抜き苗</t>
  </si>
  <si>
    <t>ミニー</t>
  </si>
  <si>
    <t>三崎 豊子</t>
  </si>
  <si>
    <t>612-0026</t>
  </si>
  <si>
    <t>京都府京都市伏見区深草堀田町10-1 ローズマンション藤の森A-509</t>
  </si>
  <si>
    <t>本日可愛い多肉ちゃん届きました╰(*´︶`*)╯♡
みんな元気そうです。
いっぱいオマケまで付けてくださり
ありがとうございました。
機会がありましたら、またよろしくお願いします
（╹◡╹）
2024/06/28 18:39</t>
  </si>
  <si>
    <t>斑入りグリーンネックレス ＆ カリシア 4点セット</t>
  </si>
  <si>
    <t>櫻月</t>
  </si>
  <si>
    <t>本日、無事に受け取りました。迅速なご対応をありがとうございました。大切に育てたいです。
また、ご縁がありましたら、今後とも宜しくお願い致します。
2024/06/19 20:32</t>
  </si>
  <si>
    <t>現在</t>
  </si>
  <si>
    <t>No.</t>
  </si>
  <si>
    <t>ハンドルネーム</t>
  </si>
  <si>
    <t>購入歴</t>
  </si>
  <si>
    <t>出品者レベル</t>
  </si>
  <si>
    <t>☆数</t>
  </si>
  <si>
    <t>出品数</t>
  </si>
  <si>
    <t>フォロワー数</t>
  </si>
  <si>
    <t>多肉販売</t>
  </si>
  <si>
    <t>Leh</t>
  </si>
  <si>
    <t>東京</t>
  </si>
  <si>
    <t>ダークナイト</t>
  </si>
  <si>
    <t>兵庫</t>
  </si>
  <si>
    <t>noa</t>
  </si>
  <si>
    <t>未出品</t>
  </si>
  <si>
    <t>sakura_mrcr</t>
  </si>
  <si>
    <t>Ｕ</t>
  </si>
  <si>
    <t>茨城</t>
  </si>
  <si>
    <t>Raindrops</t>
  </si>
  <si>
    <t>未定</t>
  </si>
  <si>
    <t>mumu</t>
  </si>
  <si>
    <t>seiko</t>
  </si>
  <si>
    <t>広島</t>
  </si>
  <si>
    <t>bird bird</t>
  </si>
  <si>
    <t>laimecoco</t>
  </si>
  <si>
    <t>れお</t>
  </si>
  <si>
    <t>福岡</t>
  </si>
  <si>
    <t>トラ</t>
  </si>
  <si>
    <t>暫く多肉以外も色々出品します〜かぴ〜</t>
  </si>
  <si>
    <t>KMY-mama</t>
  </si>
  <si>
    <t>ルシ (即購入NG)</t>
  </si>
  <si>
    <t>北海道</t>
  </si>
  <si>
    <t>ビーナス</t>
  </si>
  <si>
    <t>よっぴー</t>
  </si>
  <si>
    <t>Pagpag</t>
  </si>
  <si>
    <t>ストライプ</t>
  </si>
  <si>
    <t>長野</t>
  </si>
  <si>
    <t>メル79387</t>
  </si>
  <si>
    <t xml:space="preserve">kei </t>
  </si>
  <si>
    <t>福井</t>
  </si>
  <si>
    <t>U-YO</t>
  </si>
  <si>
    <t>センカ@立体刺繍</t>
  </si>
  <si>
    <t>岐阜</t>
  </si>
  <si>
    <t>みー❀✼❅</t>
  </si>
  <si>
    <t>京都</t>
  </si>
  <si>
    <t>栃木</t>
  </si>
  <si>
    <t>静岡</t>
  </si>
  <si>
    <t>徳島</t>
  </si>
  <si>
    <t>✿❀aruru❀✿</t>
  </si>
  <si>
    <t>お宝ちゃん</t>
  </si>
  <si>
    <t>アイヴィー</t>
  </si>
  <si>
    <t>llata</t>
  </si>
  <si>
    <t>ROSE</t>
  </si>
  <si>
    <t>滋賀</t>
  </si>
  <si>
    <t>aloha</t>
  </si>
  <si>
    <t>埼玉</t>
  </si>
  <si>
    <t>りあ</t>
  </si>
  <si>
    <t>まさん@即購入歓迎</t>
  </si>
  <si>
    <t>JOJO</t>
  </si>
  <si>
    <t>千葉</t>
  </si>
  <si>
    <t>きなこ</t>
  </si>
  <si>
    <t>mame</t>
  </si>
  <si>
    <t>RUKIRUKI</t>
  </si>
  <si>
    <t>リス</t>
  </si>
  <si>
    <t>ここから</t>
  </si>
  <si>
    <t>Rin♡</t>
  </si>
  <si>
    <t>神奈川</t>
  </si>
  <si>
    <t>mekki</t>
  </si>
  <si>
    <t>愛媛</t>
  </si>
  <si>
    <t>ひまりん</t>
  </si>
  <si>
    <t>tkwi</t>
  </si>
  <si>
    <t>RIO</t>
  </si>
  <si>
    <t>やは</t>
  </si>
  <si>
    <t>愛知</t>
  </si>
  <si>
    <t>キヨタロ</t>
  </si>
  <si>
    <t>みかん</t>
  </si>
  <si>
    <t>zuuumin</t>
  </si>
  <si>
    <t>まりも　多肉植物</t>
  </si>
  <si>
    <t>佐賀</t>
  </si>
  <si>
    <t>ゆこたろう</t>
  </si>
  <si>
    <t>poplar</t>
  </si>
  <si>
    <t>みゅこ</t>
  </si>
  <si>
    <t>ばおこ</t>
  </si>
  <si>
    <t>和歌山</t>
  </si>
  <si>
    <t>ハナミズキ</t>
  </si>
  <si>
    <t>もかみん</t>
  </si>
  <si>
    <t>ぼー</t>
  </si>
  <si>
    <t>りんご</t>
  </si>
  <si>
    <t>高知</t>
  </si>
  <si>
    <t>龍猫</t>
  </si>
  <si>
    <t>福島</t>
  </si>
  <si>
    <t>RIN...</t>
  </si>
  <si>
    <t>ゆーこ</t>
  </si>
  <si>
    <t>MOCO</t>
  </si>
  <si>
    <t>※プロフ必読〜otakarachan〜</t>
  </si>
  <si>
    <t>青森</t>
  </si>
  <si>
    <t>LiLimaru</t>
  </si>
  <si>
    <t>三重</t>
  </si>
  <si>
    <t>おうはな✿プロフィール見てくださいね</t>
  </si>
  <si>
    <t>まめちゃん</t>
  </si>
  <si>
    <t>れもん</t>
  </si>
  <si>
    <t>ひかりママ</t>
  </si>
  <si>
    <t>宮崎</t>
  </si>
  <si>
    <t>Kotehime</t>
  </si>
  <si>
    <t>群馬</t>
  </si>
  <si>
    <t>宮城</t>
  </si>
  <si>
    <t>Mana...♡</t>
  </si>
  <si>
    <t>こむこむ</t>
  </si>
  <si>
    <t>ちょこ</t>
  </si>
  <si>
    <t>しゃんてぃ☆</t>
  </si>
  <si>
    <t>あずき猫</t>
  </si>
  <si>
    <t>はな</t>
  </si>
  <si>
    <t>mar</t>
  </si>
  <si>
    <t>よっしー</t>
  </si>
  <si>
    <t>杏</t>
  </si>
  <si>
    <t>wanko</t>
  </si>
  <si>
    <t>あきな</t>
  </si>
  <si>
    <t>チコ</t>
  </si>
  <si>
    <t>ゆーぴょん</t>
  </si>
  <si>
    <t>Ｎａｍｅｎｅｋｏ</t>
  </si>
  <si>
    <t>ラジャー</t>
  </si>
  <si>
    <t>naonao</t>
  </si>
  <si>
    <t>ぽっぴー</t>
  </si>
  <si>
    <t>Olive</t>
  </si>
  <si>
    <t>秋田</t>
  </si>
  <si>
    <t>Amyu☆</t>
  </si>
  <si>
    <t>多肉まる</t>
  </si>
  <si>
    <t>サワコ</t>
  </si>
  <si>
    <t>ちゅる</t>
  </si>
  <si>
    <t>くまたろう</t>
  </si>
  <si>
    <t>ぽこぷく</t>
  </si>
  <si>
    <t>コスモス</t>
  </si>
  <si>
    <t>いり</t>
  </si>
  <si>
    <t>なぉ</t>
  </si>
  <si>
    <t>⁠ユジン⁠【次回火曜日発送です✨】</t>
  </si>
  <si>
    <t>ホ〜</t>
  </si>
  <si>
    <t>mami</t>
  </si>
  <si>
    <t>M.la poupée</t>
  </si>
  <si>
    <t>ユエ☽︎‪︎.*·̩͙‬</t>
  </si>
  <si>
    <t>HARI</t>
  </si>
  <si>
    <t>大阪</t>
  </si>
  <si>
    <t>もりちぃ</t>
  </si>
  <si>
    <t>cako cako</t>
  </si>
  <si>
    <t>ぶんぶん。プロフィールご確認お願いします</t>
  </si>
  <si>
    <t>どきんちゃん</t>
  </si>
  <si>
    <t>まーる</t>
  </si>
  <si>
    <t>yu-go</t>
  </si>
  <si>
    <t>sa☆chi</t>
  </si>
  <si>
    <t>さくら</t>
  </si>
  <si>
    <t>ちゃんちゃん</t>
  </si>
  <si>
    <t>ルナ</t>
  </si>
  <si>
    <t>いたし</t>
  </si>
  <si>
    <t>＊花信風＊</t>
  </si>
  <si>
    <t>りん</t>
  </si>
  <si>
    <t>あこ</t>
  </si>
  <si>
    <t>yuuu♡</t>
  </si>
  <si>
    <t>IS《発送は平日のみ☆プロフ確認》</t>
  </si>
  <si>
    <t>よこよこ</t>
  </si>
  <si>
    <t>mai</t>
  </si>
  <si>
    <t>もっちー</t>
  </si>
  <si>
    <t>香川</t>
  </si>
  <si>
    <t>0</t>
  </si>
  <si>
    <t>大分</t>
  </si>
  <si>
    <t>ぽぽ</t>
  </si>
  <si>
    <t>石川</t>
  </si>
  <si>
    <t>モコモコ</t>
  </si>
  <si>
    <t>うららか</t>
  </si>
  <si>
    <t>どるちゃん</t>
  </si>
  <si>
    <t>ハリネズミ</t>
  </si>
  <si>
    <t>ちぃ</t>
  </si>
  <si>
    <t>よーさん</t>
  </si>
  <si>
    <t>はる</t>
  </si>
  <si>
    <t>はるママ</t>
  </si>
  <si>
    <t>T.H</t>
  </si>
  <si>
    <t>新潟</t>
  </si>
  <si>
    <t>ゆーみん</t>
  </si>
  <si>
    <t>michika</t>
  </si>
  <si>
    <t>syrar</t>
  </si>
  <si>
    <t>あみい</t>
  </si>
  <si>
    <t>りりころ</t>
  </si>
  <si>
    <t>Kana＊*</t>
  </si>
  <si>
    <t>Rosereiリメ缶発送可能❗️購入OK</t>
  </si>
  <si>
    <t>ゆっけ</t>
  </si>
  <si>
    <t>Ꮇarie❦即購入◎❦1〜2日で発送❦</t>
  </si>
  <si>
    <t>Iran</t>
  </si>
  <si>
    <t>ケロ</t>
  </si>
  <si>
    <t>ひめとら</t>
  </si>
  <si>
    <t>❃ひぃ❃</t>
  </si>
  <si>
    <t>しょこあ♡*⑅</t>
  </si>
  <si>
    <t>teatime</t>
  </si>
  <si>
    <t>しょこりん</t>
  </si>
  <si>
    <t>くぅ</t>
  </si>
  <si>
    <t>ともりん</t>
  </si>
  <si>
    <t>鹿児島</t>
  </si>
  <si>
    <t>ekeko</t>
  </si>
  <si>
    <t>natsu☆購入前にコメントください。</t>
  </si>
  <si>
    <t>newdo</t>
  </si>
  <si>
    <t>緑崎@現在2〜3日で出荷します！</t>
  </si>
  <si>
    <t>かおり</t>
  </si>
  <si>
    <t>kukumama</t>
  </si>
  <si>
    <t>meyuto☆*</t>
  </si>
  <si>
    <t>tenten</t>
  </si>
  <si>
    <t>熊本</t>
  </si>
  <si>
    <t>にゃんこ</t>
  </si>
  <si>
    <t>メイン</t>
  </si>
  <si>
    <t>サブ</t>
  </si>
  <si>
    <t>トータル</t>
  </si>
  <si>
    <t>トータルの計</t>
  </si>
  <si>
    <t>購入者リストの計</t>
  </si>
  <si>
    <t>トータルの種類</t>
  </si>
  <si>
    <t>購入者リストの種類</t>
  </si>
  <si>
    <t>大項目</t>
  </si>
  <si>
    <t>中項目</t>
  </si>
  <si>
    <t>小項目</t>
  </si>
  <si>
    <t>備考</t>
  </si>
  <si>
    <t>発生日</t>
  </si>
  <si>
    <t>発生場所</t>
  </si>
  <si>
    <t>消費税</t>
  </si>
  <si>
    <t>合計金額</t>
  </si>
  <si>
    <t>消耗品費</t>
  </si>
  <si>
    <t>カレンダー</t>
  </si>
  <si>
    <t>B3PPビックカレンダー</t>
  </si>
  <si>
    <t>Seria</t>
  </si>
  <si>
    <t>ポット</t>
  </si>
  <si>
    <t>紙ポット角型12個連結</t>
  </si>
  <si>
    <t>農具費</t>
  </si>
  <si>
    <t>育苗箱</t>
  </si>
  <si>
    <t>種まきカバー51型</t>
  </si>
  <si>
    <t>x2</t>
  </si>
  <si>
    <t>育苗箱51型</t>
  </si>
  <si>
    <t>農薬衛生費</t>
  </si>
  <si>
    <t>農薬</t>
  </si>
  <si>
    <t>ベニカXファインスプレー</t>
  </si>
  <si>
    <t>培養土</t>
  </si>
  <si>
    <t>選別硬質鹿沼土 小粒</t>
  </si>
  <si>
    <t>硬質赤玉土 小粒</t>
  </si>
  <si>
    <t>サボテン多肉植物の培養土</t>
  </si>
  <si>
    <t>燻炭</t>
  </si>
  <si>
    <t>種苗費</t>
  </si>
  <si>
    <t>多肉植物</t>
  </si>
  <si>
    <t>シート</t>
  </si>
  <si>
    <t>アルミ保温シート</t>
  </si>
  <si>
    <t>スポイト</t>
  </si>
  <si>
    <t>小分け用スポイト</t>
  </si>
  <si>
    <t>温湿度計</t>
  </si>
  <si>
    <t>温湿度計ミニ</t>
  </si>
  <si>
    <t>温度計</t>
  </si>
  <si>
    <t>料理用温度計</t>
  </si>
  <si>
    <t>チェーン</t>
  </si>
  <si>
    <t>ボールチェーン</t>
  </si>
  <si>
    <t>ホチキス</t>
  </si>
  <si>
    <t>ホチキス針(10号針)</t>
  </si>
  <si>
    <t>鉢</t>
  </si>
  <si>
    <t>素焼き植木鉢(4個)</t>
  </si>
  <si>
    <t>三松堂</t>
  </si>
  <si>
    <t>A-25</t>
  </si>
  <si>
    <t>x10</t>
  </si>
  <si>
    <t>下垂性多肉8cmポット</t>
  </si>
  <si>
    <t>硬質ポット9cm</t>
  </si>
  <si>
    <t>ブロアー</t>
  </si>
  <si>
    <t>USBブロアー</t>
  </si>
  <si>
    <t>x3</t>
  </si>
  <si>
    <t>植物育成ライト</t>
  </si>
  <si>
    <t>HEYIRAN 植物育成ライト</t>
  </si>
  <si>
    <t>Amazon</t>
  </si>
  <si>
    <t>多肉植物セット 24ポット分</t>
  </si>
  <si>
    <t>種まき培土 5L</t>
  </si>
  <si>
    <t>水苔150g</t>
  </si>
  <si>
    <t>多肉植物サボテンの肥料</t>
  </si>
  <si>
    <t>マグアンプK小粒500g</t>
  </si>
  <si>
    <t>メネデール100ml</t>
  </si>
  <si>
    <t>ポリポット100P</t>
  </si>
  <si>
    <t>トレー</t>
  </si>
  <si>
    <t>セルボックス36穴</t>
  </si>
  <si>
    <t>セルボックス49穴</t>
  </si>
  <si>
    <t>多肉棚</t>
  </si>
  <si>
    <t>ドウシシャ ルミナス</t>
  </si>
  <si>
    <t>防カビ断熱シート</t>
  </si>
  <si>
    <t>ライト</t>
  </si>
  <si>
    <t>USBライト</t>
  </si>
  <si>
    <t>大画面温湿度付きデジタル時計</t>
  </si>
  <si>
    <t>コンセントタップ</t>
  </si>
  <si>
    <t>2コンセントタップ</t>
  </si>
  <si>
    <t>プラステラ90</t>
  </si>
  <si>
    <t>x30</t>
  </si>
  <si>
    <t>バーミキュライト 5L</t>
  </si>
  <si>
    <t>化粧砂 1L</t>
  </si>
  <si>
    <t>半田ごて</t>
  </si>
  <si>
    <t>半田ごてセット40W</t>
  </si>
  <si>
    <t>コード</t>
  </si>
  <si>
    <t>ビニル並行コード</t>
  </si>
  <si>
    <t>チューブ</t>
  </si>
  <si>
    <t>収縮チューブφ10</t>
  </si>
  <si>
    <t>収縮チューブφ3</t>
  </si>
  <si>
    <t>クロステープ</t>
  </si>
  <si>
    <t>クロステープ透ける</t>
  </si>
  <si>
    <t>葉挿し 100枚ちょっと</t>
  </si>
  <si>
    <t>多肉植物 エケベリア5苗セット</t>
  </si>
  <si>
    <t>多肉植物 葉挿し</t>
  </si>
  <si>
    <t>荷造運賃</t>
  </si>
  <si>
    <t>宅急便</t>
  </si>
  <si>
    <t>10苗の宅急便費用</t>
  </si>
  <si>
    <t>タンスシート(炭入り)</t>
  </si>
  <si>
    <t>シール</t>
  </si>
  <si>
    <t>タックシール</t>
  </si>
  <si>
    <t>バスケット</t>
  </si>
  <si>
    <t>B4収納バスケット</t>
  </si>
  <si>
    <t>メジャーカップ</t>
  </si>
  <si>
    <t>上から計れるメジャーカップ</t>
  </si>
  <si>
    <t>マット</t>
  </si>
  <si>
    <t>ランチョンマットノーブル</t>
  </si>
  <si>
    <t>ふるい</t>
  </si>
  <si>
    <t>ミニふるい(細目)</t>
  </si>
  <si>
    <t>ボトル</t>
  </si>
  <si>
    <t>洗剤ボトル</t>
  </si>
  <si>
    <t>ポリポット(9cm)</t>
  </si>
  <si>
    <t>マウス</t>
  </si>
  <si>
    <t>Razer Basilisk X HyperSpeed</t>
  </si>
  <si>
    <t>サーキュレーター</t>
  </si>
  <si>
    <t>アイリスオオヤマ サーキュレーター</t>
  </si>
  <si>
    <t>植物育成ライト LED 400W相当</t>
  </si>
  <si>
    <t>タップ</t>
  </si>
  <si>
    <t>STYLED USB充電ポート付き スマートタップ</t>
  </si>
  <si>
    <t>照度計</t>
  </si>
  <si>
    <t>デジタル照度計 C-Timvasion</t>
  </si>
  <si>
    <t>ヒートマット</t>
  </si>
  <si>
    <t>thsgrt ヒートマット 園芸発芽マット</t>
  </si>
  <si>
    <t>ハンダ</t>
  </si>
  <si>
    <t>ヤニ入りハンダ SD101</t>
  </si>
  <si>
    <t>収縮チューブSTA8K</t>
  </si>
  <si>
    <t>ラベル</t>
  </si>
  <si>
    <t>フラワーラベル7.5cm</t>
  </si>
  <si>
    <t>フラワーラベル9cm</t>
  </si>
  <si>
    <t>育苗箱35型</t>
  </si>
  <si>
    <t>x4</t>
  </si>
  <si>
    <t>底面給水トレー</t>
  </si>
  <si>
    <t>金網</t>
  </si>
  <si>
    <t>バーベキューネットダイ45x35cm</t>
  </si>
  <si>
    <t>仕切り</t>
  </si>
  <si>
    <t>SIKIRI</t>
  </si>
  <si>
    <t>土入れ</t>
  </si>
  <si>
    <t>土入れスリム大小セット</t>
  </si>
  <si>
    <t>結束バンド</t>
  </si>
  <si>
    <t>耐光耐熱結束バンド</t>
  </si>
  <si>
    <t>土入れ型ふるい</t>
  </si>
  <si>
    <t>電池</t>
  </si>
  <si>
    <t>単4アルカリ電池</t>
  </si>
  <si>
    <t>ディスペンサ</t>
  </si>
  <si>
    <t>キャップディスペンサミニ白</t>
  </si>
  <si>
    <t>プラバン</t>
  </si>
  <si>
    <t>クラフトプラバン透明0.3mm</t>
  </si>
  <si>
    <t>マジック</t>
  </si>
  <si>
    <t>サラサC0.5</t>
  </si>
  <si>
    <t>エルパ 扉付タップラン 電源タップ</t>
  </si>
  <si>
    <t>スティック</t>
  </si>
  <si>
    <t>ロリポップスティック</t>
  </si>
  <si>
    <t>卓上Wリングカレンダー</t>
  </si>
  <si>
    <t>鉢底ネット</t>
  </si>
  <si>
    <t>鉢底ネット(園芸用、6枚)</t>
  </si>
  <si>
    <t>バンド</t>
  </si>
  <si>
    <t>結束バンド(黒、30cm)</t>
  </si>
  <si>
    <t>ピンセット</t>
  </si>
  <si>
    <t>鷲型、長細型</t>
  </si>
  <si>
    <t>ニッパー</t>
  </si>
  <si>
    <t>ミニニッパー</t>
  </si>
  <si>
    <t>ナプキン</t>
  </si>
  <si>
    <t>ペーパーナプキン</t>
  </si>
  <si>
    <t>ゼブラ ハイマッキー</t>
  </si>
  <si>
    <t>ボックス</t>
  </si>
  <si>
    <t>プレーンボックス 本体、蓋</t>
  </si>
  <si>
    <t>安全ニュートリプルタップ3口</t>
  </si>
  <si>
    <t>システムトレーTO-24</t>
  </si>
  <si>
    <t>TOトレー40T 7.5cm用</t>
  </si>
  <si>
    <t>多肉植物 子宝草</t>
  </si>
  <si>
    <t>エケベリア葉挿し</t>
  </si>
  <si>
    <t>エケベリア5種セット</t>
  </si>
  <si>
    <t>多肉植物 葉挿しセット</t>
  </si>
  <si>
    <t>硬質ポット10.5cm</t>
  </si>
  <si>
    <t>アルバリン粒剤</t>
  </si>
  <si>
    <t>システムトレーTO-20</t>
  </si>
  <si>
    <t>植物育成ライト 60W LED</t>
  </si>
  <si>
    <t>x5</t>
  </si>
  <si>
    <t>花ちゃん培養土 5L</t>
  </si>
  <si>
    <t>多肉植物 ちび苗セット</t>
  </si>
  <si>
    <t>ワンタッチオイルボトル</t>
  </si>
  <si>
    <t>マスク</t>
  </si>
  <si>
    <t>不織布マスク</t>
  </si>
  <si>
    <t>クリアシート</t>
  </si>
  <si>
    <t>トレーディングカード用クリアシート</t>
  </si>
  <si>
    <t>クリップ</t>
  </si>
  <si>
    <t>セムクリップ</t>
  </si>
  <si>
    <t>筆</t>
  </si>
  <si>
    <t>めんそうふで</t>
  </si>
  <si>
    <t>ベンレート水和剤0.5g</t>
  </si>
  <si>
    <t>No31</t>
  </si>
  <si>
    <t>軽石中粒 12L</t>
  </si>
  <si>
    <t>硬質鹿沼土 14L</t>
  </si>
  <si>
    <t>はじまりの花、ラズベリーメモリー</t>
  </si>
  <si>
    <t>2023年度</t>
  </si>
  <si>
    <t>旅行交通費</t>
  </si>
  <si>
    <t>高速費用</t>
  </si>
  <si>
    <t>弘前-滝沢</t>
  </si>
  <si>
    <t>NEXCO東日本</t>
  </si>
  <si>
    <t>滝沢-弘前</t>
  </si>
  <si>
    <t>鹿沼土小粒 14L</t>
  </si>
  <si>
    <t>エケベリア セダムカット</t>
  </si>
  <si>
    <t>ちまちま寄せセット</t>
  </si>
  <si>
    <t>多肉 抜き苗 レッドベリー</t>
  </si>
  <si>
    <t>ルートン20g</t>
  </si>
  <si>
    <t>ダイン100ml</t>
  </si>
  <si>
    <t>IBのチカラ 80g</t>
  </si>
  <si>
    <t>多肉 セダム 恋心</t>
  </si>
  <si>
    <t>拡大鏡スタンド</t>
  </si>
  <si>
    <t>Nazano 拡大鏡</t>
  </si>
  <si>
    <t>ワイヤーネット</t>
  </si>
  <si>
    <t>ワイヤーラティススリム 12x8 ホワイト</t>
  </si>
  <si>
    <t>プランター</t>
  </si>
  <si>
    <t>フルーラプランター</t>
  </si>
  <si>
    <t>x8</t>
  </si>
  <si>
    <t>隙間テープ</t>
  </si>
  <si>
    <t>すきまテープワイド</t>
  </si>
  <si>
    <t>リメイクシート</t>
  </si>
  <si>
    <t>仕切り板白43.2x6cm</t>
  </si>
  <si>
    <t>ワイヤー棚 約40x12x</t>
  </si>
  <si>
    <t>ケース</t>
  </si>
  <si>
    <t>蓋つき収納ケース</t>
  </si>
  <si>
    <t>レンズ</t>
  </si>
  <si>
    <t>スマートフォンレンズセット</t>
  </si>
  <si>
    <t>霧吹き</t>
  </si>
  <si>
    <t>加圧式霧吹き</t>
  </si>
  <si>
    <t>油性ツインマーカー細黒黒</t>
  </si>
  <si>
    <t>PPネームシール 30片</t>
  </si>
  <si>
    <t>花ちゃん培養土 12L</t>
  </si>
  <si>
    <t>ペレスデラロサエ ピンクエッジ</t>
  </si>
  <si>
    <t>多肉植物 ブルードラゴン他</t>
  </si>
  <si>
    <t>多肉植物タイニーサキュレント</t>
  </si>
  <si>
    <t>スプレー</t>
  </si>
  <si>
    <t>オートハンドスプレー</t>
  </si>
  <si>
    <t>計量器</t>
  </si>
  <si>
    <t>キッチンスケール3kg用</t>
  </si>
  <si>
    <t>オーソサイド水和剤50g</t>
  </si>
  <si>
    <t>紙コップ</t>
  </si>
  <si>
    <t>ペーパーカップ</t>
  </si>
  <si>
    <t>やまや</t>
  </si>
  <si>
    <t>テグス</t>
  </si>
  <si>
    <t>テグス(2号 約0.2mmx90m)</t>
  </si>
  <si>
    <t>多肉植物スペシャルセレクト</t>
  </si>
  <si>
    <t>折り紙</t>
  </si>
  <si>
    <t>単色おりがみ うすみず</t>
  </si>
  <si>
    <t>持ち運びできる園芸シート</t>
  </si>
  <si>
    <t>メジャー</t>
  </si>
  <si>
    <t>ストッパー付きメジャー</t>
  </si>
  <si>
    <t>薬包紙</t>
  </si>
  <si>
    <t>アズワン 薬包紙 中 1000枚入り</t>
  </si>
  <si>
    <t>HDD</t>
  </si>
  <si>
    <t>バッファロー 外付けHDD 4TB</t>
  </si>
  <si>
    <t>扇風機</t>
  </si>
  <si>
    <t>Keynice USB扇風機</t>
  </si>
  <si>
    <t>DVDドライブ</t>
  </si>
  <si>
    <t>外付けDVDドライブ</t>
  </si>
  <si>
    <t>x19</t>
  </si>
  <si>
    <t>スポンジ</t>
  </si>
  <si>
    <t>メラミンスポンジキューブ</t>
  </si>
  <si>
    <t>バスケットプランター</t>
  </si>
  <si>
    <t>ジョーロ</t>
  </si>
  <si>
    <t>使い分けジョーロ</t>
  </si>
  <si>
    <t>綿棒</t>
  </si>
  <si>
    <t>ベビー用、赤ちゃんでこぼこ綿棒</t>
  </si>
  <si>
    <t>H2テグス9号</t>
  </si>
  <si>
    <t>テープ</t>
  </si>
  <si>
    <t>粘着布テープ</t>
  </si>
  <si>
    <t>段ボール</t>
  </si>
  <si>
    <t>ダンボール箱(メルカリ)</t>
  </si>
  <si>
    <t>封筒</t>
  </si>
  <si>
    <t>厚紙封筒</t>
  </si>
  <si>
    <t>テープカッター台</t>
  </si>
  <si>
    <t>テープカッター台(黒)</t>
  </si>
  <si>
    <t>2号観葉多肉アソート</t>
  </si>
  <si>
    <t>x7</t>
  </si>
  <si>
    <t>紐</t>
  </si>
  <si>
    <t>ソフトウーリーゴム2P</t>
  </si>
  <si>
    <t>リペアスティック 50本入</t>
  </si>
  <si>
    <t>ドイツ製ミニポット 11cm</t>
  </si>
  <si>
    <t>ドイツ製ミニポット 10cm</t>
  </si>
  <si>
    <t>皿</t>
  </si>
  <si>
    <t>ドイツ製ポット受け皿 約9cm</t>
  </si>
  <si>
    <t>ドイツ製ポット受け皿 約8cm</t>
  </si>
  <si>
    <t>ペットボトル用ジョロ大</t>
  </si>
  <si>
    <t>斑入りパリダム</t>
  </si>
  <si>
    <t>セダム20個セット</t>
  </si>
  <si>
    <t>226.yumama専用</t>
  </si>
  <si>
    <t>ガソリン</t>
  </si>
  <si>
    <t>レギュラーガソリン</t>
  </si>
  <si>
    <t>18.64L</t>
  </si>
  <si>
    <t>Enejet</t>
  </si>
  <si>
    <t>2点まとめ</t>
  </si>
  <si>
    <t>クラフト封筒(角形2号)</t>
  </si>
  <si>
    <t>クリアポケット</t>
  </si>
  <si>
    <t>クリアポケット(A4)</t>
  </si>
  <si>
    <t>クリアバッグ</t>
  </si>
  <si>
    <t>クリアバッグ(20枚)</t>
  </si>
  <si>
    <t>もみ殻燻炭 15L</t>
  </si>
  <si>
    <t>多肉植物 ミックスベリア</t>
  </si>
  <si>
    <t>OPPテープ(50mmx</t>
  </si>
  <si>
    <t>クラフト封筒(角形0号)</t>
  </si>
  <si>
    <t>底マチクリアバッグ(10</t>
  </si>
  <si>
    <t>A-25用トレー 10枚</t>
  </si>
  <si>
    <t>蓋つきバケツ</t>
  </si>
  <si>
    <t>取っ手に雑巾が干せる蓋</t>
  </si>
  <si>
    <t>中深皿10号</t>
  </si>
  <si>
    <t>機械用プラグトレー128穴</t>
  </si>
  <si>
    <t>ドイツ製ポット 16cm</t>
  </si>
  <si>
    <t>ドイツ製ポット受け皿 約12cm</t>
  </si>
  <si>
    <t>プレスレラ105</t>
  </si>
  <si>
    <t>プレスレラ90</t>
  </si>
  <si>
    <t>ゼブラ マッキーケア超極細 黒</t>
  </si>
  <si>
    <t>ミックスベリア ちょこん</t>
  </si>
  <si>
    <t>多肉植物 ラウ165</t>
  </si>
  <si>
    <t>自転車</t>
  </si>
  <si>
    <t>軽快チャクル G-CREW</t>
  </si>
  <si>
    <t>安心サイクリングパック</t>
  </si>
  <si>
    <t>安心防犯パック</t>
  </si>
  <si>
    <t>ボウハン トウロク</t>
  </si>
  <si>
    <t>TSマーク</t>
  </si>
  <si>
    <t>フラワー吊鉢20x21</t>
  </si>
  <si>
    <t>花ごころ さし芽種蒔きの土 12L</t>
  </si>
  <si>
    <t>刀川平和農園 赤玉土 14L</t>
  </si>
  <si>
    <t>x50</t>
  </si>
  <si>
    <t>オークプランターNo20</t>
  </si>
  <si>
    <t>2号多肉植物アソート</t>
  </si>
  <si>
    <t>おなまえシール①7x2</t>
  </si>
  <si>
    <t>スリッパ</t>
  </si>
  <si>
    <t>ルームシューズ、23cm</t>
  </si>
  <si>
    <t>プラバンキュコット</t>
  </si>
  <si>
    <t>栽培セット</t>
  </si>
  <si>
    <t>栽培セット(細ねぎ)</t>
  </si>
  <si>
    <t>フック</t>
  </si>
  <si>
    <t>キッチン棚下5連フック</t>
  </si>
  <si>
    <t>ビニールバッグ</t>
  </si>
  <si>
    <t>配送用ビニールバッグ</t>
  </si>
  <si>
    <t>バーミキュライト 14L</t>
  </si>
  <si>
    <t>テーブル</t>
  </si>
  <si>
    <t>簡単後付け回転テーブル2525</t>
  </si>
  <si>
    <t>x6</t>
  </si>
  <si>
    <t>ストーン風プランター</t>
  </si>
  <si>
    <t>底面給水ポット(4号)</t>
  </si>
  <si>
    <t>コード付きタップ</t>
  </si>
  <si>
    <t>縄</t>
  </si>
  <si>
    <t>園芸用縄</t>
  </si>
  <si>
    <t>ノート</t>
  </si>
  <si>
    <t>再生紙キャンパスB5</t>
  </si>
  <si>
    <t>荒くふる蔵</t>
  </si>
  <si>
    <t>グローブ</t>
  </si>
  <si>
    <t>ガーデングローブ</t>
  </si>
  <si>
    <t>コテ</t>
  </si>
  <si>
    <t>プラ柄カラー移植こて</t>
  </si>
  <si>
    <t>イレクターパイプ H-300</t>
  </si>
  <si>
    <t>イレクターパイプ H-900</t>
  </si>
  <si>
    <t>イレクターパイプ H-1200</t>
  </si>
  <si>
    <t>サンアロー接着液</t>
  </si>
  <si>
    <t>イレクタージョイント</t>
  </si>
  <si>
    <t>x２</t>
  </si>
  <si>
    <t>ネット</t>
  </si>
  <si>
    <t>遮光ネット(88cmx1</t>
  </si>
  <si>
    <t>遮光ネット(200cmx</t>
  </si>
  <si>
    <t>麻紐(120cm)</t>
  </si>
  <si>
    <t>多機能フッククリップ</t>
  </si>
  <si>
    <t>ストレッチコード</t>
  </si>
  <si>
    <t>ベルト</t>
  </si>
  <si>
    <t>便利ベルト2P</t>
  </si>
  <si>
    <t>ハンギングプランター</t>
  </si>
  <si>
    <t>虫よけ薬</t>
  </si>
  <si>
    <t>アース渦巻香ジャンボ50</t>
  </si>
  <si>
    <t>ドン・キホーテ</t>
  </si>
  <si>
    <t>アース虫よけネット</t>
  </si>
  <si>
    <t>多肉植物 カリシアロザート</t>
  </si>
  <si>
    <t>網戸</t>
  </si>
  <si>
    <t>クラウンネット グレー</t>
  </si>
  <si>
    <t>バーミキュライト</t>
  </si>
  <si>
    <t>ストーン調プランター4号鉢</t>
  </si>
  <si>
    <t>便利ゴムベルト 3x45cm</t>
  </si>
  <si>
    <t>スコップ</t>
  </si>
  <si>
    <t>ガーデンスコップ2Pセット</t>
  </si>
  <si>
    <t>プラスチックSフック M4P</t>
  </si>
  <si>
    <t>タイマー</t>
  </si>
  <si>
    <t>キッチンタイマー</t>
  </si>
  <si>
    <t>2号多植物肉アソート</t>
  </si>
  <si>
    <t>ｘ8</t>
  </si>
  <si>
    <t>ヤマダ電機</t>
  </si>
  <si>
    <t>ナイロンライン</t>
  </si>
  <si>
    <t>上州屋</t>
  </si>
  <si>
    <t>作業着</t>
  </si>
  <si>
    <t>シャツ、デニム、パンツ</t>
  </si>
  <si>
    <t>セカンドストリート</t>
  </si>
  <si>
    <t>ワンタッチポット</t>
  </si>
  <si>
    <t>洗濯ばさみ</t>
  </si>
  <si>
    <t>ハンガーも固定できる洗濯</t>
  </si>
  <si>
    <t>消しゴム</t>
  </si>
  <si>
    <t>モノ消しゴム3P、まとまる消しゴム</t>
  </si>
  <si>
    <t>軽石中粒 10L</t>
  </si>
  <si>
    <t>ソフトタイ</t>
  </si>
  <si>
    <t>支柱</t>
  </si>
  <si>
    <t>トンネル支柱、園芸支柱</t>
  </si>
  <si>
    <t>ハンギンググロープ</t>
  </si>
  <si>
    <t>園芸支柱</t>
  </si>
  <si>
    <t>ジョイント</t>
  </si>
  <si>
    <t>ニューガーデン8x8mm</t>
  </si>
  <si>
    <t>ダブルクリップ 狭口32</t>
  </si>
  <si>
    <t>バルくん 虫こないでネット</t>
  </si>
  <si>
    <t>布製収納ボックス</t>
  </si>
  <si>
    <t>タワシ</t>
  </si>
  <si>
    <t>ステンレスタワシ10gx8P</t>
  </si>
  <si>
    <t>虫さされ薬</t>
  </si>
  <si>
    <t>液体ムヒ</t>
  </si>
  <si>
    <t>ツルハドラッグ</t>
  </si>
  <si>
    <t>くらしリズム 土 14L</t>
  </si>
  <si>
    <t>ネームプレート</t>
  </si>
  <si>
    <t>長鉢(スクエア3.5)</t>
  </si>
  <si>
    <t>G-25</t>
  </si>
  <si>
    <t>植木鉢4号</t>
  </si>
  <si>
    <t>エコ鉢皿</t>
  </si>
  <si>
    <t>チリトリ</t>
  </si>
  <si>
    <t>ミニチリトリセット</t>
  </si>
  <si>
    <t>ステンレスピンセット曲型</t>
  </si>
  <si>
    <t>マーカー</t>
  </si>
  <si>
    <t>マッキー油性マーカー</t>
  </si>
  <si>
    <t>x20</t>
  </si>
  <si>
    <t>商品売買益</t>
  </si>
  <si>
    <t>一般管理費</t>
  </si>
  <si>
    <t>手数料</t>
  </si>
  <si>
    <t>販売手数料</t>
  </si>
  <si>
    <t>クロネコ</t>
  </si>
  <si>
    <t>ネコポス</t>
  </si>
  <si>
    <t>アンティーク調丸型トレー</t>
  </si>
  <si>
    <t>ストーン型プランター</t>
  </si>
  <si>
    <t>鉢カバー</t>
  </si>
  <si>
    <t>ブリック鉢カバー4号</t>
  </si>
  <si>
    <t>ホワイトポッド取手付</t>
  </si>
  <si>
    <t>粘着マット</t>
  </si>
  <si>
    <t>防災対策防振粘着マット</t>
  </si>
  <si>
    <t>コットンフラワースプレー</t>
  </si>
  <si>
    <t>はさみ</t>
  </si>
  <si>
    <t>ステンレス枝切ばさみ</t>
  </si>
  <si>
    <t>リース</t>
  </si>
  <si>
    <t>ヤナギリースM</t>
  </si>
  <si>
    <t>ラタンリース</t>
  </si>
  <si>
    <t>受皿(陶器調)</t>
  </si>
  <si>
    <t>植木鉢6号</t>
  </si>
  <si>
    <t>ツル巻き用リング支柱</t>
  </si>
  <si>
    <t>中深皿9号</t>
  </si>
  <si>
    <t>郵便局</t>
  </si>
  <si>
    <t>第4種郵便</t>
  </si>
  <si>
    <t>弘前城東郵便局</t>
  </si>
  <si>
    <t>インク</t>
  </si>
  <si>
    <t>BCI-326+325/6MP</t>
  </si>
  <si>
    <t>OPPテープ(50mm)</t>
  </si>
  <si>
    <t>コンパクトホチキス</t>
  </si>
  <si>
    <t>メッセージカード</t>
  </si>
  <si>
    <t>ミニカード</t>
  </si>
  <si>
    <t>園芸用品</t>
  </si>
  <si>
    <t>名札</t>
  </si>
  <si>
    <t>軽石小粒 16L</t>
  </si>
  <si>
    <t>ザグレートスーパーストア</t>
  </si>
  <si>
    <t>硬質選別鹿沼土</t>
  </si>
  <si>
    <t>園芸ジョーロ</t>
  </si>
  <si>
    <t>日光砂 14L</t>
  </si>
  <si>
    <t>プレミアム 花と野菜の培養土 20L</t>
  </si>
  <si>
    <t>シールはがしゼリー状</t>
  </si>
  <si>
    <t>パック</t>
  </si>
  <si>
    <t>フードパック</t>
  </si>
  <si>
    <t>コンテナ</t>
  </si>
  <si>
    <t>ヤマトグローコンテナ</t>
  </si>
  <si>
    <t>オヤマアグリサービス</t>
  </si>
  <si>
    <t>ラベルシール</t>
  </si>
  <si>
    <t>蛍光灯</t>
  </si>
  <si>
    <t>アイリスオオヤマ LED蛍光灯 15型</t>
  </si>
  <si>
    <t>アイリスオオヤマ LED蛍光灯 20型</t>
  </si>
  <si>
    <t>電動ドライバー</t>
  </si>
  <si>
    <t>HAO BOSCH 電動ドライバー</t>
  </si>
  <si>
    <t>ポリポット 4cm 220個</t>
  </si>
  <si>
    <t>ノコギリ</t>
  </si>
  <si>
    <t>金切りノコギリ</t>
  </si>
  <si>
    <t>切断砥</t>
  </si>
  <si>
    <t>ミニルーター用切断砥</t>
  </si>
  <si>
    <t>接着剤</t>
  </si>
  <si>
    <t>ウルトラ多用途SU 20ml</t>
  </si>
  <si>
    <t>木材</t>
  </si>
  <si>
    <t>ウッドマドラー</t>
  </si>
  <si>
    <t>竹串</t>
  </si>
  <si>
    <t>軽石(中粒)</t>
  </si>
  <si>
    <t>もみ殻くん炭 50L</t>
  </si>
  <si>
    <t>ベニカネクストスプレー 1000ml</t>
  </si>
  <si>
    <t>ベニカXガード粒剤 550g</t>
  </si>
  <si>
    <t>リキダス 450ml</t>
  </si>
  <si>
    <t>ハードスポンジ</t>
  </si>
  <si>
    <t>ゴム手袋</t>
  </si>
  <si>
    <t>ゴムグリップ</t>
  </si>
  <si>
    <t>ハケ</t>
  </si>
  <si>
    <t>紙やすり</t>
  </si>
  <si>
    <t>サンドペーパー</t>
  </si>
  <si>
    <t>防虫防腐木材2x4 12ft</t>
  </si>
  <si>
    <t>防虫防腐木材1x4 12F</t>
  </si>
  <si>
    <t>防虫防腐木材2x4</t>
  </si>
  <si>
    <t>カット工賃</t>
  </si>
  <si>
    <t>x9</t>
  </si>
  <si>
    <t>ドレッシングボトル ミニ</t>
  </si>
  <si>
    <t>ベビー用綿棒 200本入</t>
  </si>
  <si>
    <t>エコ鉢皿(4号、3個)</t>
  </si>
  <si>
    <t>ストッパー</t>
  </si>
  <si>
    <t>ドアストッパー(幅広タイプ)</t>
  </si>
  <si>
    <t>ネジ</t>
  </si>
  <si>
    <t>HCカラーコーススレッド 75 ブロンズ 約60本</t>
  </si>
  <si>
    <t>塗料</t>
  </si>
  <si>
    <t>コーナン オリジナル PROACT 水性木材保護塗料</t>
  </si>
  <si>
    <t>レール</t>
  </si>
  <si>
    <t>AOLISHENG スライドレール</t>
  </si>
  <si>
    <t>ラティス柱</t>
  </si>
  <si>
    <t>ポリポット 4cm 50個</t>
  </si>
  <si>
    <t>K+兼用ビット4mmx150mm N2020</t>
  </si>
  <si>
    <t>HC万能パワービス75 70本入</t>
  </si>
  <si>
    <t>木用ねじブロンズNP 3.8x41</t>
  </si>
  <si>
    <t>防腐ヒノキ手すりパーツ</t>
  </si>
  <si>
    <t>A4スタッキングバスケット</t>
  </si>
  <si>
    <t>チョウカクウケザラブラウン</t>
  </si>
  <si>
    <t>A3PPビックカレンダー2025</t>
  </si>
  <si>
    <t>メッシュポケット</t>
  </si>
  <si>
    <t>ワイヤードアフック</t>
  </si>
  <si>
    <t>モクエ イショクコテ 34センチ</t>
  </si>
  <si>
    <t>KAKUSENEN-EN 125mm</t>
  </si>
  <si>
    <t>鶴仙園</t>
  </si>
  <si>
    <t>レターパックライト</t>
  </si>
  <si>
    <t>車両費</t>
  </si>
  <si>
    <t>エンジンオイル交換</t>
  </si>
  <si>
    <t>MAG GSSZ スペシャル SP 3L 0W20</t>
  </si>
  <si>
    <t>イエローハット</t>
  </si>
  <si>
    <t>デンソー オイルフィルター SZ01</t>
  </si>
  <si>
    <t>メンテナンスパック</t>
  </si>
  <si>
    <t>ミックスベリア 15苗</t>
  </si>
  <si>
    <t>x15</t>
  </si>
  <si>
    <t>ビックルーフ滝沢</t>
  </si>
  <si>
    <t>青果パック GPR-S 6穴 50P</t>
  </si>
  <si>
    <t>アルミロールシート90x160cm</t>
  </si>
  <si>
    <t>園芸用不織布シート</t>
  </si>
  <si>
    <t>突っ張り棒</t>
  </si>
  <si>
    <t>白い伸縮式つっぱり棒11</t>
  </si>
  <si>
    <t>リングカーテンクリップ</t>
  </si>
  <si>
    <t>不織布シート</t>
  </si>
  <si>
    <t>ハンガー</t>
  </si>
  <si>
    <t>1200マルチハンガー</t>
  </si>
  <si>
    <t>クッションスポンジ</t>
  </si>
  <si>
    <t>ミックスベリア ピーチック</t>
  </si>
  <si>
    <t>収納ボックス</t>
  </si>
  <si>
    <t>布製収納ボックス(タイポ</t>
  </si>
  <si>
    <t>バケツ</t>
  </si>
  <si>
    <t>多機能ビブバケツ(10L</t>
  </si>
  <si>
    <t>窓ガラス断熱シート(透明</t>
  </si>
  <si>
    <t>伸縮式ポール シルバー</t>
  </si>
  <si>
    <t>S字フック</t>
  </si>
  <si>
    <t>洋灯吊2種入6Pブロンズ</t>
  </si>
  <si>
    <t>激落ちくんまとまる消しゴム</t>
  </si>
  <si>
    <t>ファイルカラー</t>
  </si>
  <si>
    <t>B5スリム26リングファイルカラー</t>
  </si>
  <si>
    <t>シューズトレー</t>
  </si>
  <si>
    <t>ワゴン</t>
  </si>
  <si>
    <t>キッチンワゴン</t>
  </si>
  <si>
    <t>楽天市場</t>
  </si>
  <si>
    <t>スタンド</t>
  </si>
  <si>
    <t>SAIJI アームスタンド</t>
  </si>
  <si>
    <t>ストーン風プランター4号鉢</t>
  </si>
  <si>
    <t>IB緩効性肥料</t>
  </si>
  <si>
    <t>速達代</t>
  </si>
  <si>
    <t>優木園 ピンクスパイダー</t>
  </si>
  <si>
    <t>優木園 伊弉諾</t>
  </si>
  <si>
    <t>25,26</t>
  </si>
  <si>
    <t>2024年度</t>
  </si>
  <si>
    <t>レジャーシートグリーン</t>
  </si>
  <si>
    <t>パステルレジャーシート 2帖</t>
  </si>
  <si>
    <t>タンスシート</t>
  </si>
  <si>
    <t>角度が調整できるシューズ</t>
  </si>
  <si>
    <t>シューズストッカー</t>
  </si>
  <si>
    <t>大画面温湿度付きデジタル時</t>
  </si>
  <si>
    <t>Miyaさん 3苗</t>
  </si>
  <si>
    <t>クラフトペーパーカップ60ml</t>
  </si>
  <si>
    <t>Miyaさん 6苗</t>
  </si>
  <si>
    <t>可変式段ボールA5用</t>
  </si>
  <si>
    <t>パッケージプラザコバヤシ</t>
  </si>
  <si>
    <t>HD-10DK ホチキスBL</t>
  </si>
  <si>
    <t>ネオクラフトランチBOX-L</t>
  </si>
  <si>
    <t>バーミキュライト 18L</t>
  </si>
  <si>
    <t>のぼり</t>
  </si>
  <si>
    <t>竿 QG-1</t>
  </si>
  <si>
    <t>ベース 11L NO</t>
  </si>
  <si>
    <t>ナチュラルBOX-Z3</t>
  </si>
  <si>
    <t>ナチュラルBOX-Z4</t>
  </si>
  <si>
    <t>緩衝材</t>
  </si>
  <si>
    <t>発送用緩衝材</t>
  </si>
  <si>
    <t>クローバー ピンセット 150MM先曲</t>
  </si>
  <si>
    <t>パネル</t>
  </si>
  <si>
    <t>メッシュパネルBK 600x1500W</t>
  </si>
  <si>
    <t>パネル固定パーツコーナー用</t>
  </si>
  <si>
    <t>インパクトドライバー</t>
  </si>
  <si>
    <t>HiKOKI 18V インパクトドライバー</t>
  </si>
  <si>
    <t>ドリル刃</t>
  </si>
  <si>
    <t>HiKOKI ビット10本セット</t>
  </si>
  <si>
    <t>ワイヤーラティス</t>
  </si>
  <si>
    <t>x17</t>
  </si>
  <si>
    <t>フックピンチ 2P</t>
  </si>
  <si>
    <t>?型フック(ブロンズ)</t>
  </si>
  <si>
    <t>No135</t>
  </si>
  <si>
    <t>クロステープ茶色</t>
  </si>
  <si>
    <t>低頭木ネジ ブロンズ</t>
  </si>
  <si>
    <t>BN-LINK 温湿度計</t>
  </si>
  <si>
    <t>バラコードホソ</t>
  </si>
  <si>
    <t>カラビナ</t>
  </si>
  <si>
    <t>カラビナアルミ製2P</t>
  </si>
  <si>
    <t>パンチ</t>
  </si>
  <si>
    <t>1穴ハンドパンチ</t>
  </si>
  <si>
    <t>やすり</t>
  </si>
  <si>
    <t>ダイヤモンドやすり 丸形</t>
  </si>
  <si>
    <t>Dカン</t>
  </si>
  <si>
    <t>Dカン 10個</t>
  </si>
  <si>
    <t>鉢受皿7号(2P)</t>
  </si>
  <si>
    <t>連結できる鉄製チェーン</t>
  </si>
  <si>
    <t>ワイヤーラックLブラウン</t>
  </si>
  <si>
    <t>シール用紙</t>
  </si>
  <si>
    <t>ポンチ</t>
  </si>
  <si>
    <t>穴あけポンチ</t>
  </si>
  <si>
    <t>ピタッとドアストッパー</t>
  </si>
  <si>
    <t>スタンプ台</t>
  </si>
  <si>
    <t>スタンプ台黒</t>
  </si>
  <si>
    <t>消しゴムハンコ</t>
  </si>
  <si>
    <t>結束バンド使い切り白100</t>
  </si>
  <si>
    <t>中成苗用</t>
  </si>
  <si>
    <t>焼成硬質赤玉土 小粒 14L</t>
  </si>
  <si>
    <t>オルトランDX 粒剤 1kg</t>
  </si>
  <si>
    <t>TLALOC ENERGY 2個セット</t>
  </si>
  <si>
    <t>ストーン風プランターBホワイト</t>
  </si>
  <si>
    <t>ガーデンスコップ</t>
  </si>
  <si>
    <t>ビニールテープ</t>
  </si>
  <si>
    <t>園芸用カットビニールタイ</t>
  </si>
  <si>
    <t>ステンレスはさみ</t>
  </si>
  <si>
    <t>qQLiFe エアダスター</t>
  </si>
  <si>
    <t>ペーパーナプキン ブラウン50P</t>
  </si>
  <si>
    <t>カッター</t>
  </si>
  <si>
    <t>ペーパーカッター</t>
  </si>
  <si>
    <t>水稲育苗箱 中成苗用</t>
  </si>
  <si>
    <t>ワイヤーハンガー 6P WH</t>
  </si>
  <si>
    <t>すべり止め</t>
  </si>
  <si>
    <t>すべり止め付きイス脚ソックス</t>
  </si>
  <si>
    <t>洗剤</t>
  </si>
  <si>
    <t>技職人魂シリーズ 油職人</t>
  </si>
  <si>
    <t>ジョイコンパクト</t>
  </si>
  <si>
    <t>ジョイコンパクトW</t>
  </si>
  <si>
    <t>アルカリ乾電池 単1 1P</t>
  </si>
  <si>
    <t>ワンタッチ綿棒ケース</t>
  </si>
  <si>
    <t>メッセージカード(フレー</t>
  </si>
  <si>
    <t>電球</t>
  </si>
  <si>
    <t>LED電球(60W形相当</t>
  </si>
  <si>
    <t>ビニールハウス</t>
  </si>
  <si>
    <t>第一ビニール ダイムハウス(2坪用)</t>
  </si>
  <si>
    <t>バロックフロアブル</t>
  </si>
  <si>
    <t>Xエナジー</t>
  </si>
  <si>
    <t>網</t>
  </si>
  <si>
    <t>焼き網</t>
  </si>
  <si>
    <t>サンダル</t>
  </si>
  <si>
    <t>スポーツサンダル</t>
  </si>
  <si>
    <t>新聞図書費</t>
  </si>
  <si>
    <t>書籍</t>
  </si>
  <si>
    <t>WILD ECHEVERIA</t>
  </si>
  <si>
    <t>多肉植物エケベリアハイブリッド</t>
  </si>
  <si>
    <t>多肉植物エケベリア GUIDE TO ECHEVERIA 改訂版</t>
  </si>
  <si>
    <t>ゆうパック</t>
  </si>
  <si>
    <t>Veater 5本組鉄工用ドリル</t>
  </si>
  <si>
    <t>決済手数料</t>
  </si>
  <si>
    <t>遮光ネット</t>
  </si>
  <si>
    <t>ボウル</t>
  </si>
  <si>
    <t>トレー、ステンレス食器</t>
  </si>
  <si>
    <t>フック付きポットオリーブガラ</t>
  </si>
  <si>
    <t>両手つきブリキバケツ</t>
  </si>
  <si>
    <t>モノライトS2P</t>
  </si>
  <si>
    <t>シリマー</t>
  </si>
  <si>
    <t>注射器型計量器</t>
  </si>
  <si>
    <t>スポイト 10P 3ml</t>
  </si>
  <si>
    <t>ウエストレインボー等</t>
  </si>
  <si>
    <t>花と野菜の土 12L</t>
  </si>
  <si>
    <t>軽石 小 14L</t>
  </si>
  <si>
    <t>セラアート長鉢3号白</t>
  </si>
  <si>
    <t>紫式部、パープルヘイズストロベリーカラー等</t>
  </si>
  <si>
    <t>龍鱗蓮華等3苗</t>
  </si>
  <si>
    <t>佐川急便</t>
  </si>
  <si>
    <t>3苗の輸送費</t>
  </si>
  <si>
    <t>サンセットグレイ等</t>
  </si>
  <si>
    <t>OPPテープ 24m</t>
  </si>
  <si>
    <t>袋</t>
  </si>
  <si>
    <t>ピッタリOPP袋(写真袋</t>
  </si>
  <si>
    <t>イヤホン</t>
  </si>
  <si>
    <t>完全ワイヤレスイヤホン</t>
  </si>
  <si>
    <t>18.75L</t>
  </si>
  <si>
    <t>COSMO</t>
  </si>
  <si>
    <t>Hyaloid エアダスター</t>
  </si>
  <si>
    <t>ワイヤーハンガー6P WH</t>
  </si>
  <si>
    <t>NLシングルドアフック</t>
  </si>
  <si>
    <t>カバー</t>
  </si>
  <si>
    <t>エアコンカバー</t>
  </si>
  <si>
    <t>A4ノート</t>
  </si>
  <si>
    <t>クスピダタ ピンクフォーム</t>
  </si>
  <si>
    <t>Aアッタカインナー</t>
  </si>
  <si>
    <t>B25AW999メルティ</t>
  </si>
  <si>
    <t>フルーツパック(穴あき)</t>
  </si>
  <si>
    <t>DCMクロステープ 半透明</t>
  </si>
  <si>
    <t>クラフトボックス</t>
  </si>
  <si>
    <t>ヨウステ B-3 10マイ</t>
  </si>
  <si>
    <t>ネオクラフト ケーキBOX L</t>
  </si>
  <si>
    <t>ビニールT エスロン 19x10</t>
  </si>
  <si>
    <t>カーバッテリー</t>
  </si>
  <si>
    <t>N-M65/A4 パナソニック カオス カーバッテリー</t>
  </si>
  <si>
    <t>たこすけ楽天</t>
  </si>
  <si>
    <t>スパナ</t>
  </si>
  <si>
    <t>多目的スパナ</t>
  </si>
  <si>
    <t>エケベリアハイブリッド図鑑</t>
  </si>
  <si>
    <t>エンジンオイル、フィルター交換、工賃</t>
  </si>
  <si>
    <t>洗車代</t>
  </si>
  <si>
    <t>Oコース</t>
  </si>
  <si>
    <t>リベルタ城東SS</t>
  </si>
  <si>
    <t>雑費</t>
  </si>
  <si>
    <t>テープ、シール等</t>
  </si>
  <si>
    <t>1x4・6フィート</t>
  </si>
  <si>
    <t>ホワイトウッド面取材</t>
  </si>
  <si>
    <t>木用ネジC ブロンズ5</t>
  </si>
  <si>
    <t>ハンギング掛け</t>
  </si>
  <si>
    <t>簡単組立ステン室内物干</t>
  </si>
  <si>
    <t>タオル</t>
  </si>
  <si>
    <t>ふわふわハンカチタオル</t>
  </si>
  <si>
    <t>メッセージカード(アンテ</t>
  </si>
  <si>
    <t>クラフト封筒(長形3号</t>
  </si>
  <si>
    <t>お肌に優しい紙サージカル</t>
  </si>
  <si>
    <t>お肌に優しいメッシュ不織</t>
  </si>
  <si>
    <t>塗装用マスキングテープ</t>
  </si>
  <si>
    <t>金属洋灯吊(5個)</t>
  </si>
  <si>
    <t>面ガード</t>
  </si>
  <si>
    <t>つっぱり棒壁面ガード(ホ</t>
  </si>
  <si>
    <t>プラスチック製ワイヤーネ</t>
  </si>
  <si>
    <t>スチールSかけフック縦幅</t>
  </si>
  <si>
    <t>車検代</t>
  </si>
  <si>
    <t>車検、ブレーキオイル、エアーエレメント</t>
  </si>
  <si>
    <t>6.33L</t>
  </si>
  <si>
    <t>6.37L</t>
  </si>
  <si>
    <t>HC万能パワービス45 140本入</t>
  </si>
  <si>
    <t>ねこミニカード 30枚</t>
  </si>
  <si>
    <t>スクエアメモ リフレッシュブリー</t>
  </si>
  <si>
    <t>仮止め両面粘着ゲルテープ</t>
  </si>
  <si>
    <t>キャニスター</t>
  </si>
  <si>
    <t>ワンプッシュキャニスター丸400</t>
  </si>
  <si>
    <t>換気扇</t>
  </si>
  <si>
    <t>Panasonic FY-17C8</t>
  </si>
  <si>
    <t>ハンディクリーナー</t>
  </si>
  <si>
    <t>LT-136</t>
  </si>
  <si>
    <t>ケーブル</t>
  </si>
  <si>
    <t>絶縁ビニルケーブル</t>
  </si>
  <si>
    <t>フィルター</t>
  </si>
  <si>
    <t>ZX-107</t>
  </si>
  <si>
    <t>プリンターインク</t>
  </si>
  <si>
    <t>BCI-325/326</t>
  </si>
  <si>
    <t>18.08L</t>
  </si>
  <si>
    <t>ヴィンテージレター等</t>
  </si>
  <si>
    <t>x12 (無料x2)</t>
  </si>
  <si>
    <t>盛岡-弘前</t>
  </si>
  <si>
    <t>13.42L</t>
  </si>
  <si>
    <t>三国商事</t>
  </si>
  <si>
    <t>2025年度</t>
  </si>
  <si>
    <t>16.53L</t>
  </si>
  <si>
    <t>18.00L</t>
  </si>
  <si>
    <t>21.28L</t>
  </si>
  <si>
    <t>弘前郵便局</t>
  </si>
  <si>
    <t>2026年度</t>
  </si>
  <si>
    <t>全合計</t>
  </si>
  <si>
    <t>フォロワー/出品数</t>
  </si>
  <si>
    <t>インスタ</t>
  </si>
  <si>
    <t>た2929</t>
  </si>
  <si>
    <t>ひめりんご</t>
  </si>
  <si>
    <t>多肉momo</t>
  </si>
  <si>
    <t>植物とお花のお店 【イータニク】</t>
  </si>
  <si>
    <t>T FARM</t>
  </si>
  <si>
    <t>山口</t>
  </si>
  <si>
    <t>多肉屋紺碧</t>
  </si>
  <si>
    <t>黒★多肉★</t>
  </si>
  <si>
    <t>♪キキ♪</t>
  </si>
  <si>
    <t>hiroえん</t>
  </si>
  <si>
    <t>me♡succulent</t>
  </si>
  <si>
    <t>花hana花</t>
  </si>
  <si>
    <t>たにくけこ</t>
  </si>
  <si>
    <t>多肉の部屋</t>
  </si>
  <si>
    <t>ママchian</t>
  </si>
  <si>
    <t>山奥屋</t>
  </si>
  <si>
    <t>Naka</t>
  </si>
  <si>
    <t>choco...∞</t>
  </si>
  <si>
    <t>長崎</t>
  </si>
  <si>
    <t>EMIKO</t>
  </si>
  <si>
    <t>さまた</t>
  </si>
  <si>
    <t>ろに</t>
  </si>
  <si>
    <t>ニコラ</t>
  </si>
  <si>
    <t>りり多肉</t>
  </si>
  <si>
    <t>カクタ精工</t>
  </si>
  <si>
    <t>多肉J</t>
  </si>
  <si>
    <t>葵の多肉植物</t>
  </si>
  <si>
    <t>るんるん</t>
  </si>
  <si>
    <t>岡山</t>
  </si>
  <si>
    <t>nao(ことりの)</t>
  </si>
  <si>
    <t>うに</t>
  </si>
  <si>
    <t>light terrace</t>
  </si>
  <si>
    <t>ポコ多肉</t>
  </si>
  <si>
    <t>kotobuki_semper.farm</t>
  </si>
  <si>
    <t>多肉農園ハニプラ</t>
  </si>
  <si>
    <t>k☆</t>
  </si>
  <si>
    <t>cozy</t>
  </si>
  <si>
    <t>☆ronron☆</t>
  </si>
  <si>
    <t>☘いく☘</t>
  </si>
  <si>
    <t>るる農園</t>
  </si>
  <si>
    <t>mokimoki</t>
  </si>
  <si>
    <t>きいろ</t>
  </si>
  <si>
    <t>susta</t>
  </si>
  <si>
    <t>mokko～</t>
  </si>
  <si>
    <t>すも</t>
  </si>
  <si>
    <t>Taya多肉</t>
  </si>
  <si>
    <t>森の多肉</t>
  </si>
  <si>
    <t>晴晴農園（美希多肉)</t>
  </si>
  <si>
    <t>niko</t>
  </si>
  <si>
    <t>chouchou</t>
  </si>
  <si>
    <t>花より多肉</t>
  </si>
  <si>
    <t>多肉屋⭐︎Taniku</t>
  </si>
  <si>
    <t>韓国苗販売会</t>
  </si>
  <si>
    <t>toshi</t>
  </si>
  <si>
    <t>keiko</t>
  </si>
  <si>
    <t>kakape</t>
  </si>
  <si>
    <t>Miyu</t>
  </si>
  <si>
    <t>山梨</t>
  </si>
  <si>
    <t>asm☆</t>
  </si>
  <si>
    <t>いちご</t>
  </si>
  <si>
    <t>HN多肉植物</t>
  </si>
  <si>
    <t>せん♡</t>
  </si>
  <si>
    <t>ゆき＆のんちゃんのお店屋さん</t>
  </si>
  <si>
    <t>toŧo( 'ч' )maru</t>
  </si>
  <si>
    <t>ぷりん❁︎( ꈍᴗꈍ)</t>
  </si>
  <si>
    <t>ねこぐるみ</t>
  </si>
  <si>
    <t>おはぎストア</t>
  </si>
  <si>
    <t>Barberry24</t>
  </si>
  <si>
    <t>aiaiai</t>
  </si>
  <si>
    <t>まりえ(y._.ry)</t>
  </si>
  <si>
    <t>kero</t>
  </si>
  <si>
    <t>てっぺい☆</t>
  </si>
  <si>
    <t>岩手</t>
  </si>
  <si>
    <t>ゆい</t>
  </si>
  <si>
    <t>山形</t>
  </si>
  <si>
    <t>flower rina</t>
  </si>
  <si>
    <t>和 ～なごみ～</t>
  </si>
  <si>
    <t>topmoon</t>
  </si>
  <si>
    <t>ゆづゆづshop</t>
  </si>
  <si>
    <t>こころ(土日月発送)</t>
  </si>
  <si>
    <t>たか多肉</t>
  </si>
  <si>
    <t>koro</t>
  </si>
  <si>
    <t>多肉のお庭　 PA ZA PA</t>
  </si>
  <si>
    <t>ゆきちゃん</t>
  </si>
  <si>
    <t>AKI</t>
  </si>
  <si>
    <t>多肉植物Hikari&amp;kaze</t>
  </si>
  <si>
    <t>森園芸 京都・城陽市の花屋</t>
  </si>
  <si>
    <t>はいぴょん</t>
  </si>
  <si>
    <t>ｐａｒｉ❤︎ｔａ２９</t>
  </si>
  <si>
    <t>小桜植物園</t>
  </si>
  <si>
    <t>sabatora</t>
  </si>
  <si>
    <t>☆ココリン☆</t>
  </si>
  <si>
    <t>ちゃん♡</t>
  </si>
  <si>
    <t>marie Lau fꕤ*。゜</t>
  </si>
  <si>
    <t>トビー</t>
  </si>
  <si>
    <t>nana</t>
  </si>
  <si>
    <t>あんこ</t>
  </si>
  <si>
    <t>Na@2929-ICHIKA</t>
  </si>
  <si>
    <t>かめきち</t>
  </si>
  <si>
    <t>みぃちゃん</t>
  </si>
  <si>
    <t>緑川</t>
  </si>
  <si>
    <t>kyouちゃん</t>
  </si>
  <si>
    <t>テレサ</t>
  </si>
  <si>
    <t>たにく太郎</t>
  </si>
  <si>
    <t>多肉おじさん♪</t>
  </si>
  <si>
    <t>南陵</t>
  </si>
  <si>
    <t>モナ</t>
  </si>
  <si>
    <t>月曜日発送うさぎ犬❁︎</t>
  </si>
  <si>
    <t>いちご大福 即購入OKです!</t>
  </si>
  <si>
    <t>Mii☆</t>
  </si>
  <si>
    <t>momo福</t>
  </si>
  <si>
    <t>Nash Succulent</t>
  </si>
  <si>
    <t>ピオ ☆☆☆</t>
  </si>
  <si>
    <t>https://www.instagram.com/hukko29/</t>
  </si>
  <si>
    <t>ひめゆり</t>
  </si>
  <si>
    <t>Rai</t>
  </si>
  <si>
    <r>
      <rPr>
        <u/>
        <sz val="10"/>
        <color theme="6" tint="-0.249977111117893"/>
        <rFont val="Meiryo UI"/>
        <family val="3"/>
        <charset val="128"/>
      </rPr>
      <t>ゆかり</t>
    </r>
  </si>
  <si>
    <t>tiara succulent</t>
  </si>
  <si>
    <t>さもさも</t>
  </si>
  <si>
    <t>roro320</t>
  </si>
  <si>
    <t>ちょろちゃん</t>
  </si>
  <si>
    <t>ビビブブべべ29</t>
  </si>
  <si>
    <t>やまゆり</t>
  </si>
  <si>
    <t>mmm</t>
  </si>
  <si>
    <t>❁NANA❁﻿</t>
  </si>
  <si>
    <t>sakurairo</t>
  </si>
  <si>
    <t>kirin</t>
  </si>
  <si>
    <t>むぎ</t>
  </si>
  <si>
    <t>yuu☆</t>
  </si>
  <si>
    <t>耕</t>
  </si>
  <si>
    <t>Ina’s garden</t>
  </si>
  <si>
    <t>くろ</t>
  </si>
  <si>
    <t>ちゃみ</t>
  </si>
  <si>
    <t>さくちゃん</t>
  </si>
  <si>
    <t>のり</t>
  </si>
  <si>
    <t>mnmmnm</t>
  </si>
  <si>
    <t>なな‪</t>
  </si>
  <si>
    <t>✼✿咲桜✿✼</t>
  </si>
  <si>
    <t>⁠ユジン</t>
  </si>
  <si>
    <t>トムクロス</t>
  </si>
  <si>
    <t>punpunplants</t>
  </si>
  <si>
    <t>kaorin</t>
  </si>
  <si>
    <t>Yyy</t>
  </si>
  <si>
    <t>rindon</t>
  </si>
  <si>
    <t>まいちん</t>
  </si>
  <si>
    <t>ちっち</t>
  </si>
  <si>
    <t>L i .77号店</t>
  </si>
  <si>
    <t>まんまる◯</t>
  </si>
  <si>
    <t>Kalmia ·͜·☆彡</t>
  </si>
  <si>
    <t>ジョージ</t>
  </si>
  <si>
    <t>oliver.Succulent</t>
  </si>
  <si>
    <t>s</t>
  </si>
  <si>
    <t>sana37</t>
  </si>
  <si>
    <t>green</t>
  </si>
  <si>
    <t>TANIKUlOSI</t>
  </si>
  <si>
    <t>あみ</t>
  </si>
  <si>
    <t>ぷりん</t>
  </si>
  <si>
    <t>あむ</t>
  </si>
  <si>
    <t>アメショさん</t>
  </si>
  <si>
    <t>kocorou</t>
  </si>
  <si>
    <t>tanical</t>
  </si>
  <si>
    <t>たこやき</t>
  </si>
  <si>
    <t>ＩＳＳＥＩ</t>
  </si>
  <si>
    <t>もちもちパンダ</t>
  </si>
  <si>
    <t>hanako</t>
  </si>
  <si>
    <t>mkplants</t>
  </si>
  <si>
    <t>komu*</t>
  </si>
  <si>
    <t>junkojam</t>
  </si>
  <si>
    <t>タケハル</t>
  </si>
  <si>
    <t>TAM☆出品中☆</t>
  </si>
  <si>
    <t>アサヒガーデン</t>
  </si>
  <si>
    <t>タニタニ88✿</t>
  </si>
  <si>
    <t>hiro</t>
  </si>
  <si>
    <t>Shino10☆</t>
  </si>
  <si>
    <t>おうすけ</t>
  </si>
  <si>
    <t>ryu☆</t>
  </si>
  <si>
    <t>ナガネギマン</t>
  </si>
  <si>
    <t>てん</t>
  </si>
  <si>
    <t>あいな</t>
  </si>
  <si>
    <t>うさぎの家</t>
  </si>
  <si>
    <t>Taa369</t>
  </si>
  <si>
    <t>caf</t>
  </si>
  <si>
    <t>クロ</t>
  </si>
  <si>
    <t>はるもも</t>
  </si>
  <si>
    <t>banko</t>
  </si>
  <si>
    <t>mrkまりこ</t>
  </si>
  <si>
    <t>yuagari</t>
  </si>
  <si>
    <t>のあん</t>
  </si>
  <si>
    <t>ミィ</t>
  </si>
  <si>
    <t>momoyu</t>
  </si>
  <si>
    <t>LEMON</t>
  </si>
  <si>
    <t>コシ 優 子</t>
  </si>
  <si>
    <t>bump⭐︎</t>
  </si>
  <si>
    <t>onyanco</t>
  </si>
  <si>
    <t>多肉POWER</t>
  </si>
  <si>
    <t>Sanbo</t>
  </si>
  <si>
    <t>SY多肉</t>
  </si>
  <si>
    <t>nils☆</t>
  </si>
  <si>
    <t>多肉屋たにゆ</t>
  </si>
  <si>
    <t>ポポ　少しずつ出品していきます♡</t>
  </si>
  <si>
    <t>さきゅまる〜こぴとSHOP</t>
  </si>
  <si>
    <t>saa</t>
  </si>
  <si>
    <t>ちか(*´꒳`*)</t>
  </si>
  <si>
    <t>みぃ</t>
  </si>
  <si>
    <t>ロミ</t>
  </si>
  <si>
    <t>さすきち</t>
  </si>
  <si>
    <t>クマさん❤</t>
  </si>
  <si>
    <t>akiii</t>
  </si>
  <si>
    <t>まいまい</t>
  </si>
  <si>
    <t>tabomi</t>
  </si>
  <si>
    <t>ふー！</t>
  </si>
  <si>
    <t>すもものはな(ポット毎発送)</t>
  </si>
  <si>
    <t>.</t>
  </si>
  <si>
    <t>全体印刷は問題なす</t>
  </si>
  <si>
    <t>第四種郵便
多肉植物在中</t>
  </si>
  <si>
    <t>1/3印刷は、ページ99x210mm 余白上下左右0.6 ヘッダーフッター0</t>
  </si>
  <si>
    <t>PDFにせずに、たこすけPCで印刷でOK</t>
  </si>
  <si>
    <t>様</t>
  </si>
  <si>
    <t>〒036-8095</t>
  </si>
  <si>
    <t xml:space="preserve"> 青森県弘前市城東4-4-7 新岡アパート1号</t>
  </si>
  <si>
    <t xml:space="preserve"> 新岡 貴之</t>
  </si>
  <si>
    <t>Gure</t>
  </si>
  <si>
    <t>メルカリ用の設定ファイルです。雛形は5つ準備しました。</t>
    <rPh sb="6" eb="8">
      <t>セッテイ</t>
    </rPh>
    <phoneticPr fontId="59"/>
  </si>
  <si>
    <t>x</t>
    <phoneticPr fontId="59"/>
  </si>
  <si>
    <t>y</t>
    <phoneticPr fontId="59"/>
  </si>
  <si>
    <t>size</t>
    <phoneticPr fontId="59"/>
  </si>
  <si>
    <t>color</t>
    <phoneticPr fontId="59"/>
  </si>
  <si>
    <t>clock</t>
    <phoneticPr fontId="59"/>
  </si>
  <si>
    <t>255,255,0</t>
  </si>
  <si>
    <t>3枚目</t>
    <rPh sb="1" eb="3">
      <t>マイメ</t>
    </rPh>
    <phoneticPr fontId="59"/>
  </si>
  <si>
    <t>4枚目</t>
    <rPh sb="1" eb="3">
      <t>マイメ</t>
    </rPh>
    <phoneticPr fontId="59"/>
  </si>
  <si>
    <t>5枚目</t>
    <rPh sb="1" eb="3">
      <t>マイメ</t>
    </rPh>
    <phoneticPr fontId="59"/>
  </si>
  <si>
    <t>6枚目</t>
    <rPh sb="1" eb="3">
      <t>マイメ</t>
    </rPh>
    <phoneticPr fontId="59"/>
  </si>
  <si>
    <t>7枚目</t>
    <rPh sb="1" eb="3">
      <t>マイメ</t>
    </rPh>
    <phoneticPr fontId="59"/>
  </si>
  <si>
    <t>8枚目</t>
    <rPh sb="1" eb="3">
      <t>マイメ</t>
    </rPh>
    <phoneticPr fontId="59"/>
  </si>
  <si>
    <t>9枚目</t>
    <rPh sb="1" eb="3">
      <t>マイメ</t>
    </rPh>
    <phoneticPr fontId="59"/>
  </si>
  <si>
    <t>Name</t>
    <phoneticPr fontId="59"/>
  </si>
  <si>
    <t>python "スクリプトのパス" "ルートパス" "フォルダ名" 'JSON文字列'</t>
    <phoneticPr fontId="59"/>
  </si>
  <si>
    <t># 構造</t>
    <phoneticPr fontId="59"/>
  </si>
  <si>
    <t>件名2</t>
    <phoneticPr fontId="59"/>
  </si>
  <si>
    <t>件名3</t>
    <phoneticPr fontId="59"/>
  </si>
  <si>
    <t>件名4</t>
    <phoneticPr fontId="59"/>
  </si>
  <si>
    <t>件名5</t>
    <phoneticPr fontId="59"/>
  </si>
  <si>
    <t>1. 購入者リストの6行目に新規出品を追加して下さい。
    出品日、出品品目を入力。リストに生成されたS/Nを入力。</t>
    <rPh sb="3" eb="6">
      <t>コウニュウシャ</t>
    </rPh>
    <rPh sb="11" eb="13">
      <t>ギョウメ</t>
    </rPh>
    <rPh sb="14" eb="16">
      <t>シンキ</t>
    </rPh>
    <rPh sb="16" eb="18">
      <t>シュッピン</t>
    </rPh>
    <rPh sb="19" eb="21">
      <t>ツイカ</t>
    </rPh>
    <rPh sb="23" eb="24">
      <t>クダ</t>
    </rPh>
    <rPh sb="32" eb="35">
      <t>シュッピンビ</t>
    </rPh>
    <rPh sb="36" eb="40">
      <t>シュッピンヒンモク</t>
    </rPh>
    <rPh sb="41" eb="43">
      <t>ニュウリョク</t>
    </rPh>
    <rPh sb="48" eb="50">
      <t>セイセイ</t>
    </rPh>
    <rPh sb="57" eb="59">
      <t>ニュウリョク</t>
    </rPh>
    <phoneticPr fontId="59"/>
  </si>
  <si>
    <t>2. ブランド、主役、その他、AB、札、公開、本文、
   フォルダ名は自動で生成されます。
   配置位置F13～18を時計の針の位置で入力。</t>
    <rPh sb="8" eb="10">
      <t>シュヤク</t>
    </rPh>
    <rPh sb="13" eb="14">
      <t>タ</t>
    </rPh>
    <rPh sb="18" eb="19">
      <t>フダ</t>
    </rPh>
    <rPh sb="20" eb="22">
      <t>コウカイ</t>
    </rPh>
    <rPh sb="23" eb="25">
      <t>ホンブン</t>
    </rPh>
    <rPh sb="34" eb="35">
      <t>メイ</t>
    </rPh>
    <rPh sb="36" eb="38">
      <t>ジドウ</t>
    </rPh>
    <rPh sb="39" eb="41">
      <t>セイセイ</t>
    </rPh>
    <rPh sb="50" eb="54">
      <t>ハイチイチ</t>
    </rPh>
    <rPh sb="61" eb="63">
      <t>トケイ</t>
    </rPh>
    <rPh sb="64" eb="65">
      <t>ハリ</t>
    </rPh>
    <rPh sb="66" eb="68">
      <t>イチ</t>
    </rPh>
    <rPh sb="69" eb="71">
      <t>ニュウリョク</t>
    </rPh>
    <phoneticPr fontId="59"/>
  </si>
  <si>
    <t>3.フォルダ作成ボタンを押します。
   フォルダ、Original、説明文がGに自動で生成されます。
   WPSではマクロが動かないので手動で作成してね</t>
    <rPh sb="64" eb="65">
      <t>ウゴ</t>
    </rPh>
    <rPh sb="70" eb="72">
      <t>シュドウ</t>
    </rPh>
    <rPh sb="73" eb="75">
      <t>サクセイ</t>
    </rPh>
    <phoneticPr fontId="59"/>
  </si>
  <si>
    <t>改行位置</t>
    <rPh sb="0" eb="4">
      <t>カイギョウイチ</t>
    </rPh>
    <phoneticPr fontId="59"/>
  </si>
  <si>
    <t>改行位置</t>
    <phoneticPr fontId="59"/>
  </si>
  <si>
    <t>4.設定ファイルシートの設定を調整します。
   画像処理ボタンを押せば自動で画像を作成します。</t>
    <rPh sb="2" eb="4">
      <t>セッテイ</t>
    </rPh>
    <rPh sb="12" eb="14">
      <t>セッテイ</t>
    </rPh>
    <rPh sb="15" eb="17">
      <t>チョウセイ</t>
    </rPh>
    <rPh sb="25" eb="29">
      <t>ガゾウショリ</t>
    </rPh>
    <rPh sb="33" eb="34">
      <t>オ</t>
    </rPh>
    <rPh sb="36" eb="38">
      <t>ジドウ</t>
    </rPh>
    <rPh sb="39" eb="41">
      <t>ガゾウ</t>
    </rPh>
    <rPh sb="42" eb="44">
      <t>サクセイ</t>
    </rPh>
    <phoneticPr fontId="59"/>
  </si>
  <si>
    <t>5.WPSでは、C4の内容をconfig.jsonへ転記する。
   C23の内容をPower Shellで実行。</t>
    <rPh sb="11" eb="13">
      <t>ナイヨウ</t>
    </rPh>
    <rPh sb="26" eb="28">
      <t>テンキ</t>
    </rPh>
    <rPh sb="39" eb="41">
      <t>ナイヨウ</t>
    </rPh>
    <rPh sb="54" eb="56">
      <t>ジッコウ</t>
    </rPh>
    <phoneticPr fontId="59"/>
  </si>
  <si>
    <t>ゆきんこ</t>
  </si>
  <si>
    <t>みちょ</t>
  </si>
  <si>
    <t>こめ</t>
  </si>
  <si>
    <t>mikumika</t>
  </si>
  <si>
    <t>沖縄</t>
  </si>
  <si>
    <t>とっと</t>
  </si>
  <si>
    <t>mamam*</t>
  </si>
  <si>
    <t>みーち</t>
  </si>
  <si>
    <t>クロタネ草</t>
  </si>
  <si>
    <t>ぽーいち</t>
  </si>
  <si>
    <t>emon</t>
  </si>
  <si>
    <t>ひろきん 値下げ可能です</t>
  </si>
  <si>
    <t>きき</t>
  </si>
  <si>
    <t>ゆぅ</t>
  </si>
  <si>
    <t>kusukusu</t>
  </si>
  <si>
    <t>tokotokoプロフ必読</t>
  </si>
  <si>
    <t>シズカ</t>
  </si>
  <si>
    <t>crea*</t>
  </si>
  <si>
    <t>Belle</t>
  </si>
  <si>
    <t>たにくマル</t>
  </si>
  <si>
    <t>たーこ</t>
  </si>
  <si>
    <t>たまりん☆</t>
  </si>
  <si>
    <t>むぎむぎ</t>
  </si>
  <si>
    <t>出品</t>
  </si>
  <si>
    <t>きらりん☆彡</t>
  </si>
  <si>
    <t>sora☆</t>
  </si>
  <si>
    <t>Rumi</t>
  </si>
  <si>
    <t>よー☆彡</t>
  </si>
  <si>
    <t>Min-Min</t>
  </si>
  <si>
    <t>戦姫</t>
  </si>
  <si>
    <t>bobo</t>
  </si>
  <si>
    <t>ゆきち</t>
  </si>
  <si>
    <t>えるる</t>
  </si>
  <si>
    <t>ピーマン</t>
  </si>
  <si>
    <t>おーちゃん</t>
  </si>
  <si>
    <t>京Succulent</t>
  </si>
  <si>
    <t>くみくみ</t>
  </si>
  <si>
    <t>YURI☆</t>
  </si>
  <si>
    <t>しるば</t>
  </si>
  <si>
    <t>みゅう☆プロフ確認(*ˊᵕˋ*)੭ ੈ❤</t>
  </si>
  <si>
    <t>※ミックスベリア</t>
  </si>
  <si>
    <t>※ラブリーローズ</t>
  </si>
  <si>
    <t>※青札</t>
  </si>
  <si>
    <t>※モンロー</t>
  </si>
  <si>
    <t>※斑入りグリネ</t>
  </si>
  <si>
    <t>S/N</t>
  </si>
  <si>
    <t>出品日</t>
  </si>
  <si>
    <t>芍薬牡丹 ちょこん ももりん ミックスベリア 抜き苗 7種セット 多肉植物</t>
  </si>
  <si>
    <t>受け取りました。ありがとうございました。お心遣いも感謝です。2026/03/04 21:32</t>
  </si>
  <si>
    <t>ブルーバニラ ちょこん ももりん ミックスベリア 抜き苗 7種セット 多肉植物</t>
  </si>
  <si>
    <t>村上 佳奈</t>
  </si>
  <si>
    <t>475-0914</t>
  </si>
  <si>
    <t>愛知県 半田市土井山町 1-206-15</t>
  </si>
  <si>
    <t>無事に届きました^_^とても綺麗な苗をありがとうございました！2026/03/03 20:50</t>
  </si>
  <si>
    <t>スノーミルフィーユ ちょこん ももりん ミックスベリア 抜き苗 7種セット 多肉</t>
  </si>
  <si>
    <t>柴崎 夢香</t>
  </si>
  <si>
    <t>343-0856</t>
  </si>
  <si>
    <t>埼玉県 越谷市 谷中町4-65-14</t>
  </si>
  <si>
    <t>受け取りました(*^^*)お心遣いもありがとうございました！またご縁がありましたらどうぞよろしくお願いします(*´︶`*)♡Thanks!2026/03/04 12:36</t>
  </si>
  <si>
    <t>はじまりの花 ちょこん ももりん ミックスベリア 抜き苗 7種セット 多肉植物</t>
  </si>
  <si>
    <t>この度もお取引ありがとうございました！大切に育てます(*´▽`*)またご縁がありましたらよろしくお願いいたします⟡.·*.2026/03/03 19:26</t>
  </si>
  <si>
    <t>紫紺の矢 ちょこん ももりん ミックスベリア 抜き苗 7種セット 多肉植物</t>
  </si>
  <si>
    <t>石井 誓子</t>
  </si>
  <si>
    <t>720-2417</t>
  </si>
  <si>
    <t>広島県 福山市 加茂町芦原489-16</t>
  </si>
  <si>
    <t>綺麗な苗が届きました(*^^*)大切に育てます。2026/03/03 17:54</t>
  </si>
  <si>
    <t>無事に届きました^_^ 丁寧な梱包に可愛い苗をありがとうございました。また機会がありましたらよろしくお願いします(*^^*)2026/02/05 17:44</t>
  </si>
  <si>
    <t>こちらもありがとうございました。大切に育てます！2026/02/04 23:10</t>
  </si>
  <si>
    <t>むっちり、どっしりの素晴らしい多肉セットでした。可愛いさ保てるよう頑張って育てます。またご縁がありましたら、是非よろしくお願いしますm(__)m2026/02/04 23:10</t>
  </si>
  <si>
    <t>本日無事に到着しました。立派な可愛い苗をありがとうございます！大事に育てます。2026/02/04 18:33</t>
  </si>
  <si>
    <t>先ほど無事受け取りました。丁寧な梱包ありがとうございます。とても立派な苗で嬉しいです！お心遣いにも感謝します♪ また機会がありましたらよろしくお願いします。2026/02/04 14:46</t>
  </si>
  <si>
    <t>多肉 ミックスベリア ぺったん 抜き苗 7種セット</t>
  </si>
  <si>
    <t>無事に届きましたありがとうございます(⋆ᴗ͈ˬᴗ͈)”
2025/12/04 16:34</t>
  </si>
  <si>
    <t>多肉 ミックスベリア 桜鬼 抜き苗 7種セット</t>
  </si>
  <si>
    <t>多肉 ミックスベリア スノーミルフィーユ 抜き苗 7種セット B</t>
  </si>
  <si>
    <t>多肉 ミックスベリア スノーミルフィーユ 抜き苗 7種セット A</t>
  </si>
  <si>
    <t>多肉 ミックスベリア 黒銀姫 抜き苗 7種セット</t>
  </si>
  <si>
    <t>多肉 ちょこん入り 7種セット E 抜き苗</t>
  </si>
  <si>
    <t>この度はとても綺麗な子をありがとうございます(⋆ᴗ͈ˬᴗ͈)”大事に育てます♡
2025/11/13 11:17</t>
  </si>
  <si>
    <t>多肉 ミックスベリア ちょこん 抜き苗 7種セット D</t>
  </si>
  <si>
    <t>多肉 ちょこん入り 7種セット C 抜き苗</t>
  </si>
  <si>
    <t>多肉 ミックスベリア ちょこん入り 7種セット B 抜き苗</t>
  </si>
  <si>
    <t>プリっプリのタニクが到着致しました❣️ありがとうございました٩(๑❛ᴗ❛๑)۶
2025/11/15 08:24</t>
  </si>
  <si>
    <t>本日無事に到着しました。
いつも丁寧に梱包していただきありがとうございます。
大事に育てます。⁠◕⁠‿⁠◕⁠。
2025/11/13 16:30</t>
  </si>
  <si>
    <t>とても綺麗な梱包と苗で宝箱のようでした(*´▽`*)
お取引ありがとうございました！
またご縁がありましたらよろしくお願いいたします(⋆ᴗ͈ˬᴗ͈)”
2025/10/30 15:24</t>
  </si>
  <si>
    <t>無事受け取りました( ⸝⸝•ᴗ•⸝⸝ )
とても可愛くて元気な多肉たちでした！
丁寧なご対応ありがとうございました。
またご縁がありましたらよろしくお願いします！
2025/10/23 21:28</t>
  </si>
  <si>
    <t>本日無事に到着しました！
キレイな苗を出品していただきありがとうございます。
４ヶ月程前に譲っていただいた苗ともども大事に育てます。⁠◕⁠‿⁠◕⁠。
2025/09/11 18:50</t>
  </si>
  <si>
    <t>本日、商品無事に届きました。
とても可愛い子達で大満足です(˶' ᵕ ' ˶)
オマケも付けて頂きありがとうございました。
また機会がありましたらよろしくお願い致します。
大切に育てます♪
2025/06/05 17:14</t>
  </si>
  <si>
    <t>こんばんわ(ᐢ. .ᐢ)"
本日届きました♡
スムーズ・迅速・めっちゃ綺麗梱包◎＋
可愛いおまけ嬉しい☺️
大事に育てますねᐠ( ᐢᐤᐢ )ᐟ
また次回もよろしくお願いします
ありがとうございました*.(๓´͈ ˘ `͈๓).*
2025/06/05 20:33</t>
  </si>
  <si>
    <t>本日無事に到着しました！
ずっしりとした可愛い苗をありがとうございます。
大事に育てます(⁠ノ⁠◕⁠ヮ⁠◕⁠)⁠ノ⁠*⁠.⁠✧
2025/06/05 19:25</t>
  </si>
  <si>
    <t>ありがとうございました(⋆ᴗ͈ˬᴗ͈)”
丁寧な梱包、とても可愛い子達で
お迎え出来て光栄です(*ˊ˘ˋ*)
またご縁ありましたら
宜しくお願いいたしますꕤ︎︎
2025/03/06 16:51</t>
  </si>
  <si>
    <t>無事受け取りました( ⸝⸝•ᴗ•⸝⸝ )
丁寧な対応ありがとうございました！
また機会がありましたらよろしくお願いします！
2024/11/14 22:38</t>
  </si>
  <si>
    <t>本日無事に届きました。
コロンコロンで可愛い子をお譲り頂きありがとうございました。またのご縁がありましたらよろしくお願い致します(⁎ᴗ͈ˬᴗ͈⁎)
2024/11/01 23:35</t>
  </si>
  <si>
    <t>計上金額</t>
  </si>
  <si>
    <t>計上不可？</t>
  </si>
  <si>
    <t>プレステラ90</t>
  </si>
  <si>
    <t/>
  </si>
  <si>
    <t>プレステラ105</t>
  </si>
  <si>
    <t>20.00L</t>
  </si>
  <si>
    <t>文房具</t>
  </si>
  <si>
    <t>ミニテープカッター</t>
  </si>
  <si>
    <t>アルカリ電池 単4</t>
  </si>
  <si>
    <t>リチウムコイン型電池 CR2032</t>
  </si>
  <si>
    <t>ハンディクリーナー用フィルター 3個セット</t>
  </si>
  <si>
    <t>ポッド</t>
  </si>
  <si>
    <t>まな板</t>
  </si>
  <si>
    <t>桐まな板</t>
  </si>
  <si>
    <t>20.01L</t>
  </si>
  <si>
    <t>ダニよけアルミ保温シート</t>
  </si>
  <si>
    <t>根はりポッド9型ホワイト</t>
  </si>
  <si>
    <t>釘しめ 3MM</t>
  </si>
  <si>
    <t>多肉苗 9cm(レインドロップス、メンサ)</t>
  </si>
  <si>
    <t>園芸ラベル5x1cm 200枚</t>
  </si>
  <si>
    <t>071 苔生す</t>
  </si>
  <si>
    <t>メンサ</t>
  </si>
  <si>
    <t>ラウレンシス</t>
  </si>
  <si>
    <t>レインドロップス</t>
  </si>
  <si>
    <t>21.00L</t>
    <phoneticPr fontId="59"/>
  </si>
  <si>
    <t>Seria</t>
    <phoneticPr fontId="59"/>
  </si>
  <si>
    <t>鉢</t>
    <phoneticPr fontId="59"/>
  </si>
  <si>
    <t>盆栽鉢 角型 19cm</t>
    <rPh sb="0" eb="3">
      <t>ボンサイバチ</t>
    </rPh>
    <rPh sb="4" eb="6">
      <t>カクガタ</t>
    </rPh>
    <phoneticPr fontId="59"/>
  </si>
  <si>
    <t>箸</t>
    <rPh sb="0" eb="1">
      <t>ハシ</t>
    </rPh>
    <phoneticPr fontId="59"/>
  </si>
  <si>
    <t>割りばし</t>
    <rPh sb="0" eb="1">
      <t>ワ</t>
    </rPh>
    <phoneticPr fontId="59"/>
  </si>
  <si>
    <t>まな板</t>
    <phoneticPr fontId="59"/>
  </si>
  <si>
    <t>フチ付き抗菌まな板</t>
    <rPh sb="2" eb="3">
      <t>ツ</t>
    </rPh>
    <rPh sb="4" eb="6">
      <t>コウキン</t>
    </rPh>
    <rPh sb="8" eb="9">
      <t>イタ</t>
    </rPh>
    <phoneticPr fontId="59"/>
  </si>
  <si>
    <t>クッション</t>
    <phoneticPr fontId="59"/>
  </si>
  <si>
    <t>クッションマット ブラウン</t>
    <phoneticPr fontId="59"/>
  </si>
  <si>
    <t>くらしリズム 土 14L</t>
    <rPh sb="7" eb="8">
      <t>ツチ</t>
    </rPh>
    <phoneticPr fontId="59"/>
  </si>
  <si>
    <t>ツルハ</t>
    <phoneticPr fontId="59"/>
  </si>
  <si>
    <t>アース虫よけネット 260日 2個</t>
    <rPh sb="13" eb="14">
      <t>ニチ</t>
    </rPh>
    <rPh sb="16" eb="17">
      <t>コ</t>
    </rPh>
    <phoneticPr fontId="59"/>
  </si>
  <si>
    <t>x3</t>
    <phoneticPr fontId="59"/>
  </si>
  <si>
    <t>サンデー</t>
    <phoneticPr fontId="59"/>
  </si>
  <si>
    <t>x10</t>
    <phoneticPr fontId="59"/>
  </si>
  <si>
    <t>根っこつよし(白)</t>
    <rPh sb="0" eb="1">
      <t>ネ</t>
    </rPh>
    <rPh sb="7" eb="8">
      <t>シロ</t>
    </rPh>
    <phoneticPr fontId="59"/>
  </si>
  <si>
    <t>根っこつよし(緑)</t>
    <rPh sb="0" eb="1">
      <t>ネ</t>
    </rPh>
    <rPh sb="7" eb="8">
      <t>ミドリ</t>
    </rPh>
    <phoneticPr fontId="59"/>
  </si>
  <si>
    <t>マウス</t>
    <phoneticPr fontId="59"/>
  </si>
  <si>
    <t>WD-BLUELE</t>
    <phoneticPr fontId="59"/>
  </si>
  <si>
    <t>ヤマダ電機</t>
    <rPh sb="3" eb="5">
      <t>デンキ</t>
    </rPh>
    <phoneticPr fontId="59"/>
  </si>
  <si>
    <t>Daiso</t>
    <phoneticPr fontId="59"/>
  </si>
  <si>
    <t>マスク</t>
    <phoneticPr fontId="59"/>
  </si>
  <si>
    <t>不織布マスク</t>
    <phoneticPr fontId="59"/>
  </si>
  <si>
    <t>x2</t>
    <phoneticPr fontId="59"/>
  </si>
  <si>
    <t>ヘアゴム</t>
    <phoneticPr fontId="59"/>
  </si>
  <si>
    <t>ロングヘアゴム</t>
    <phoneticPr fontId="59"/>
  </si>
  <si>
    <t>DCM</t>
    <phoneticPr fontId="59"/>
  </si>
  <si>
    <t>DCM かるい培養土 25L</t>
    <rPh sb="7" eb="10">
      <t>バイヨウド</t>
    </rPh>
    <phoneticPr fontId="59"/>
  </si>
  <si>
    <t>焼成硬質赤玉小粒14L</t>
    <rPh sb="0" eb="2">
      <t>ショウセイ</t>
    </rPh>
    <rPh sb="2" eb="4">
      <t>コウシツ</t>
    </rPh>
    <rPh sb="4" eb="6">
      <t>アカダマ</t>
    </rPh>
    <rPh sb="6" eb="8">
      <t>コツブ</t>
    </rPh>
    <phoneticPr fontId="59"/>
  </si>
  <si>
    <t>テープ</t>
    <phoneticPr fontId="59"/>
  </si>
  <si>
    <t>建築塗装用マスキングテープS</t>
    <rPh sb="0" eb="5">
      <t>ケンチクトソウヨウ</t>
    </rPh>
    <phoneticPr fontId="59"/>
  </si>
  <si>
    <t>焼軽石 小粒 10L</t>
    <rPh sb="0" eb="1">
      <t>ヤ</t>
    </rPh>
    <rPh sb="1" eb="3">
      <t>カルイシ</t>
    </rPh>
    <rPh sb="4" eb="6">
      <t>コツブ</t>
    </rPh>
    <phoneticPr fontId="59"/>
  </si>
  <si>
    <t>防水スプレー</t>
    <rPh sb="0" eb="2">
      <t>ボウスイ</t>
    </rPh>
    <phoneticPr fontId="59"/>
  </si>
  <si>
    <t>LOCTITE 超強力防水スプレー</t>
    <rPh sb="8" eb="11">
      <t>チョウキョウリョク</t>
    </rPh>
    <rPh sb="11" eb="13">
      <t>ボウスイ</t>
    </rPh>
    <phoneticPr fontId="59"/>
  </si>
  <si>
    <t>接着剤</t>
    <rPh sb="0" eb="3">
      <t>セッチャクザイ</t>
    </rPh>
    <phoneticPr fontId="59"/>
  </si>
  <si>
    <t>LOCTITE ノーモアネイル屋外用</t>
    <rPh sb="15" eb="17">
      <t>オクガイ</t>
    </rPh>
    <rPh sb="17" eb="18">
      <t>ヨウ</t>
    </rPh>
    <phoneticPr fontId="59"/>
  </si>
  <si>
    <t>シーリングライト</t>
    <phoneticPr fontId="59"/>
  </si>
  <si>
    <t>アイリスオオヤマ LEDシーリングライト</t>
    <phoneticPr fontId="59"/>
  </si>
  <si>
    <t>アイプレート</t>
    <phoneticPr fontId="59"/>
  </si>
  <si>
    <t>アイプレート 8mmx4</t>
    <phoneticPr fontId="59"/>
  </si>
  <si>
    <t># フォルダ作成</t>
  </si>
  <si>
    <t>config.json</t>
    <phoneticPr fontId="59"/>
  </si>
  <si>
    <t># 画像作成</t>
  </si>
  <si>
    <t>073 ホットワイン</t>
    <phoneticPr fontId="5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</si>
</sst>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0.00_ "/>
    <numFmt numFmtId="177" formatCode="0.0_ "/>
    <numFmt numFmtId="178" formatCode="yyyy/m/d\(aaa\)"/>
    <numFmt numFmtId="179" formatCode="0_ "/>
    <numFmt numFmtId="180" formatCode="General&quot; g&quot;"/>
    <numFmt numFmtId="181" formatCode="yy/mm/dd;@"/>
    <numFmt numFmtId="182" formatCode="yyyy/m/d;@"/>
    <numFmt numFmtId="183" formatCode="m&quot;/&quot;d\(aaa\)"/>
    <numFmt numFmtId="184" formatCode="m/d;@"/>
  </numFmts>
  <fonts count="68">
    <font>
      <sz val="10"/>
      <color theme="1"/>
      <name val="Arial"/>
      <charset val="128"/>
    </font>
    <font>
      <sz val="12"/>
      <color theme="1"/>
      <name val="Meiryo UI"/>
      <family val="3"/>
      <charset val="128"/>
    </font>
    <font>
      <sz val="20"/>
      <color theme="1"/>
      <name val="Arial"/>
      <family val="2"/>
    </font>
    <font>
      <b/>
      <sz val="16"/>
      <color rgb="FFFF0000"/>
      <name val="Arial"/>
      <family val="2"/>
    </font>
    <font>
      <sz val="18"/>
      <name val="Arial"/>
      <family val="2"/>
    </font>
    <font>
      <sz val="20"/>
      <color theme="1"/>
      <name val="Meiryo UI"/>
      <family val="3"/>
      <charset val="128"/>
    </font>
    <font>
      <sz val="28"/>
      <color theme="1"/>
      <name val="Arial"/>
      <family val="2"/>
    </font>
    <font>
      <sz val="14"/>
      <color theme="1"/>
      <name val="Meiryo UI"/>
      <family val="3"/>
      <charset val="128"/>
    </font>
    <font>
      <b/>
      <sz val="16"/>
      <color theme="1"/>
      <name val="Arial"/>
      <family val="2"/>
    </font>
    <font>
      <sz val="24"/>
      <color theme="1"/>
      <name val="ＭＳ Ｐゴシック"/>
      <family val="3"/>
      <charset val="128"/>
    </font>
    <font>
      <sz val="24"/>
      <color theme="1"/>
      <name val="Arial"/>
      <family val="2"/>
    </font>
    <font>
      <sz val="13"/>
      <color theme="1"/>
      <name val="Meiryo UI"/>
      <family val="3"/>
      <charset val="128"/>
    </font>
    <font>
      <sz val="14"/>
      <color rgb="FFFF0000"/>
      <name val="Meiryo UI"/>
      <family val="3"/>
      <charset val="128"/>
    </font>
    <font>
      <b/>
      <sz val="20"/>
      <color theme="1"/>
      <name val="ＭＳ Ｐゴシック"/>
      <family val="3"/>
      <charset val="128"/>
    </font>
    <font>
      <b/>
      <sz val="20"/>
      <color theme="1"/>
      <name val="Arial"/>
      <family val="2"/>
    </font>
    <font>
      <sz val="48"/>
      <color theme="1"/>
      <name val="Arial"/>
      <family val="2"/>
    </font>
    <font>
      <sz val="18"/>
      <color theme="1"/>
      <name val="Meiryo UI"/>
      <family val="3"/>
      <charset val="128"/>
    </font>
    <font>
      <sz val="11"/>
      <color theme="0" tint="-0.249977111117893"/>
      <name val="Meiryo UI"/>
      <family val="3"/>
      <charset val="128"/>
    </font>
    <font>
      <sz val="11"/>
      <name val="Meiryo UI"/>
      <family val="3"/>
      <charset val="128"/>
    </font>
    <font>
      <u/>
      <sz val="10"/>
      <color theme="6" tint="-0.249977111117893"/>
      <name val="Meiryo UI"/>
      <family val="3"/>
      <charset val="128"/>
    </font>
    <font>
      <sz val="10"/>
      <color theme="1"/>
      <name val="Meiryo UI"/>
      <family val="3"/>
      <charset val="128"/>
    </font>
    <font>
      <u/>
      <sz val="10"/>
      <color theme="10"/>
      <name val="Meiryo UI"/>
      <family val="3"/>
      <charset val="128"/>
    </font>
    <font>
      <sz val="10"/>
      <color theme="6" tint="-0.249977111117893"/>
      <name val="Meiryo UI"/>
      <family val="3"/>
      <charset val="128"/>
    </font>
    <font>
      <sz val="11"/>
      <name val="ＭＳ Ｐゴシック"/>
      <family val="3"/>
      <charset val="128"/>
    </font>
    <font>
      <sz val="11"/>
      <color theme="0"/>
      <name val="Meiryo UI"/>
      <family val="3"/>
      <charset val="128"/>
    </font>
    <font>
      <b/>
      <sz val="11"/>
      <name val="Meiryo UI"/>
      <family val="3"/>
      <charset val="128"/>
    </font>
    <font>
      <b/>
      <sz val="11"/>
      <color rgb="FFFF0000"/>
      <name val="Meiryo UI"/>
      <family val="3"/>
      <charset val="128"/>
    </font>
    <font>
      <b/>
      <sz val="11"/>
      <color rgb="FF0000FF"/>
      <name val="Meiryo UI"/>
      <family val="3"/>
      <charset val="128"/>
    </font>
    <font>
      <sz val="10"/>
      <color theme="0" tint="-0.249977111117893"/>
      <name val="Arial"/>
      <family val="2"/>
    </font>
    <font>
      <sz val="10"/>
      <color theme="0" tint="-0.249977111117893"/>
      <name val="Meiryo UI"/>
      <family val="3"/>
      <charset val="128"/>
    </font>
    <font>
      <sz val="10"/>
      <name val="Meiryo UI"/>
      <family val="3"/>
      <charset val="128"/>
    </font>
    <font>
      <u/>
      <sz val="10"/>
      <color theme="8" tint="-0.249977111117893"/>
      <name val="Meiryo UI"/>
      <family val="3"/>
      <charset val="128"/>
    </font>
    <font>
      <sz val="11"/>
      <color theme="0"/>
      <name val="ＭＳ Ｐゴシック"/>
      <family val="3"/>
      <charset val="128"/>
    </font>
    <font>
      <sz val="11"/>
      <color theme="0"/>
      <name val="Meiryo UI"/>
      <family val="3"/>
      <charset val="128"/>
    </font>
    <font>
      <b/>
      <sz val="12"/>
      <name val="Meiryo UI"/>
      <family val="3"/>
      <charset val="128"/>
    </font>
    <font>
      <b/>
      <sz val="12"/>
      <name val="Meiryo UI"/>
      <family val="3"/>
      <charset val="128"/>
    </font>
    <font>
      <sz val="11"/>
      <name val="Meiryo UI"/>
      <family val="3"/>
      <charset val="128"/>
    </font>
    <font>
      <sz val="8"/>
      <color theme="0" tint="-0.249977111117893"/>
      <name val="Meiryo UI"/>
      <family val="3"/>
      <charset val="128"/>
    </font>
    <font>
      <sz val="5"/>
      <name val="Meiryo UI"/>
      <family val="3"/>
      <charset val="128"/>
    </font>
    <font>
      <sz val="10"/>
      <name val="Arial"/>
      <family val="2"/>
    </font>
    <font>
      <sz val="10"/>
      <color theme="0"/>
      <name val="Meiryo UI"/>
      <family val="3"/>
      <charset val="128"/>
    </font>
    <font>
      <b/>
      <sz val="12"/>
      <color theme="9" tint="-0.249977111117893"/>
      <name val="Meiryo UI"/>
      <family val="3"/>
      <charset val="128"/>
    </font>
    <font>
      <b/>
      <sz val="12"/>
      <color theme="8" tint="-0.249977111117893"/>
      <name val="Meiryo UI"/>
      <family val="3"/>
      <charset val="128"/>
    </font>
    <font>
      <b/>
      <sz val="12"/>
      <color theme="7" tint="-0.249977111117893"/>
      <name val="Meiryo UI"/>
      <family val="3"/>
      <charset val="128"/>
    </font>
    <font>
      <sz val="10"/>
      <color rgb="FFFF0000"/>
      <name val="Meiryo UI"/>
      <family val="3"/>
      <charset val="128"/>
    </font>
    <font>
      <b/>
      <sz val="12"/>
      <color theme="5" tint="-0.249977111117893"/>
      <name val="Meiryo UI"/>
      <family val="3"/>
      <charset val="128"/>
    </font>
    <font>
      <b/>
      <sz val="12"/>
      <color rgb="FFFF00FF"/>
      <name val="Meiryo UI"/>
      <family val="3"/>
      <charset val="128"/>
    </font>
    <font>
      <sz val="12"/>
      <color theme="9" tint="-0.249977111117893"/>
      <name val="Meiryo UI"/>
      <family val="3"/>
      <charset val="128"/>
    </font>
    <font>
      <sz val="10"/>
      <color rgb="FF333333"/>
      <name val="Meiryo UI"/>
      <family val="3"/>
      <charset val="128"/>
    </font>
    <font>
      <b/>
      <sz val="10"/>
      <color rgb="FFFF0000"/>
      <name val="Meiryo UI"/>
      <family val="3"/>
      <charset val="128"/>
    </font>
    <font>
      <sz val="10"/>
      <color theme="1"/>
      <name val="Arial"/>
      <family val="2"/>
    </font>
    <font>
      <u/>
      <sz val="10"/>
      <color rgb="FF800080"/>
      <name val="Meiryo UI"/>
      <family val="3"/>
      <charset val="128"/>
    </font>
    <font>
      <b/>
      <sz val="10"/>
      <color theme="1"/>
      <name val="Meiryo UI"/>
      <family val="3"/>
      <charset val="128"/>
    </font>
    <font>
      <sz val="10"/>
      <color rgb="FF44B3E1"/>
      <name val="Meiryo UI"/>
      <family val="3"/>
      <charset val="128"/>
    </font>
    <font>
      <u/>
      <sz val="10"/>
      <color theme="10"/>
      <name val="Arial"/>
      <family val="2"/>
    </font>
    <font>
      <b/>
      <sz val="12"/>
      <color theme="2" tint="-0.499984740745262"/>
      <name val="Meiryo UI"/>
      <family val="3"/>
      <charset val="128"/>
    </font>
    <font>
      <u/>
      <sz val="11"/>
      <color theme="10"/>
      <name val="ＭＳ Ｐゴシック"/>
      <family val="3"/>
      <charset val="128"/>
    </font>
    <font>
      <sz val="11"/>
      <name val="Meiryo UI"/>
      <family val="3"/>
      <charset val="128"/>
    </font>
    <font>
      <sz val="8"/>
      <color rgb="FF000000"/>
      <name val="Meiryo UI"/>
      <family val="3"/>
      <charset val="128"/>
    </font>
    <font>
      <sz val="6"/>
      <name val="Arial"/>
      <family val="2"/>
    </font>
    <font>
      <b/>
      <sz val="12"/>
      <name val="Meiryo UI"/>
      <family val="3"/>
      <charset val="128"/>
    </font>
    <font>
      <sz val="11"/>
      <color theme="1" tint="0.499984740745262"/>
      <name val="Meiryo UI"/>
      <family val="3"/>
      <charset val="128"/>
    </font>
    <font>
      <sz val="11"/>
      <color theme="0" tint="-0.249977111117893"/>
      <name val="Meiryo UI"/>
      <family val="3"/>
      <charset val="128"/>
    </font>
    <font>
      <sz val="11"/>
      <color theme="0"/>
      <name val="Meiryo UI"/>
      <family val="3"/>
      <charset val="128"/>
    </font>
    <font>
      <u/>
      <sz val="11"/>
      <color rgb="FF800080"/>
      <name val="Meiryo UI"/>
      <family val="3"/>
      <charset val="128"/>
    </font>
    <font>
      <u/>
      <sz val="12"/>
      <color rgb="FF800080"/>
      <name val="Meiryo UI"/>
      <family val="3"/>
      <charset val="128"/>
    </font>
    <font>
      <b/>
      <sz val="12"/>
      <color theme="4" tint="0.39918210394604325"/>
      <name val="Meiryo UI"/>
      <family val="3"/>
      <charset val="128"/>
    </font>
    <font>
      <b/>
      <sz val="12"/>
      <color theme="8" tint="0.39918210394604325"/>
      <name val="Meiryo UI"/>
      <family val="3"/>
      <charset val="128"/>
    </font>
  </fonts>
  <fills count="61">
    <fill>
      <patternFill patternType="none"/>
    </fill>
    <fill>
      <patternFill patternType="gray125"/>
    </fill>
    <fill>
      <patternFill patternType="solid">
        <fgColor theme="8" tint="-0.249977111117893"/>
        <bgColor indexed="64"/>
      </patternFill>
    </fill>
    <fill>
      <patternFill patternType="solid">
        <fgColor theme="8" tint="0.39945677053132728"/>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FCC"/>
        <bgColor indexed="64"/>
      </patternFill>
    </fill>
    <fill>
      <patternFill patternType="solid">
        <fgColor theme="8" tint="0.79946287423322249"/>
        <bgColor indexed="64"/>
      </patternFill>
    </fill>
    <fill>
      <patternFill patternType="solid">
        <fgColor theme="5" tint="0.79946287423322249"/>
        <bgColor indexed="64"/>
      </patternFill>
    </fill>
    <fill>
      <patternFill patternType="solid">
        <fgColor theme="7" tint="0.79946287423322249"/>
        <bgColor indexed="64"/>
      </patternFill>
    </fill>
    <fill>
      <patternFill patternType="solid">
        <fgColor rgb="FFFFFF00"/>
        <bgColor indexed="64"/>
      </patternFill>
    </fill>
    <fill>
      <patternFill patternType="solid">
        <fgColor rgb="FFFFCCCC"/>
        <bgColor indexed="64"/>
      </patternFill>
    </fill>
    <fill>
      <patternFill patternType="solid">
        <fgColor rgb="FFCCFFCC"/>
        <bgColor indexed="64"/>
      </patternFill>
    </fill>
    <fill>
      <patternFill patternType="solid">
        <fgColor rgb="FFFFCCFF"/>
        <bgColor indexed="64"/>
      </patternFill>
    </fill>
    <fill>
      <patternFill patternType="solid">
        <fgColor rgb="FFCCECFF"/>
        <bgColor indexed="64"/>
      </patternFill>
    </fill>
    <fill>
      <patternFill patternType="solid">
        <fgColor theme="5" tint="-0.249977111117893"/>
        <bgColor indexed="64"/>
      </patternFill>
    </fill>
    <fill>
      <patternFill patternType="solid">
        <fgColor theme="5" tint="0.39945677053132728"/>
        <bgColor indexed="64"/>
      </patternFill>
    </fill>
    <fill>
      <patternFill patternType="solid">
        <fgColor theme="5" tint="0.59999389629810485"/>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5" tint="-0.499984740745262"/>
        <bgColor indexed="64"/>
      </patternFill>
    </fill>
    <fill>
      <patternFill patternType="solid">
        <fgColor theme="9" tint="0.79946287423322249"/>
        <bgColor indexed="64"/>
      </patternFill>
    </fill>
    <fill>
      <patternFill patternType="solid">
        <fgColor theme="7" tint="-0.249977111117893"/>
        <bgColor indexed="64"/>
      </patternFill>
    </fill>
    <fill>
      <patternFill patternType="solid">
        <fgColor theme="7" tint="0.39945677053132728"/>
        <bgColor indexed="64"/>
      </patternFill>
    </fill>
    <fill>
      <patternFill patternType="solid">
        <fgColor theme="7" tint="0.79964598529007846"/>
        <bgColor indexed="64"/>
      </patternFill>
    </fill>
    <fill>
      <patternFill patternType="solid">
        <fgColor theme="7" tint="-0.499984740745262"/>
        <bgColor indexed="64"/>
      </patternFill>
    </fill>
    <fill>
      <patternFill patternType="solid">
        <fgColor theme="8" tint="0.79964598529007846"/>
        <bgColor indexed="64"/>
      </patternFill>
    </fill>
    <fill>
      <patternFill patternType="solid">
        <fgColor theme="9" tint="0.39945677053132728"/>
        <bgColor indexed="64"/>
      </patternFill>
    </fill>
    <fill>
      <patternFill patternType="solid">
        <fgColor theme="9" tint="0.79964598529007846"/>
        <bgColor indexed="64"/>
      </patternFill>
    </fill>
    <fill>
      <patternFill patternType="solid">
        <fgColor theme="0" tint="-0.249977111117893"/>
        <bgColor indexed="64"/>
      </patternFill>
    </fill>
    <fill>
      <patternFill patternType="solid">
        <fgColor theme="0" tint="-0.14996795556505021"/>
        <bgColor indexed="64"/>
      </patternFill>
    </fill>
    <fill>
      <patternFill patternType="solid">
        <fgColor theme="6" tint="0.59999389629810485"/>
        <bgColor indexed="64"/>
      </patternFill>
    </fill>
    <fill>
      <patternFill patternType="solid">
        <fgColor theme="6" tint="0.79946287423322249"/>
        <bgColor indexed="64"/>
      </patternFill>
    </fill>
    <fill>
      <patternFill patternType="solid">
        <fgColor theme="5" tint="0.79970702230903046"/>
        <bgColor indexed="64"/>
      </patternFill>
    </fill>
    <fill>
      <patternFill patternType="solid">
        <fgColor theme="4" tint="0.59999389629810485"/>
        <bgColor indexed="64"/>
      </patternFill>
    </fill>
    <fill>
      <patternFill patternType="solid">
        <fgColor theme="4" tint="0.79946287423322249"/>
        <bgColor indexed="64"/>
      </patternFill>
    </fill>
    <fill>
      <patternFill patternType="solid">
        <fgColor theme="3" tint="0.749992370372631"/>
        <bgColor indexed="64"/>
      </patternFill>
    </fill>
    <fill>
      <patternFill patternType="solid">
        <fgColor theme="3" tint="0.89947202978606522"/>
        <bgColor indexed="64"/>
      </patternFill>
    </fill>
    <fill>
      <patternFill patternType="solid">
        <fgColor theme="0" tint="-0.14972380748924222"/>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5" tint="0.7993408001953185"/>
        <bgColor indexed="64"/>
      </patternFill>
    </fill>
    <fill>
      <patternFill patternType="solid">
        <fgColor theme="7" tint="0.7993408001953185"/>
        <bgColor indexed="64"/>
      </patternFill>
    </fill>
    <fill>
      <patternFill patternType="solid">
        <fgColor theme="8" tint="0.39918210394604325"/>
        <bgColor indexed="64"/>
      </patternFill>
    </fill>
    <fill>
      <patternFill patternType="solid">
        <fgColor theme="8" tint="0.7993408001953185"/>
        <bgColor indexed="64"/>
      </patternFill>
    </fill>
    <fill>
      <patternFill patternType="solid">
        <fgColor theme="9" tint="0.39979247413556324"/>
        <bgColor indexed="64"/>
      </patternFill>
    </fill>
    <fill>
      <patternFill patternType="solid">
        <fgColor theme="9" tint="0.7993408001953185"/>
        <bgColor indexed="64"/>
      </patternFill>
    </fill>
    <fill>
      <patternFill patternType="solid">
        <fgColor theme="0" tint="-0.1498458815271462"/>
        <bgColor indexed="64"/>
      </patternFill>
    </fill>
    <fill>
      <patternFill patternType="solid">
        <fgColor theme="4" tint="0.7993408001953185"/>
        <bgColor indexed="64"/>
      </patternFill>
    </fill>
    <fill>
      <patternFill patternType="solid">
        <fgColor theme="3" tint="0.89919736320078125"/>
        <bgColor indexed="64"/>
      </patternFill>
    </fill>
    <fill>
      <patternFill patternType="solid">
        <fgColor theme="3" tint="0.89925840021973324"/>
        <bgColor indexed="64"/>
      </patternFill>
    </fill>
  </fills>
  <borders count="219">
    <border>
      <left/>
      <right/>
      <top/>
      <bottom/>
      <diagonal/>
    </border>
    <border>
      <left style="medium">
        <color auto="1"/>
      </left>
      <right style="medium">
        <color auto="1"/>
      </right>
      <top style="medium">
        <color auto="1"/>
      </top>
      <bottom style="medium">
        <color auto="1"/>
      </bottom>
      <diagonal/>
    </border>
    <border>
      <left style="mediumDashed">
        <color auto="1"/>
      </left>
      <right/>
      <top style="mediumDashed">
        <color auto="1"/>
      </top>
      <bottom/>
      <diagonal/>
    </border>
    <border>
      <left/>
      <right/>
      <top style="mediumDashed">
        <color auto="1"/>
      </top>
      <bottom/>
      <diagonal/>
    </border>
    <border>
      <left style="mediumDashed">
        <color auto="1"/>
      </left>
      <right/>
      <top/>
      <bottom/>
      <diagonal/>
    </border>
    <border>
      <left style="thick">
        <color rgb="FFFF0000"/>
      </left>
      <right style="thick">
        <color rgb="FFFF0000"/>
      </right>
      <top style="thick">
        <color rgb="FFFF0000"/>
      </top>
      <bottom/>
      <diagonal/>
    </border>
    <border>
      <left style="thick">
        <color rgb="FFFF0000"/>
      </left>
      <right style="medium">
        <color rgb="FFFF0000"/>
      </right>
      <top/>
      <bottom/>
      <diagonal/>
    </border>
    <border>
      <left style="medium">
        <color rgb="FFFF0000"/>
      </left>
      <right style="medium">
        <color rgb="FFFF0000"/>
      </right>
      <top style="medium">
        <color rgb="FFFF0000"/>
      </top>
      <bottom/>
      <diagonal/>
    </border>
    <border>
      <left style="thick">
        <color rgb="FFFF0000"/>
      </left>
      <right style="thick">
        <color rgb="FFFF0000"/>
      </right>
      <top/>
      <bottom/>
      <diagonal/>
    </border>
    <border>
      <left style="medium">
        <color rgb="FFFF0000"/>
      </left>
      <right style="medium">
        <color rgb="FFFF0000"/>
      </right>
      <top/>
      <bottom/>
      <diagonal/>
    </border>
    <border>
      <left style="thick">
        <color rgb="FFFF0000"/>
      </left>
      <right style="thick">
        <color rgb="FFFF0000"/>
      </right>
      <top/>
      <bottom style="thick">
        <color rgb="FFFF0000"/>
      </bottom>
      <diagonal/>
    </border>
    <border>
      <left style="medium">
        <color rgb="FFFF0000"/>
      </left>
      <right style="medium">
        <color rgb="FFFF0000"/>
      </right>
      <top/>
      <bottom style="medium">
        <color rgb="FFFF0000"/>
      </bottom>
      <diagonal/>
    </border>
    <border>
      <left style="mediumDashed">
        <color auto="1"/>
      </left>
      <right/>
      <top/>
      <bottom style="mediumDashed">
        <color auto="1"/>
      </bottom>
      <diagonal/>
    </border>
    <border>
      <left/>
      <right/>
      <top/>
      <bottom style="mediumDashed">
        <color auto="1"/>
      </bottom>
      <diagonal/>
    </border>
    <border>
      <left/>
      <right style="mediumDashed">
        <color auto="1"/>
      </right>
      <top style="mediumDashed">
        <color auto="1"/>
      </top>
      <bottom/>
      <diagonal/>
    </border>
    <border>
      <left/>
      <right style="mediumDashed">
        <color auto="1"/>
      </right>
      <top/>
      <bottom/>
      <diagonal/>
    </border>
    <border>
      <left/>
      <right style="mediumDashed">
        <color auto="1"/>
      </right>
      <top/>
      <bottom style="mediumDashed">
        <color auto="1"/>
      </bottom>
      <diagonal/>
    </border>
    <border>
      <left style="thin">
        <color auto="1"/>
      </left>
      <right style="thin">
        <color auto="1"/>
      </right>
      <top style="thin">
        <color auto="1"/>
      </top>
      <bottom style="thin">
        <color auto="1"/>
      </bottom>
      <diagonal/>
    </border>
    <border>
      <left style="thick">
        <color rgb="FFFF0000"/>
      </left>
      <right style="thin">
        <color auto="1"/>
      </right>
      <top style="thick">
        <color rgb="FFFF0000"/>
      </top>
      <bottom style="thin">
        <color auto="1"/>
      </bottom>
      <diagonal/>
    </border>
    <border>
      <left style="thin">
        <color auto="1"/>
      </left>
      <right/>
      <top style="thick">
        <color rgb="FFFF0000"/>
      </top>
      <bottom style="thin">
        <color auto="1"/>
      </bottom>
      <diagonal/>
    </border>
    <border>
      <left/>
      <right/>
      <top style="thick">
        <color rgb="FFFF0000"/>
      </top>
      <bottom style="thin">
        <color auto="1"/>
      </bottom>
      <diagonal/>
    </border>
    <border>
      <left/>
      <right style="thick">
        <color rgb="FFFF0000"/>
      </right>
      <top style="thick">
        <color rgb="FFFF0000"/>
      </top>
      <bottom style="thin">
        <color auto="1"/>
      </bottom>
      <diagonal/>
    </border>
    <border>
      <left style="thick">
        <color rgb="FFFF0000"/>
      </left>
      <right/>
      <top/>
      <bottom/>
      <diagonal/>
    </border>
    <border>
      <left/>
      <right style="thick">
        <color rgb="FFFF0000"/>
      </right>
      <top/>
      <bottom/>
      <diagonal/>
    </border>
    <border>
      <left style="thick">
        <color rgb="FFFF0000"/>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ck">
        <color rgb="FFFF0000"/>
      </right>
      <top style="thin">
        <color auto="1"/>
      </top>
      <bottom style="thin">
        <color auto="1"/>
      </bottom>
      <diagonal/>
    </border>
    <border>
      <left/>
      <right style="thin">
        <color auto="1"/>
      </right>
      <top style="thin">
        <color auto="1"/>
      </top>
      <bottom style="thin">
        <color auto="1"/>
      </bottom>
      <diagonal/>
    </border>
    <border>
      <left style="thick">
        <color rgb="FFFF0000"/>
      </left>
      <right style="thin">
        <color auto="1"/>
      </right>
      <top style="thin">
        <color auto="1"/>
      </top>
      <bottom/>
      <diagonal/>
    </border>
    <border>
      <left style="thick">
        <color rgb="FFFF0000"/>
      </left>
      <right style="thin">
        <color auto="1"/>
      </right>
      <top/>
      <bottom/>
      <diagonal/>
    </border>
    <border>
      <left style="thick">
        <color rgb="FFFF0000"/>
      </left>
      <right style="thin">
        <color auto="1"/>
      </right>
      <top/>
      <bottom style="thin">
        <color auto="1"/>
      </bottom>
      <diagonal/>
    </border>
    <border>
      <left style="thin">
        <color auto="1"/>
      </left>
      <right style="thick">
        <color rgb="FFFF0000"/>
      </right>
      <top style="thin">
        <color auto="1"/>
      </top>
      <bottom style="thin">
        <color auto="1"/>
      </bottom>
      <diagonal/>
    </border>
    <border>
      <left style="thick">
        <color rgb="FFFF0000"/>
      </left>
      <right/>
      <top style="thin">
        <color auto="1"/>
      </top>
      <bottom style="thin">
        <color auto="1"/>
      </bottom>
      <diagonal/>
    </border>
    <border>
      <left style="thick">
        <color rgb="FFFF0000"/>
      </left>
      <right/>
      <top/>
      <bottom style="thick">
        <color rgb="FFFF0000"/>
      </bottom>
      <diagonal/>
    </border>
    <border>
      <left style="thin">
        <color auto="1"/>
      </left>
      <right/>
      <top style="thin">
        <color auto="1"/>
      </top>
      <bottom style="thick">
        <color rgb="FFFF0000"/>
      </bottom>
      <diagonal/>
    </border>
    <border>
      <left/>
      <right/>
      <top style="thin">
        <color auto="1"/>
      </top>
      <bottom style="thick">
        <color rgb="FFFF0000"/>
      </bottom>
      <diagonal/>
    </border>
    <border>
      <left/>
      <right style="thick">
        <color rgb="FFFF0000"/>
      </right>
      <top style="thin">
        <color auto="1"/>
      </top>
      <bottom style="thick">
        <color rgb="FFFF0000"/>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bottom style="thin">
        <color auto="1"/>
      </bottom>
      <diagonal/>
    </border>
    <border>
      <left style="thick">
        <color theme="7" tint="-0.24994659260841701"/>
      </left>
      <right style="thin">
        <color auto="1"/>
      </right>
      <top style="thick">
        <color theme="7" tint="-0.24994659260841701"/>
      </top>
      <bottom style="thin">
        <color auto="1"/>
      </bottom>
      <diagonal/>
    </border>
    <border>
      <left style="thin">
        <color auto="1"/>
      </left>
      <right/>
      <top style="thick">
        <color theme="7" tint="-0.24994659260841701"/>
      </top>
      <bottom style="thin">
        <color auto="1"/>
      </bottom>
      <diagonal/>
    </border>
    <border>
      <left/>
      <right/>
      <top style="thick">
        <color theme="7" tint="-0.24994659260841701"/>
      </top>
      <bottom style="thin">
        <color auto="1"/>
      </bottom>
      <diagonal/>
    </border>
    <border>
      <left/>
      <right style="thick">
        <color theme="7" tint="-0.24994659260841701"/>
      </right>
      <top style="thick">
        <color theme="7" tint="-0.24994659260841701"/>
      </top>
      <bottom style="thin">
        <color auto="1"/>
      </bottom>
      <diagonal/>
    </border>
    <border>
      <left style="thick">
        <color theme="7" tint="-0.24994659260841701"/>
      </left>
      <right/>
      <top/>
      <bottom/>
      <diagonal/>
    </border>
    <border>
      <left/>
      <right style="thick">
        <color theme="7" tint="-0.24994659260841701"/>
      </right>
      <top/>
      <bottom/>
      <diagonal/>
    </border>
    <border>
      <left style="thick">
        <color theme="7" tint="-0.24994659260841701"/>
      </left>
      <right style="thin">
        <color auto="1"/>
      </right>
      <top style="thin">
        <color auto="1"/>
      </top>
      <bottom style="thin">
        <color auto="1"/>
      </bottom>
      <diagonal/>
    </border>
    <border>
      <left/>
      <right style="thick">
        <color theme="7" tint="-0.24994659260841701"/>
      </right>
      <top style="thin">
        <color auto="1"/>
      </top>
      <bottom style="thin">
        <color auto="1"/>
      </bottom>
      <diagonal/>
    </border>
    <border>
      <left style="thick">
        <color theme="7" tint="-0.24994659260841701"/>
      </left>
      <right style="thin">
        <color auto="1"/>
      </right>
      <top style="thin">
        <color auto="1"/>
      </top>
      <bottom/>
      <diagonal/>
    </border>
    <border>
      <left style="thick">
        <color theme="7" tint="-0.24994659260841701"/>
      </left>
      <right style="thin">
        <color auto="1"/>
      </right>
      <top/>
      <bottom/>
      <diagonal/>
    </border>
    <border>
      <left style="thick">
        <color theme="7" tint="-0.24994659260841701"/>
      </left>
      <right style="thin">
        <color auto="1"/>
      </right>
      <top/>
      <bottom style="thin">
        <color auto="1"/>
      </bottom>
      <diagonal/>
    </border>
    <border>
      <left style="thick">
        <color theme="7" tint="-0.24994659260841701"/>
      </left>
      <right/>
      <top style="thin">
        <color auto="1"/>
      </top>
      <bottom style="thin">
        <color auto="1"/>
      </bottom>
      <diagonal/>
    </border>
    <border>
      <left style="thick">
        <color theme="7" tint="-0.24994659260841701"/>
      </left>
      <right/>
      <top/>
      <bottom style="thick">
        <color theme="7" tint="-0.24994659260841701"/>
      </bottom>
      <diagonal/>
    </border>
    <border>
      <left style="thin">
        <color auto="1"/>
      </left>
      <right/>
      <top style="thin">
        <color auto="1"/>
      </top>
      <bottom style="thick">
        <color theme="7" tint="-0.24994659260841701"/>
      </bottom>
      <diagonal/>
    </border>
    <border>
      <left/>
      <right/>
      <top style="thin">
        <color auto="1"/>
      </top>
      <bottom style="thick">
        <color theme="7" tint="-0.24994659260841701"/>
      </bottom>
      <diagonal/>
    </border>
    <border>
      <left/>
      <right style="thick">
        <color theme="7" tint="-0.24994659260841701"/>
      </right>
      <top style="thin">
        <color auto="1"/>
      </top>
      <bottom style="thick">
        <color theme="7" tint="-0.24994659260841701"/>
      </bottom>
      <diagonal/>
    </border>
    <border>
      <left style="thick">
        <color theme="8" tint="-0.24994659260841701"/>
      </left>
      <right style="thin">
        <color auto="1"/>
      </right>
      <top style="thick">
        <color theme="8" tint="-0.24994659260841701"/>
      </top>
      <bottom style="thin">
        <color auto="1"/>
      </bottom>
      <diagonal/>
    </border>
    <border>
      <left style="thin">
        <color auto="1"/>
      </left>
      <right/>
      <top style="thick">
        <color theme="8" tint="-0.24994659260841701"/>
      </top>
      <bottom style="thin">
        <color auto="1"/>
      </bottom>
      <diagonal/>
    </border>
    <border>
      <left/>
      <right/>
      <top style="thick">
        <color theme="8" tint="-0.24994659260841701"/>
      </top>
      <bottom style="thin">
        <color auto="1"/>
      </bottom>
      <diagonal/>
    </border>
    <border>
      <left/>
      <right style="thick">
        <color theme="8" tint="-0.24994659260841701"/>
      </right>
      <top style="thick">
        <color theme="8" tint="-0.24994659260841701"/>
      </top>
      <bottom style="thin">
        <color auto="1"/>
      </bottom>
      <diagonal/>
    </border>
    <border>
      <left style="thick">
        <color theme="8" tint="-0.24994659260841701"/>
      </left>
      <right/>
      <top/>
      <bottom/>
      <diagonal/>
    </border>
    <border>
      <left/>
      <right style="thick">
        <color theme="8" tint="-0.24994659260841701"/>
      </right>
      <top/>
      <bottom/>
      <diagonal/>
    </border>
    <border>
      <left style="thick">
        <color theme="8" tint="-0.24994659260841701"/>
      </left>
      <right style="thin">
        <color auto="1"/>
      </right>
      <top style="thin">
        <color auto="1"/>
      </top>
      <bottom style="thin">
        <color auto="1"/>
      </bottom>
      <diagonal/>
    </border>
    <border>
      <left/>
      <right style="thick">
        <color theme="8" tint="-0.24994659260841701"/>
      </right>
      <top style="thin">
        <color auto="1"/>
      </top>
      <bottom style="thin">
        <color auto="1"/>
      </bottom>
      <diagonal/>
    </border>
    <border>
      <left style="thick">
        <color theme="8" tint="-0.24994659260841701"/>
      </left>
      <right style="thin">
        <color auto="1"/>
      </right>
      <top style="thin">
        <color auto="1"/>
      </top>
      <bottom/>
      <diagonal/>
    </border>
    <border>
      <left style="thick">
        <color theme="8" tint="-0.24994659260841701"/>
      </left>
      <right style="thin">
        <color auto="1"/>
      </right>
      <top/>
      <bottom/>
      <diagonal/>
    </border>
    <border>
      <left style="thick">
        <color theme="8" tint="-0.24994659260841701"/>
      </left>
      <right style="thin">
        <color auto="1"/>
      </right>
      <top/>
      <bottom style="thin">
        <color auto="1"/>
      </bottom>
      <diagonal/>
    </border>
    <border>
      <left style="thick">
        <color theme="8" tint="-0.24994659260841701"/>
      </left>
      <right/>
      <top style="thin">
        <color auto="1"/>
      </top>
      <bottom style="thin">
        <color auto="1"/>
      </bottom>
      <diagonal/>
    </border>
    <border>
      <left style="thick">
        <color theme="8" tint="-0.24994659260841701"/>
      </left>
      <right/>
      <top/>
      <bottom style="thick">
        <color theme="8" tint="-0.24994659260841701"/>
      </bottom>
      <diagonal/>
    </border>
    <border>
      <left style="thin">
        <color auto="1"/>
      </left>
      <right/>
      <top style="thin">
        <color auto="1"/>
      </top>
      <bottom style="thick">
        <color theme="8" tint="-0.24994659260841701"/>
      </bottom>
      <diagonal/>
    </border>
    <border>
      <left/>
      <right/>
      <top style="thin">
        <color auto="1"/>
      </top>
      <bottom style="thick">
        <color theme="8" tint="-0.24994659260841701"/>
      </bottom>
      <diagonal/>
    </border>
    <border>
      <left/>
      <right style="thick">
        <color theme="8" tint="-0.24994659260841701"/>
      </right>
      <top style="thin">
        <color auto="1"/>
      </top>
      <bottom style="thick">
        <color theme="8" tint="-0.24994659260841701"/>
      </bottom>
      <diagonal/>
    </border>
    <border>
      <left style="thick">
        <color theme="9" tint="-0.24994659260841701"/>
      </left>
      <right style="thin">
        <color auto="1"/>
      </right>
      <top style="thick">
        <color theme="9" tint="-0.24994659260841701"/>
      </top>
      <bottom style="thin">
        <color auto="1"/>
      </bottom>
      <diagonal/>
    </border>
    <border>
      <left style="thin">
        <color auto="1"/>
      </left>
      <right/>
      <top style="thick">
        <color theme="9" tint="-0.24994659260841701"/>
      </top>
      <bottom style="thin">
        <color auto="1"/>
      </bottom>
      <diagonal/>
    </border>
    <border>
      <left/>
      <right/>
      <top style="thick">
        <color theme="9" tint="-0.24994659260841701"/>
      </top>
      <bottom style="thin">
        <color auto="1"/>
      </bottom>
      <diagonal/>
    </border>
    <border>
      <left/>
      <right style="thick">
        <color theme="9" tint="-0.24994659260841701"/>
      </right>
      <top style="thick">
        <color theme="9" tint="-0.24994659260841701"/>
      </top>
      <bottom style="thin">
        <color auto="1"/>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style="thin">
        <color auto="1"/>
      </right>
      <top style="thin">
        <color auto="1"/>
      </top>
      <bottom style="thin">
        <color auto="1"/>
      </bottom>
      <diagonal/>
    </border>
    <border>
      <left/>
      <right style="thick">
        <color theme="9" tint="-0.24994659260841701"/>
      </right>
      <top style="thin">
        <color auto="1"/>
      </top>
      <bottom style="thin">
        <color auto="1"/>
      </bottom>
      <diagonal/>
    </border>
    <border>
      <left style="thick">
        <color theme="9" tint="-0.24994659260841701"/>
      </left>
      <right style="thin">
        <color auto="1"/>
      </right>
      <top style="thin">
        <color auto="1"/>
      </top>
      <bottom/>
      <diagonal/>
    </border>
    <border>
      <left style="thick">
        <color theme="9" tint="-0.24994659260841701"/>
      </left>
      <right style="thin">
        <color auto="1"/>
      </right>
      <top/>
      <bottom/>
      <diagonal/>
    </border>
    <border>
      <left style="thick">
        <color theme="9" tint="-0.24994659260841701"/>
      </left>
      <right style="thin">
        <color auto="1"/>
      </right>
      <top/>
      <bottom style="thin">
        <color auto="1"/>
      </bottom>
      <diagonal/>
    </border>
    <border>
      <left style="thick">
        <color theme="9" tint="-0.24994659260841701"/>
      </left>
      <right/>
      <top style="thin">
        <color auto="1"/>
      </top>
      <bottom style="thin">
        <color auto="1"/>
      </bottom>
      <diagonal/>
    </border>
    <border>
      <left style="thick">
        <color theme="9" tint="-0.24994659260841701"/>
      </left>
      <right/>
      <top/>
      <bottom style="thick">
        <color theme="9" tint="-0.24994659260841701"/>
      </bottom>
      <diagonal/>
    </border>
    <border>
      <left style="thin">
        <color auto="1"/>
      </left>
      <right/>
      <top style="thin">
        <color auto="1"/>
      </top>
      <bottom style="thick">
        <color theme="9" tint="-0.24994659260841701"/>
      </bottom>
      <diagonal/>
    </border>
    <border>
      <left/>
      <right/>
      <top style="thin">
        <color auto="1"/>
      </top>
      <bottom style="thick">
        <color theme="9" tint="-0.24994659260841701"/>
      </bottom>
      <diagonal/>
    </border>
    <border>
      <left/>
      <right style="thick">
        <color theme="9" tint="-0.24994659260841701"/>
      </right>
      <top style="thin">
        <color auto="1"/>
      </top>
      <bottom style="thick">
        <color theme="9" tint="-0.24994659260841701"/>
      </bottom>
      <diagonal/>
    </border>
    <border>
      <left style="thick">
        <color theme="0" tint="-0.499984740745262"/>
      </left>
      <right style="thin">
        <color auto="1"/>
      </right>
      <top style="thick">
        <color theme="0" tint="-0.499984740745262"/>
      </top>
      <bottom style="thin">
        <color auto="1"/>
      </bottom>
      <diagonal/>
    </border>
    <border>
      <left style="thin">
        <color auto="1"/>
      </left>
      <right/>
      <top style="thick">
        <color theme="0" tint="-0.499984740745262"/>
      </top>
      <bottom style="thin">
        <color auto="1"/>
      </bottom>
      <diagonal/>
    </border>
    <border>
      <left/>
      <right/>
      <top style="thick">
        <color theme="0" tint="-0.499984740745262"/>
      </top>
      <bottom style="thin">
        <color auto="1"/>
      </bottom>
      <diagonal/>
    </border>
    <border>
      <left/>
      <right style="thick">
        <color theme="0" tint="-0.499984740745262"/>
      </right>
      <top style="thick">
        <color theme="0" tint="-0.499984740745262"/>
      </top>
      <bottom style="thin">
        <color auto="1"/>
      </bottom>
      <diagonal/>
    </border>
    <border>
      <left style="thick">
        <color theme="0" tint="-0.499984740745262"/>
      </left>
      <right/>
      <top/>
      <bottom/>
      <diagonal/>
    </border>
    <border>
      <left/>
      <right style="thick">
        <color theme="0" tint="-0.499984740745262"/>
      </right>
      <top/>
      <bottom/>
      <diagonal/>
    </border>
    <border>
      <left style="thick">
        <color theme="0" tint="-0.499984740745262"/>
      </left>
      <right style="thin">
        <color auto="1"/>
      </right>
      <top style="thin">
        <color auto="1"/>
      </top>
      <bottom style="thin">
        <color auto="1"/>
      </bottom>
      <diagonal/>
    </border>
    <border>
      <left/>
      <right style="thick">
        <color theme="0" tint="-0.499984740745262"/>
      </right>
      <top style="thin">
        <color auto="1"/>
      </top>
      <bottom style="thin">
        <color auto="1"/>
      </bottom>
      <diagonal/>
    </border>
    <border>
      <left style="thick">
        <color theme="0" tint="-0.499984740745262"/>
      </left>
      <right style="thin">
        <color auto="1"/>
      </right>
      <top style="thin">
        <color auto="1"/>
      </top>
      <bottom/>
      <diagonal/>
    </border>
    <border>
      <left style="thick">
        <color theme="0" tint="-0.499984740745262"/>
      </left>
      <right style="thin">
        <color auto="1"/>
      </right>
      <top/>
      <bottom/>
      <diagonal/>
    </border>
    <border>
      <left style="thick">
        <color theme="0" tint="-0.499984740745262"/>
      </left>
      <right style="thin">
        <color auto="1"/>
      </right>
      <top/>
      <bottom style="thin">
        <color auto="1"/>
      </bottom>
      <diagonal/>
    </border>
    <border>
      <left style="thick">
        <color theme="0" tint="-0.499984740745262"/>
      </left>
      <right/>
      <top style="thin">
        <color auto="1"/>
      </top>
      <bottom style="thin">
        <color auto="1"/>
      </bottom>
      <diagonal/>
    </border>
    <border>
      <left style="thick">
        <color theme="0" tint="-0.499984740745262"/>
      </left>
      <right/>
      <top/>
      <bottom style="thick">
        <color theme="0" tint="-0.499984740745262"/>
      </bottom>
      <diagonal/>
    </border>
    <border>
      <left style="thin">
        <color auto="1"/>
      </left>
      <right/>
      <top style="thin">
        <color auto="1"/>
      </top>
      <bottom style="thick">
        <color theme="0" tint="-0.499984740745262"/>
      </bottom>
      <diagonal/>
    </border>
    <border>
      <left/>
      <right/>
      <top style="thin">
        <color auto="1"/>
      </top>
      <bottom style="thick">
        <color theme="0" tint="-0.499984740745262"/>
      </bottom>
      <diagonal/>
    </border>
    <border>
      <left/>
      <right style="thick">
        <color theme="0" tint="-0.499984740745262"/>
      </right>
      <top style="thin">
        <color auto="1"/>
      </top>
      <bottom style="thick">
        <color theme="0" tint="-0.499984740745262"/>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ck">
        <color theme="9" tint="-0.24994659260841701"/>
      </left>
      <right/>
      <top style="thick">
        <color theme="9" tint="-0.24994659260841701"/>
      </top>
      <bottom/>
      <diagonal/>
    </border>
    <border>
      <left/>
      <right style="thick">
        <color theme="9" tint="-0.24994659260841701"/>
      </right>
      <top style="thick">
        <color theme="9" tint="-0.24994659260841701"/>
      </top>
      <bottom/>
      <diagonal/>
    </border>
    <border>
      <left/>
      <right style="thick">
        <color theme="9" tint="-0.24994659260841701"/>
      </right>
      <top/>
      <bottom style="thick">
        <color theme="9" tint="-0.24994659260841701"/>
      </bottom>
      <diagonal/>
    </border>
    <border>
      <left style="thick">
        <color theme="8" tint="-0.24994659260841701"/>
      </left>
      <right/>
      <top style="thick">
        <color theme="8" tint="-0.24994659260841701"/>
      </top>
      <bottom/>
      <diagonal/>
    </border>
    <border>
      <left/>
      <right style="thick">
        <color theme="8" tint="-0.24994659260841701"/>
      </right>
      <top style="thick">
        <color theme="8" tint="-0.24994659260841701"/>
      </top>
      <bottom/>
      <diagonal/>
    </border>
    <border>
      <left/>
      <right style="thick">
        <color theme="8" tint="-0.24994659260841701"/>
      </right>
      <top/>
      <bottom style="thick">
        <color theme="8" tint="-0.24994659260841701"/>
      </bottom>
      <diagonal/>
    </border>
    <border>
      <left style="thick">
        <color theme="7" tint="-0.24994659260841701"/>
      </left>
      <right/>
      <top style="thick">
        <color theme="7" tint="-0.24994659260841701"/>
      </top>
      <bottom/>
      <diagonal/>
    </border>
    <border>
      <left/>
      <right style="thick">
        <color theme="7" tint="-0.24994659260841701"/>
      </right>
      <top style="thick">
        <color theme="7" tint="-0.24994659260841701"/>
      </top>
      <bottom/>
      <diagonal/>
    </border>
    <border>
      <left/>
      <right style="thick">
        <color theme="7" tint="-0.24994659260841701"/>
      </right>
      <top/>
      <bottom style="thick">
        <color theme="7" tint="-0.24994659260841701"/>
      </bottom>
      <diagonal/>
    </border>
    <border>
      <left/>
      <right/>
      <top style="thick">
        <color theme="9" tint="-0.24994659260841701"/>
      </top>
      <bottom/>
      <diagonal/>
    </border>
    <border>
      <left/>
      <right/>
      <top/>
      <bottom style="thick">
        <color theme="9" tint="-0.24994659260841701"/>
      </bottom>
      <diagonal/>
    </border>
    <border>
      <left/>
      <right/>
      <top style="thick">
        <color theme="8" tint="-0.24994659260841701"/>
      </top>
      <bottom/>
      <diagonal/>
    </border>
    <border>
      <left/>
      <right/>
      <top/>
      <bottom style="thick">
        <color theme="8" tint="-0.24994659260841701"/>
      </bottom>
      <diagonal/>
    </border>
    <border>
      <left/>
      <right/>
      <top style="thick">
        <color theme="7" tint="-0.24994659260841701"/>
      </top>
      <bottom/>
      <diagonal/>
    </border>
    <border>
      <left/>
      <right/>
      <top/>
      <bottom style="thick">
        <color theme="7" tint="-0.24994659260841701"/>
      </bottom>
      <diagonal/>
    </border>
    <border>
      <left style="thick">
        <color theme="5" tint="-0.24994659260841701"/>
      </left>
      <right/>
      <top style="thick">
        <color theme="5" tint="-0.24994659260841701"/>
      </top>
      <bottom/>
      <diagonal/>
    </border>
    <border>
      <left/>
      <right style="thick">
        <color theme="5" tint="-0.24994659260841701"/>
      </right>
      <top style="thick">
        <color theme="5" tint="-0.24994659260841701"/>
      </top>
      <bottom/>
      <diagonal/>
    </border>
    <border>
      <left style="thick">
        <color theme="5" tint="-0.24994659260841701"/>
      </left>
      <right/>
      <top/>
      <bottom/>
      <diagonal/>
    </border>
    <border>
      <left/>
      <right style="thick">
        <color theme="5" tint="-0.24994659260841701"/>
      </right>
      <top/>
      <bottom/>
      <diagonal/>
    </border>
    <border>
      <left style="thick">
        <color theme="5" tint="-0.24994659260841701"/>
      </left>
      <right/>
      <top/>
      <bottom style="thick">
        <color theme="5" tint="-0.24994659260841701"/>
      </bottom>
      <diagonal/>
    </border>
    <border>
      <left/>
      <right style="thick">
        <color theme="5" tint="-0.24994659260841701"/>
      </right>
      <top/>
      <bottom style="thick">
        <color theme="5" tint="-0.24994659260841701"/>
      </bottom>
      <diagonal/>
    </border>
    <border>
      <left style="thick">
        <color rgb="FFFF00FF"/>
      </left>
      <right/>
      <top style="thick">
        <color rgb="FFFF00FF"/>
      </top>
      <bottom/>
      <diagonal/>
    </border>
    <border>
      <left/>
      <right style="thick">
        <color rgb="FFFF00FF"/>
      </right>
      <top style="thick">
        <color rgb="FFFF00FF"/>
      </top>
      <bottom/>
      <diagonal/>
    </border>
    <border>
      <left style="thick">
        <color rgb="FFFF00FF"/>
      </left>
      <right/>
      <top/>
      <bottom/>
      <diagonal/>
    </border>
    <border>
      <left/>
      <right style="thick">
        <color rgb="FFFF00FF"/>
      </right>
      <top/>
      <bottom/>
      <diagonal/>
    </border>
    <border>
      <left style="thick">
        <color rgb="FFFF00FF"/>
      </left>
      <right/>
      <top/>
      <bottom style="thick">
        <color rgb="FFFF00FF"/>
      </bottom>
      <diagonal/>
    </border>
    <border>
      <left/>
      <right style="thick">
        <color rgb="FFFF00FF"/>
      </right>
      <top/>
      <bottom style="thick">
        <color rgb="FFFF00FF"/>
      </bottom>
      <diagonal/>
    </border>
    <border>
      <left/>
      <right/>
      <top style="thick">
        <color theme="5" tint="-0.24994659260841701"/>
      </top>
      <bottom/>
      <diagonal/>
    </border>
    <border>
      <left/>
      <right/>
      <top/>
      <bottom style="thick">
        <color theme="5" tint="-0.24994659260841701"/>
      </bottom>
      <diagonal/>
    </border>
    <border>
      <left/>
      <right/>
      <top style="thick">
        <color rgb="FFFF00FF"/>
      </top>
      <bottom/>
      <diagonal/>
    </border>
    <border>
      <left/>
      <right/>
      <top/>
      <bottom style="thick">
        <color rgb="FFFF00FF"/>
      </bottom>
      <diagonal/>
    </border>
    <border>
      <left style="thick">
        <color theme="9" tint="-0.24994659260841701"/>
      </left>
      <right/>
      <top style="thick">
        <color theme="9" tint="-0.24994659260841701"/>
      </top>
      <bottom style="thick">
        <color theme="9" tint="-0.24994659260841701"/>
      </bottom>
      <diagonal/>
    </border>
    <border>
      <left/>
      <right style="thick">
        <color theme="9" tint="-0.24994659260841701"/>
      </right>
      <top style="thick">
        <color theme="9" tint="-0.24994659260841701"/>
      </top>
      <bottom style="thick">
        <color theme="9" tint="-0.24994659260841701"/>
      </bottom>
      <diagonal/>
    </border>
    <border>
      <left style="thick">
        <color theme="7" tint="-0.24994659260841701"/>
      </left>
      <right/>
      <top style="thick">
        <color theme="7" tint="-0.24994659260841701"/>
      </top>
      <bottom style="thick">
        <color theme="7" tint="-0.24994659260841701"/>
      </bottom>
      <diagonal/>
    </border>
    <border>
      <left/>
      <right style="thick">
        <color theme="7" tint="-0.24994659260841701"/>
      </right>
      <top style="thick">
        <color theme="7" tint="-0.24994659260841701"/>
      </top>
      <bottom style="thick">
        <color theme="7" tint="-0.24994659260841701"/>
      </bottom>
      <diagonal/>
    </border>
    <border>
      <left/>
      <right/>
      <top style="thick">
        <color theme="9" tint="-0.24994659260841701"/>
      </top>
      <bottom style="thick">
        <color theme="9" tint="-0.24994659260841701"/>
      </bottom>
      <diagonal/>
    </border>
    <border>
      <left/>
      <right/>
      <top style="thick">
        <color theme="7" tint="-0.24994659260841701"/>
      </top>
      <bottom style="thick">
        <color theme="7" tint="-0.24994659260841701"/>
      </bottom>
      <diagonal/>
    </border>
    <border>
      <left style="thick">
        <color theme="2" tint="-0.499984740745262"/>
      </left>
      <right/>
      <top style="thick">
        <color theme="2" tint="-0.499984740745262"/>
      </top>
      <bottom/>
      <diagonal/>
    </border>
    <border>
      <left/>
      <right/>
      <top style="thick">
        <color theme="2" tint="-0.499984740745262"/>
      </top>
      <bottom/>
      <diagonal/>
    </border>
    <border>
      <left/>
      <right style="thick">
        <color theme="2" tint="-0.499984740745262"/>
      </right>
      <top style="thick">
        <color theme="2" tint="-0.499984740745262"/>
      </top>
      <bottom/>
      <diagonal/>
    </border>
    <border>
      <left style="thick">
        <color theme="2" tint="-0.499984740745262"/>
      </left>
      <right/>
      <top/>
      <bottom/>
      <diagonal/>
    </border>
    <border>
      <left/>
      <right style="thick">
        <color theme="2" tint="-0.499984740745262"/>
      </right>
      <top/>
      <bottom/>
      <diagonal/>
    </border>
    <border>
      <left style="thick">
        <color theme="2" tint="-0.499984740745262"/>
      </left>
      <right/>
      <top/>
      <bottom style="thick">
        <color theme="2" tint="-0.499984740745262"/>
      </bottom>
      <diagonal/>
    </border>
    <border>
      <left/>
      <right/>
      <top/>
      <bottom style="thick">
        <color theme="2" tint="-0.499984740745262"/>
      </bottom>
      <diagonal/>
    </border>
    <border>
      <left/>
      <right style="thick">
        <color theme="2" tint="-0.499984740745262"/>
      </right>
      <top/>
      <bottom style="thick">
        <color theme="2" tint="-0.499984740745262"/>
      </bottom>
      <diagonal/>
    </border>
    <border>
      <left style="thick">
        <color rgb="FF782170"/>
      </left>
      <right/>
      <top style="thick">
        <color rgb="FF782170"/>
      </top>
      <bottom/>
      <diagonal/>
    </border>
    <border>
      <left/>
      <right/>
      <top style="thick">
        <color rgb="FF782170"/>
      </top>
      <bottom/>
      <diagonal/>
    </border>
    <border>
      <left style="thick">
        <color theme="8" tint="-0.499984740745262"/>
      </left>
      <right/>
      <top/>
      <bottom/>
      <diagonal/>
    </border>
    <border>
      <left/>
      <right style="thick">
        <color theme="8" tint="-0.499984740745262"/>
      </right>
      <top/>
      <bottom/>
      <diagonal/>
    </border>
    <border>
      <left style="thick">
        <color theme="8" tint="-0.499984740745262"/>
      </left>
      <right/>
      <top/>
      <bottom style="thick">
        <color theme="8" tint="-0.499984740745262"/>
      </bottom>
      <diagonal/>
    </border>
    <border>
      <left/>
      <right/>
      <top/>
      <bottom style="thick">
        <color theme="8" tint="-0.499984740745262"/>
      </bottom>
      <diagonal/>
    </border>
    <border>
      <left/>
      <right style="thick">
        <color theme="8" tint="-0.499984740745262"/>
      </right>
      <top/>
      <bottom style="thick">
        <color theme="8" tint="-0.499984740745262"/>
      </bottom>
      <diagonal/>
    </border>
    <border>
      <left style="thick">
        <color rgb="FF782170"/>
      </left>
      <right style="thick">
        <color rgb="FF782170"/>
      </right>
      <top/>
      <bottom/>
      <diagonal/>
    </border>
    <border>
      <left/>
      <right style="thick">
        <color rgb="FF782170"/>
      </right>
      <top style="thick">
        <color rgb="FF782170"/>
      </top>
      <bottom/>
      <diagonal/>
    </border>
    <border>
      <left style="thick">
        <color theme="5" tint="-0.249977111117893"/>
      </left>
      <right/>
      <top style="thick">
        <color theme="5" tint="-0.249977111117893"/>
      </top>
      <bottom style="thick">
        <color theme="5" tint="-0.249977111117893"/>
      </bottom>
      <diagonal/>
    </border>
    <border>
      <left/>
      <right/>
      <top style="thick">
        <color theme="5" tint="-0.249977111117893"/>
      </top>
      <bottom style="thick">
        <color theme="5" tint="-0.249977111117893"/>
      </bottom>
      <diagonal/>
    </border>
    <border>
      <left/>
      <right style="thick">
        <color theme="5" tint="-0.249977111117893"/>
      </right>
      <top style="thick">
        <color theme="5" tint="-0.249977111117893"/>
      </top>
      <bottom style="thick">
        <color theme="5" tint="-0.249977111117893"/>
      </bottom>
      <diagonal/>
    </border>
    <border>
      <left style="thick">
        <color theme="7" tint="-0.24994659260841701"/>
      </left>
      <right style="thick">
        <color theme="7" tint="-0.24994659260841701"/>
      </right>
      <top/>
      <bottom/>
      <diagonal/>
    </border>
    <border>
      <left style="thick">
        <color rgb="FFFF0000"/>
      </left>
      <right/>
      <top style="thin">
        <color auto="1"/>
      </top>
      <bottom style="thick">
        <color rgb="FFFF0000"/>
      </bottom>
      <diagonal/>
    </border>
    <border>
      <left style="thin">
        <color auto="1"/>
      </left>
      <right style="thin">
        <color auto="1"/>
      </right>
      <top style="thin">
        <color auto="1"/>
      </top>
      <bottom style="thick">
        <color rgb="FFFF0000"/>
      </bottom>
      <diagonal/>
    </border>
    <border>
      <left style="thin">
        <color auto="1"/>
      </left>
      <right style="thick">
        <color theme="7" tint="-0.24994659260841701"/>
      </right>
      <top style="thin">
        <color auto="1"/>
      </top>
      <bottom style="thin">
        <color auto="1"/>
      </bottom>
      <diagonal/>
    </border>
    <border>
      <left style="thick">
        <color theme="7" tint="-0.24994659260841701"/>
      </left>
      <right/>
      <top style="thin">
        <color auto="1"/>
      </top>
      <bottom style="thick">
        <color theme="7" tint="-0.24994659260841701"/>
      </bottom>
      <diagonal/>
    </border>
    <border>
      <left style="thin">
        <color auto="1"/>
      </left>
      <right style="thin">
        <color auto="1"/>
      </right>
      <top style="thin">
        <color auto="1"/>
      </top>
      <bottom style="thick">
        <color theme="7" tint="-0.24994659260841701"/>
      </bottom>
      <diagonal/>
    </border>
    <border>
      <left style="thick">
        <color theme="8" tint="-0.24994659260841701"/>
      </left>
      <right/>
      <top style="thin">
        <color auto="1"/>
      </top>
      <bottom style="thick">
        <color theme="8" tint="-0.24994659260841701"/>
      </bottom>
      <diagonal/>
    </border>
    <border>
      <left style="thin">
        <color auto="1"/>
      </left>
      <right style="thin">
        <color auto="1"/>
      </right>
      <top style="thin">
        <color auto="1"/>
      </top>
      <bottom style="thick">
        <color theme="8" tint="-0.24994659260841701"/>
      </bottom>
      <diagonal/>
    </border>
    <border>
      <left style="thick">
        <color theme="9" tint="-0.24994659260841701"/>
      </left>
      <right/>
      <top style="thin">
        <color auto="1"/>
      </top>
      <bottom style="thick">
        <color theme="9" tint="-0.24994659260841701"/>
      </bottom>
      <diagonal/>
    </border>
    <border>
      <left style="thin">
        <color auto="1"/>
      </left>
      <right style="thin">
        <color auto="1"/>
      </right>
      <top style="thin">
        <color auto="1"/>
      </top>
      <bottom style="thick">
        <color theme="9" tint="-0.24994659260841701"/>
      </bottom>
      <diagonal/>
    </border>
    <border>
      <left style="thick">
        <color theme="0" tint="-0.34998626667073579"/>
      </left>
      <right style="thin">
        <color auto="1"/>
      </right>
      <top style="thick">
        <color theme="0" tint="-0.34998626667073579"/>
      </top>
      <bottom style="thin">
        <color auto="1"/>
      </bottom>
      <diagonal/>
    </border>
    <border>
      <left style="thin">
        <color auto="1"/>
      </left>
      <right/>
      <top style="thick">
        <color theme="0" tint="-0.34998626667073579"/>
      </top>
      <bottom style="thin">
        <color auto="1"/>
      </bottom>
      <diagonal/>
    </border>
    <border>
      <left/>
      <right/>
      <top style="thick">
        <color theme="0" tint="-0.34998626667073579"/>
      </top>
      <bottom style="thin">
        <color auto="1"/>
      </bottom>
      <diagonal/>
    </border>
    <border>
      <left/>
      <right style="thick">
        <color theme="0" tint="-0.34998626667073579"/>
      </right>
      <top style="thick">
        <color theme="0" tint="-0.34998626667073579"/>
      </top>
      <bottom style="thin">
        <color auto="1"/>
      </bottom>
      <diagonal/>
    </border>
    <border>
      <left style="thick">
        <color theme="0" tint="-0.34998626667073579"/>
      </left>
      <right/>
      <top/>
      <bottom/>
      <diagonal/>
    </border>
    <border>
      <left/>
      <right style="thick">
        <color theme="0" tint="-0.34998626667073579"/>
      </right>
      <top style="thin">
        <color auto="1"/>
      </top>
      <bottom style="thin">
        <color auto="1"/>
      </bottom>
      <diagonal/>
    </border>
    <border>
      <left style="thick">
        <color theme="0" tint="-0.34998626667073579"/>
      </left>
      <right/>
      <top style="thin">
        <color auto="1"/>
      </top>
      <bottom style="thin">
        <color auto="1"/>
      </bottom>
      <diagonal/>
    </border>
    <border>
      <left style="thick">
        <color theme="0" tint="-0.34998626667073579"/>
      </left>
      <right/>
      <top style="thin">
        <color auto="1"/>
      </top>
      <bottom style="thick">
        <color theme="0" tint="-0.34998626667073579"/>
      </bottom>
      <diagonal/>
    </border>
    <border>
      <left style="thin">
        <color auto="1"/>
      </left>
      <right style="thin">
        <color auto="1"/>
      </right>
      <top style="thin">
        <color auto="1"/>
      </top>
      <bottom style="thick">
        <color theme="0" tint="-0.34998626667073579"/>
      </bottom>
      <diagonal/>
    </border>
    <border>
      <left/>
      <right style="thick">
        <color theme="0" tint="-0.34998626667073579"/>
      </right>
      <top style="thin">
        <color auto="1"/>
      </top>
      <bottom style="thick">
        <color theme="0" tint="-0.34998626667073579"/>
      </bottom>
      <diagonal/>
    </border>
    <border>
      <left style="thick">
        <color rgb="FFFF0000"/>
      </left>
      <right style="thick">
        <color rgb="FFFF0000"/>
      </right>
      <top style="thick">
        <color rgb="FFFF0000"/>
      </top>
      <bottom style="thick">
        <color rgb="FFFF0000"/>
      </bottom>
      <diagonal/>
    </border>
    <border>
      <left style="medium">
        <color rgb="FFFF0000"/>
      </left>
      <right style="medium">
        <color rgb="FFFF0000"/>
      </right>
      <top style="medium">
        <color rgb="FFFF0000"/>
      </top>
      <bottom style="medium">
        <color rgb="FFFF0000"/>
      </bottom>
      <diagonal/>
    </border>
    <border>
      <left style="thick">
        <color theme="4" tint="0.39915158543656726"/>
      </left>
      <right/>
      <top style="thick">
        <color theme="4" tint="0.39915158543656726"/>
      </top>
      <bottom/>
      <diagonal/>
    </border>
    <border>
      <left/>
      <right/>
      <top style="thick">
        <color theme="4" tint="0.39915158543656726"/>
      </top>
      <bottom/>
      <diagonal/>
    </border>
    <border>
      <left/>
      <right style="thick">
        <color theme="4" tint="0.39915158543656726"/>
      </right>
      <top style="thick">
        <color theme="4" tint="0.39915158543656726"/>
      </top>
      <bottom/>
      <diagonal/>
    </border>
    <border>
      <left style="thick">
        <color theme="4" tint="0.39915158543656726"/>
      </left>
      <right/>
      <top/>
      <bottom/>
      <diagonal/>
    </border>
    <border>
      <left/>
      <right style="thick">
        <color theme="4" tint="0.39915158543656726"/>
      </right>
      <top/>
      <bottom/>
      <diagonal/>
    </border>
    <border>
      <left style="thick">
        <color theme="4" tint="0.39915158543656726"/>
      </left>
      <right/>
      <top/>
      <bottom style="thick">
        <color theme="4" tint="0.39915158543656726"/>
      </bottom>
      <diagonal/>
    </border>
    <border>
      <left/>
      <right/>
      <top/>
      <bottom style="thick">
        <color theme="4" tint="0.39915158543656726"/>
      </bottom>
      <diagonal/>
    </border>
    <border>
      <left/>
      <right style="thick">
        <color theme="4" tint="0.39915158543656726"/>
      </right>
      <top/>
      <bottom style="thick">
        <color theme="4" tint="0.39915158543656726"/>
      </bottom>
      <diagonal/>
    </border>
    <border>
      <left style="thick">
        <color theme="8" tint="0.39912106692709126"/>
      </left>
      <right/>
      <top style="thick">
        <color theme="8" tint="0.39915158543656726"/>
      </top>
      <bottom/>
      <diagonal/>
    </border>
    <border>
      <left/>
      <right/>
      <top style="thick">
        <color theme="8" tint="0.39915158543656726"/>
      </top>
      <bottom/>
      <diagonal/>
    </border>
    <border>
      <left/>
      <right style="thick">
        <color theme="8" tint="0.39915158543656726"/>
      </right>
      <top style="thick">
        <color theme="8" tint="0.39915158543656726"/>
      </top>
      <bottom/>
      <diagonal/>
    </border>
    <border>
      <left style="thick">
        <color theme="8" tint="0.39912106692709126"/>
      </left>
      <right/>
      <top/>
      <bottom/>
      <diagonal/>
    </border>
    <border>
      <left/>
      <right style="thick">
        <color theme="8" tint="0.39915158543656726"/>
      </right>
      <top/>
      <bottom/>
      <diagonal/>
    </border>
    <border>
      <left style="thick">
        <color theme="8" tint="0.39912106692709126"/>
      </left>
      <right/>
      <top/>
      <bottom style="thick">
        <color theme="8" tint="0.39909054841761527"/>
      </bottom>
      <diagonal/>
    </border>
    <border>
      <left/>
      <right/>
      <top/>
      <bottom style="thick">
        <color theme="8" tint="0.39909054841761527"/>
      </bottom>
      <diagonal/>
    </border>
    <border>
      <left/>
      <right style="thick">
        <color theme="8" tint="0.39915158543656726"/>
      </right>
      <top/>
      <bottom style="thick">
        <color theme="8" tint="0.39909054841761527"/>
      </bottom>
      <diagonal/>
    </border>
    <border>
      <left style="thick">
        <color rgb="FFFF0000"/>
      </left>
      <right/>
      <top/>
      <bottom style="thin">
        <color auto="1"/>
      </bottom>
      <diagonal/>
    </border>
    <border>
      <left/>
      <right style="thick">
        <color rgb="FFFF0000"/>
      </right>
      <top/>
      <bottom style="thin">
        <color auto="1"/>
      </bottom>
      <diagonal/>
    </border>
    <border>
      <left style="thick">
        <color theme="7" tint="-0.24994659260841701"/>
      </left>
      <right/>
      <top/>
      <bottom style="thin">
        <color auto="1"/>
      </bottom>
      <diagonal/>
    </border>
    <border>
      <left/>
      <right style="thick">
        <color theme="7" tint="-0.24994659260841701"/>
      </right>
      <top/>
      <bottom style="thin">
        <color auto="1"/>
      </bottom>
      <diagonal/>
    </border>
    <border>
      <left style="thick">
        <color theme="8" tint="-0.24994659260841701"/>
      </left>
      <right/>
      <top/>
      <bottom style="thin">
        <color auto="1"/>
      </bottom>
      <diagonal/>
    </border>
    <border>
      <left/>
      <right style="thick">
        <color theme="8" tint="-0.24994659260841701"/>
      </right>
      <top/>
      <bottom style="thin">
        <color auto="1"/>
      </bottom>
      <diagonal/>
    </border>
    <border>
      <left style="thick">
        <color theme="9" tint="-0.24994659260841701"/>
      </left>
      <right/>
      <top/>
      <bottom style="thin">
        <color auto="1"/>
      </bottom>
      <diagonal/>
    </border>
    <border>
      <left/>
      <right style="thick">
        <color theme="9" tint="-0.24994659260841701"/>
      </right>
      <top/>
      <bottom style="thin">
        <color auto="1"/>
      </bottom>
      <diagonal/>
    </border>
    <border>
      <left style="thick">
        <color theme="0" tint="-0.34998626667073579"/>
      </left>
      <right/>
      <top/>
      <bottom style="thin">
        <color auto="1"/>
      </bottom>
      <diagonal/>
    </border>
    <border>
      <left/>
      <right style="thick">
        <color theme="0" tint="-0.34998626667073579"/>
      </right>
      <top/>
      <bottom style="thin">
        <color auto="1"/>
      </bottom>
      <diagonal/>
    </border>
  </borders>
  <cellStyleXfs count="5">
    <xf numFmtId="0" fontId="0" fillId="0" borderId="0">
      <alignment vertical="center"/>
    </xf>
    <xf numFmtId="0" fontId="54"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23" fillId="0" borderId="0">
      <alignment vertical="center"/>
    </xf>
    <xf numFmtId="0" fontId="50" fillId="0" borderId="0">
      <alignment vertical="center"/>
    </xf>
  </cellStyleXfs>
  <cellXfs count="1147">
    <xf numFmtId="0" fontId="0" fillId="0" borderId="0" xfId="0">
      <alignment vertical="center"/>
    </xf>
    <xf numFmtId="0" fontId="1" fillId="0" borderId="0" xfId="0" applyFont="1">
      <alignmen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5" fillId="0" borderId="0" xfId="0" applyFont="1" applyAlignment="1">
      <alignment horizontal="left" vertical="center" shrinkToFit="1"/>
    </xf>
    <xf numFmtId="0" fontId="6" fillId="0" borderId="0" xfId="0" applyFont="1" applyAlignment="1">
      <alignment horizontal="left" vertical="center"/>
    </xf>
    <xf numFmtId="0" fontId="1" fillId="0" borderId="4" xfId="0" applyFont="1" applyBorder="1">
      <alignment vertical="center"/>
    </xf>
    <xf numFmtId="0" fontId="7" fillId="0" borderId="0" xfId="0" applyFont="1">
      <alignment vertical="center"/>
    </xf>
    <xf numFmtId="0" fontId="1" fillId="0" borderId="12" xfId="0" applyFont="1" applyBorder="1">
      <alignment vertical="center"/>
    </xf>
    <xf numFmtId="0" fontId="1" fillId="0" borderId="13" xfId="0" applyFont="1" applyBorder="1">
      <alignment vertical="center"/>
    </xf>
    <xf numFmtId="0" fontId="8" fillId="0" borderId="0" xfId="0" applyFont="1" applyAlignment="1">
      <alignment horizontal="center" vertical="center"/>
    </xf>
    <xf numFmtId="0" fontId="9" fillId="0" borderId="0" xfId="0" applyFont="1" applyAlignment="1">
      <alignment horizontal="left" vertical="center"/>
    </xf>
    <xf numFmtId="0" fontId="10" fillId="0" borderId="0" xfId="0" applyFont="1" applyAlignment="1">
      <alignment horizontal="left" vertical="center"/>
    </xf>
    <xf numFmtId="0" fontId="11" fillId="0" borderId="0" xfId="0" applyFont="1" applyAlignment="1">
      <alignment vertical="center" shrinkToFit="1"/>
    </xf>
    <xf numFmtId="0" fontId="0" fillId="0" borderId="14" xfId="0" applyBorder="1">
      <alignment vertical="center"/>
    </xf>
    <xf numFmtId="0" fontId="12" fillId="0" borderId="0" xfId="0" applyFont="1" applyAlignment="1">
      <alignment horizontal="center" vertical="center" wrapText="1"/>
    </xf>
    <xf numFmtId="0" fontId="12" fillId="0" borderId="0" xfId="0" applyFont="1" applyAlignment="1">
      <alignment horizontal="center" vertical="center"/>
    </xf>
    <xf numFmtId="0" fontId="12" fillId="0" borderId="15" xfId="0" applyFont="1" applyBorder="1" applyAlignment="1">
      <alignment horizontal="center" vertical="center"/>
    </xf>
    <xf numFmtId="0" fontId="2" fillId="0" borderId="0" xfId="0" applyFont="1" applyAlignment="1">
      <alignment horizontal="center" vertical="center"/>
    </xf>
    <xf numFmtId="0" fontId="0" fillId="0" borderId="15" xfId="0" applyBorder="1">
      <alignment vertical="center"/>
    </xf>
    <xf numFmtId="0" fontId="13" fillId="0" borderId="15" xfId="0" applyFont="1" applyBorder="1" applyAlignment="1">
      <alignment horizontal="center" vertical="center"/>
    </xf>
    <xf numFmtId="0" fontId="14" fillId="0" borderId="15" xfId="0" applyFont="1" applyBorder="1" applyAlignment="1">
      <alignment horizontal="center" vertical="center"/>
    </xf>
    <xf numFmtId="0" fontId="15" fillId="0" borderId="0" xfId="0" applyFont="1">
      <alignment vertical="center"/>
    </xf>
    <xf numFmtId="0" fontId="1" fillId="0" borderId="15" xfId="0" applyFont="1" applyBorder="1">
      <alignment vertical="center"/>
    </xf>
    <xf numFmtId="0" fontId="7" fillId="0" borderId="0" xfId="0" applyFont="1" applyAlignment="1">
      <alignment horizontal="right" vertical="center"/>
    </xf>
    <xf numFmtId="0" fontId="1" fillId="0" borderId="16" xfId="0" applyFont="1" applyBorder="1" applyAlignment="1">
      <alignment horizontal="right" vertical="center"/>
    </xf>
    <xf numFmtId="0" fontId="3" fillId="0" borderId="0" xfId="0" applyFont="1" applyAlignment="1">
      <alignment horizontal="center" vertical="center"/>
    </xf>
    <xf numFmtId="0" fontId="4" fillId="0" borderId="0" xfId="0" applyFont="1" applyAlignment="1">
      <alignment horizontal="center" vertical="center"/>
    </xf>
    <xf numFmtId="0" fontId="13" fillId="0" borderId="0" xfId="0" applyFont="1" applyAlignment="1">
      <alignment horizontal="center" vertical="center"/>
    </xf>
    <xf numFmtId="0" fontId="14" fillId="0" borderId="0" xfId="0" applyFont="1" applyAlignment="1">
      <alignment horizontal="center" vertical="center"/>
    </xf>
    <xf numFmtId="0" fontId="1" fillId="0" borderId="0" xfId="0" applyFont="1" applyAlignment="1">
      <alignment horizontal="right" vertical="center"/>
    </xf>
    <xf numFmtId="0" fontId="17" fillId="0" borderId="0" xfId="3" applyFont="1">
      <alignment vertical="center"/>
    </xf>
    <xf numFmtId="14" fontId="1" fillId="0" borderId="0" xfId="0" applyNumberFormat="1" applyFont="1" applyAlignment="1">
      <alignment horizontal="center" vertical="center" shrinkToFit="1"/>
    </xf>
    <xf numFmtId="0" fontId="18" fillId="0" borderId="0" xfId="3" applyFont="1" applyAlignment="1">
      <alignment horizontal="center" vertical="center" shrinkToFit="1"/>
    </xf>
    <xf numFmtId="0" fontId="1" fillId="0" borderId="0" xfId="0" applyFont="1" applyAlignment="1">
      <alignment horizontal="center" vertical="center" shrinkToFit="1"/>
    </xf>
    <xf numFmtId="0" fontId="19" fillId="0" borderId="17" xfId="1" applyFont="1" applyBorder="1">
      <alignment vertical="center"/>
    </xf>
    <xf numFmtId="0" fontId="20" fillId="0" borderId="17" xfId="0" applyFont="1" applyBorder="1">
      <alignment vertical="center"/>
    </xf>
    <xf numFmtId="176" fontId="20" fillId="0" borderId="17" xfId="0" applyNumberFormat="1" applyFont="1" applyBorder="1">
      <alignment vertical="center"/>
    </xf>
    <xf numFmtId="0" fontId="1" fillId="0" borderId="0" xfId="0" applyFont="1" applyAlignment="1">
      <alignment horizontal="center" vertical="center"/>
    </xf>
    <xf numFmtId="0" fontId="20" fillId="0" borderId="17" xfId="0" applyFont="1" applyBorder="1" applyAlignment="1">
      <alignment horizontal="center" vertical="center"/>
    </xf>
    <xf numFmtId="0" fontId="19" fillId="0" borderId="17" xfId="1" applyFont="1" applyBorder="1" applyAlignment="1">
      <alignment vertical="center" wrapText="1"/>
    </xf>
    <xf numFmtId="0" fontId="21" fillId="0" borderId="0" xfId="1" applyFont="1">
      <alignment vertical="center"/>
    </xf>
    <xf numFmtId="0" fontId="19" fillId="0" borderId="17" xfId="1" applyFont="1" applyFill="1" applyBorder="1">
      <alignment vertical="center"/>
    </xf>
    <xf numFmtId="0" fontId="22" fillId="0" borderId="17" xfId="0" applyFont="1" applyBorder="1">
      <alignment vertical="center"/>
    </xf>
    <xf numFmtId="0" fontId="18" fillId="0" borderId="0" xfId="3" applyFont="1">
      <alignment vertical="center"/>
    </xf>
    <xf numFmtId="0" fontId="23" fillId="0" borderId="0" xfId="3">
      <alignment vertical="center"/>
    </xf>
    <xf numFmtId="0" fontId="23" fillId="0" borderId="0" xfId="3" applyAlignment="1">
      <alignment horizontal="right" vertical="center"/>
    </xf>
    <xf numFmtId="0" fontId="23" fillId="0" borderId="0" xfId="3" applyAlignment="1">
      <alignment horizontal="right" vertical="center" shrinkToFit="1"/>
    </xf>
    <xf numFmtId="0" fontId="18" fillId="0" borderId="0" xfId="3" applyFont="1" applyAlignment="1">
      <alignment horizontal="right" vertical="center"/>
    </xf>
    <xf numFmtId="0" fontId="24" fillId="2" borderId="17" xfId="3" applyFont="1" applyFill="1" applyBorder="1" applyAlignment="1">
      <alignment horizontal="center" vertical="center"/>
    </xf>
    <xf numFmtId="0" fontId="18" fillId="4" borderId="17" xfId="3" applyFont="1" applyFill="1" applyBorder="1" applyAlignment="1">
      <alignment horizontal="center" vertical="center"/>
    </xf>
    <xf numFmtId="0" fontId="24" fillId="5" borderId="17" xfId="3" applyFont="1" applyFill="1" applyBorder="1" applyAlignment="1">
      <alignment horizontal="center" vertical="center"/>
    </xf>
    <xf numFmtId="0" fontId="18" fillId="0" borderId="0" xfId="3" applyFont="1" applyAlignment="1">
      <alignment horizontal="right" vertical="center" shrinkToFit="1"/>
    </xf>
    <xf numFmtId="0" fontId="17" fillId="0" borderId="0" xfId="3" applyFont="1" applyAlignment="1">
      <alignment horizontal="right" vertical="center"/>
    </xf>
    <xf numFmtId="0" fontId="18" fillId="0" borderId="17" xfId="3" applyFont="1" applyBorder="1" applyAlignment="1">
      <alignment horizontal="center" vertical="center"/>
    </xf>
    <xf numFmtId="0" fontId="18" fillId="0" borderId="17" xfId="3" applyFont="1" applyBorder="1" applyAlignment="1">
      <alignment horizontal="center" vertical="center" shrinkToFit="1"/>
    </xf>
    <xf numFmtId="177" fontId="18" fillId="0" borderId="17" xfId="3" applyNumberFormat="1" applyFont="1" applyBorder="1" applyAlignment="1">
      <alignment horizontal="center" vertical="center"/>
    </xf>
    <xf numFmtId="178" fontId="18" fillId="0" borderId="17" xfId="3" applyNumberFormat="1" applyFont="1" applyBorder="1" applyAlignment="1">
      <alignment horizontal="center" vertical="center" shrinkToFit="1"/>
    </xf>
    <xf numFmtId="0" fontId="18" fillId="6" borderId="17" xfId="3" applyFont="1" applyFill="1" applyBorder="1" applyAlignment="1">
      <alignment horizontal="center" vertical="center"/>
    </xf>
    <xf numFmtId="0" fontId="18" fillId="7" borderId="17" xfId="3" applyFont="1" applyFill="1" applyBorder="1" applyAlignment="1">
      <alignment horizontal="center" vertical="center"/>
    </xf>
    <xf numFmtId="179" fontId="18" fillId="0" borderId="17" xfId="3" applyNumberFormat="1" applyFont="1" applyBorder="1" applyAlignment="1">
      <alignment horizontal="right" vertical="center"/>
    </xf>
    <xf numFmtId="0" fontId="18" fillId="0" borderId="17" xfId="3" applyFont="1" applyBorder="1" applyAlignment="1">
      <alignment horizontal="right" vertical="center"/>
    </xf>
    <xf numFmtId="180" fontId="18" fillId="0" borderId="17" xfId="3" applyNumberFormat="1" applyFont="1" applyBorder="1" applyAlignment="1">
      <alignment horizontal="center" vertical="center"/>
    </xf>
    <xf numFmtId="0" fontId="25" fillId="0" borderId="17" xfId="3" applyFont="1" applyBorder="1" applyAlignment="1">
      <alignment horizontal="center" vertical="center"/>
    </xf>
    <xf numFmtId="0" fontId="18" fillId="0" borderId="0" xfId="3" applyFont="1" applyAlignment="1">
      <alignment horizontal="center" vertical="center"/>
    </xf>
    <xf numFmtId="0" fontId="26" fillId="0" borderId="17" xfId="3" applyFont="1" applyBorder="1" applyAlignment="1">
      <alignment horizontal="right" vertical="center"/>
    </xf>
    <xf numFmtId="0" fontId="27" fillId="0" borderId="17" xfId="3" applyFont="1" applyBorder="1" applyAlignment="1">
      <alignment horizontal="right" vertical="center"/>
    </xf>
    <xf numFmtId="0" fontId="18" fillId="8" borderId="17" xfId="3" applyFont="1" applyFill="1" applyBorder="1" applyAlignment="1">
      <alignment horizontal="center" vertical="center"/>
    </xf>
    <xf numFmtId="0" fontId="18" fillId="8" borderId="17" xfId="3" applyFont="1" applyFill="1" applyBorder="1" applyAlignment="1">
      <alignment horizontal="center" vertical="center" shrinkToFit="1"/>
    </xf>
    <xf numFmtId="178" fontId="18" fillId="8" borderId="17" xfId="3" applyNumberFormat="1" applyFont="1" applyFill="1" applyBorder="1" applyAlignment="1">
      <alignment horizontal="center" vertical="center" shrinkToFit="1"/>
    </xf>
    <xf numFmtId="177" fontId="18" fillId="8" borderId="17" xfId="3" applyNumberFormat="1" applyFont="1" applyFill="1" applyBorder="1" applyAlignment="1">
      <alignment horizontal="center" vertical="center"/>
    </xf>
    <xf numFmtId="179" fontId="18" fillId="8" borderId="17" xfId="3" applyNumberFormat="1" applyFont="1" applyFill="1" applyBorder="1" applyAlignment="1">
      <alignment horizontal="right" vertical="center"/>
    </xf>
    <xf numFmtId="0" fontId="18" fillId="8" borderId="17" xfId="3" applyFont="1" applyFill="1" applyBorder="1" applyAlignment="1">
      <alignment horizontal="right" vertical="center"/>
    </xf>
    <xf numFmtId="180" fontId="18" fillId="0" borderId="17" xfId="3" applyNumberFormat="1" applyFont="1" applyBorder="1" applyAlignment="1">
      <alignment horizontal="center" vertical="center" shrinkToFit="1"/>
    </xf>
    <xf numFmtId="14" fontId="18" fillId="0" borderId="17" xfId="3" applyNumberFormat="1" applyFont="1" applyBorder="1" applyAlignment="1">
      <alignment horizontal="center" vertical="center"/>
    </xf>
    <xf numFmtId="0" fontId="18" fillId="0" borderId="17" xfId="3" applyFont="1" applyBorder="1">
      <alignment vertical="center"/>
    </xf>
    <xf numFmtId="0" fontId="18" fillId="0" borderId="17" xfId="3" applyFont="1" applyBorder="1" applyAlignment="1">
      <alignment horizontal="right" vertical="center" shrinkToFit="1"/>
    </xf>
    <xf numFmtId="0" fontId="28" fillId="0" borderId="0" xfId="0" applyFont="1">
      <alignment vertical="center"/>
    </xf>
    <xf numFmtId="0" fontId="20" fillId="0" borderId="0" xfId="0" applyFont="1" applyAlignment="1">
      <alignment horizontal="center" vertical="center"/>
    </xf>
    <xf numFmtId="0" fontId="1" fillId="0" borderId="0" xfId="0" applyFont="1" applyAlignment="1">
      <alignment vertical="center" shrinkToFit="1"/>
    </xf>
    <xf numFmtId="0" fontId="29" fillId="0" borderId="0" xfId="0" applyFont="1" applyAlignment="1">
      <alignment horizontal="center" vertical="center"/>
    </xf>
    <xf numFmtId="0" fontId="17" fillId="0" borderId="0" xfId="3" applyFont="1" applyAlignment="1">
      <alignment horizontal="center" vertical="center"/>
    </xf>
    <xf numFmtId="0" fontId="22" fillId="0" borderId="17" xfId="1" applyFont="1" applyBorder="1" applyAlignment="1">
      <alignment vertical="center" wrapText="1"/>
    </xf>
    <xf numFmtId="0" fontId="30" fillId="0" borderId="17" xfId="0" applyFont="1" applyBorder="1" applyAlignment="1">
      <alignment horizontal="center" vertical="center"/>
    </xf>
    <xf numFmtId="0" fontId="30" fillId="0" borderId="17" xfId="0" applyFont="1" applyBorder="1">
      <alignment vertical="center"/>
    </xf>
    <xf numFmtId="0" fontId="30" fillId="0" borderId="0" xfId="0" applyFont="1" applyAlignment="1">
      <alignment horizontal="center" vertical="center"/>
    </xf>
    <xf numFmtId="0" fontId="30" fillId="0" borderId="0" xfId="0" applyFont="1">
      <alignment vertical="center"/>
    </xf>
    <xf numFmtId="0" fontId="0" fillId="0" borderId="0" xfId="0" applyAlignment="1">
      <alignment horizontal="center" vertical="center"/>
    </xf>
    <xf numFmtId="0" fontId="30" fillId="0" borderId="17" xfId="0" applyFont="1" applyBorder="1" applyAlignment="1">
      <alignment horizontal="right" vertical="center"/>
    </xf>
    <xf numFmtId="0" fontId="20" fillId="0" borderId="0" xfId="0" applyFont="1" applyAlignment="1">
      <alignment horizontal="right" vertical="center"/>
    </xf>
    <xf numFmtId="0" fontId="20" fillId="0" borderId="0" xfId="0" applyFont="1" applyAlignment="1">
      <alignment horizontal="left" vertical="center"/>
    </xf>
    <xf numFmtId="0" fontId="20" fillId="0" borderId="0" xfId="0" applyFont="1" applyAlignment="1">
      <alignment horizontal="center" vertical="center" shrinkToFit="1"/>
    </xf>
    <xf numFmtId="181" fontId="20" fillId="0" borderId="0" xfId="0" applyNumberFormat="1" applyFont="1" applyAlignment="1">
      <alignment horizontal="center" vertical="center" shrinkToFit="1"/>
    </xf>
    <xf numFmtId="0" fontId="31" fillId="0" borderId="0" xfId="1" applyFont="1" applyAlignment="1">
      <alignment horizontal="right" vertical="center" shrinkToFit="1"/>
    </xf>
    <xf numFmtId="0" fontId="19" fillId="0" borderId="0" xfId="1" applyFont="1" applyAlignment="1">
      <alignment horizontal="center" vertical="center" shrinkToFit="1"/>
    </xf>
    <xf numFmtId="0" fontId="20" fillId="8" borderId="0" xfId="0" applyFont="1" applyFill="1" applyAlignment="1">
      <alignment horizontal="center" vertical="center" shrinkToFit="1"/>
    </xf>
    <xf numFmtId="0" fontId="20" fillId="13" borderId="0" xfId="0" applyFont="1" applyFill="1" applyAlignment="1">
      <alignment horizontal="center" vertical="center" shrinkToFit="1"/>
    </xf>
    <xf numFmtId="0" fontId="20" fillId="14" borderId="0" xfId="0" applyFont="1" applyFill="1" applyAlignment="1">
      <alignment horizontal="center" vertical="center" shrinkToFit="1"/>
    </xf>
    <xf numFmtId="0" fontId="20" fillId="0" borderId="0" xfId="0" applyFont="1" applyAlignment="1">
      <alignment horizontal="left" vertical="center" shrinkToFit="1"/>
    </xf>
    <xf numFmtId="182" fontId="20" fillId="0" borderId="0" xfId="0" applyNumberFormat="1" applyFont="1" applyAlignment="1">
      <alignment horizontal="center" vertical="center" shrinkToFit="1"/>
    </xf>
    <xf numFmtId="0" fontId="20" fillId="0" borderId="0" xfId="0" applyFont="1" applyAlignment="1">
      <alignment horizontal="center" vertical="center" wrapText="1" shrinkToFit="1"/>
    </xf>
    <xf numFmtId="0" fontId="20" fillId="15" borderId="0" xfId="0" applyFont="1" applyFill="1" applyAlignment="1">
      <alignment horizontal="center" vertical="center" shrinkToFit="1"/>
    </xf>
    <xf numFmtId="0" fontId="20" fillId="16" borderId="0" xfId="0" applyFont="1" applyFill="1" applyAlignment="1">
      <alignment horizontal="center" vertical="center" shrinkToFit="1"/>
    </xf>
    <xf numFmtId="0" fontId="32" fillId="0" borderId="0" xfId="3" applyFont="1">
      <alignment vertical="center"/>
    </xf>
    <xf numFmtId="0" fontId="33" fillId="0" borderId="0" xfId="3" applyFont="1">
      <alignment vertical="center"/>
    </xf>
    <xf numFmtId="0" fontId="33" fillId="17" borderId="18" xfId="3" applyFont="1" applyFill="1" applyBorder="1" applyAlignment="1">
      <alignment horizontal="right" vertical="center" shrinkToFit="1"/>
    </xf>
    <xf numFmtId="0" fontId="18" fillId="0" borderId="22" xfId="3" applyFont="1" applyBorder="1" applyAlignment="1">
      <alignment horizontal="right" vertical="center" shrinkToFit="1"/>
    </xf>
    <xf numFmtId="0" fontId="18" fillId="0" borderId="23" xfId="3" applyFont="1" applyBorder="1">
      <alignment vertical="center"/>
    </xf>
    <xf numFmtId="0" fontId="18" fillId="18" borderId="24" xfId="3" applyFont="1" applyFill="1" applyBorder="1" applyAlignment="1">
      <alignment horizontal="right" vertical="center" shrinkToFit="1"/>
    </xf>
    <xf numFmtId="0" fontId="18" fillId="18" borderId="17" xfId="3" applyFont="1" applyFill="1" applyBorder="1" applyAlignment="1">
      <alignment horizontal="center" vertical="center" shrinkToFit="1"/>
    </xf>
    <xf numFmtId="0" fontId="18" fillId="19" borderId="24" xfId="3" applyFont="1" applyFill="1" applyBorder="1" applyAlignment="1">
      <alignment horizontal="right" vertical="center" shrinkToFit="1"/>
    </xf>
    <xf numFmtId="0" fontId="18" fillId="19" borderId="17" xfId="3" applyFont="1" applyFill="1" applyBorder="1" applyAlignment="1">
      <alignment horizontal="center" vertical="center" shrinkToFit="1"/>
    </xf>
    <xf numFmtId="0" fontId="18" fillId="10" borderId="17" xfId="3" applyFont="1" applyFill="1" applyBorder="1" applyAlignment="1">
      <alignment horizontal="center" vertical="center" shrinkToFit="1"/>
    </xf>
    <xf numFmtId="0" fontId="33" fillId="20" borderId="22" xfId="3" applyFont="1" applyFill="1" applyBorder="1" applyAlignment="1">
      <alignment horizontal="right" vertical="center" shrinkToFit="1"/>
    </xf>
    <xf numFmtId="0" fontId="24" fillId="21" borderId="22" xfId="3" applyFont="1" applyFill="1" applyBorder="1" applyAlignment="1">
      <alignment horizontal="right" vertical="center" shrinkToFit="1"/>
    </xf>
    <xf numFmtId="0" fontId="24" fillId="22" borderId="33" xfId="3" applyFont="1" applyFill="1" applyBorder="1" applyAlignment="1">
      <alignment horizontal="right" vertical="center" shrinkToFit="1"/>
    </xf>
    <xf numFmtId="0" fontId="30" fillId="0" borderId="25" xfId="3" applyFont="1" applyBorder="1" applyAlignment="1">
      <alignment horizontal="left" vertical="top"/>
    </xf>
    <xf numFmtId="0" fontId="30" fillId="0" borderId="26" xfId="3" applyFont="1" applyBorder="1" applyAlignment="1">
      <alignment horizontal="left" vertical="top" shrinkToFit="1"/>
    </xf>
    <xf numFmtId="0" fontId="30" fillId="0" borderId="27" xfId="3" applyFont="1" applyBorder="1" applyAlignment="1">
      <alignment horizontal="left" vertical="top" shrinkToFit="1"/>
    </xf>
    <xf numFmtId="0" fontId="38" fillId="0" borderId="25" xfId="3" applyFont="1" applyBorder="1" applyAlignment="1">
      <alignment horizontal="left" vertical="top"/>
    </xf>
    <xf numFmtId="0" fontId="18" fillId="0" borderId="34" xfId="3" applyFont="1" applyBorder="1" applyAlignment="1">
      <alignment horizontal="right" vertical="center" shrinkToFit="1"/>
    </xf>
    <xf numFmtId="0" fontId="30" fillId="0" borderId="35" xfId="3" applyFont="1" applyBorder="1" applyAlignment="1">
      <alignment horizontal="left" vertical="top"/>
    </xf>
    <xf numFmtId="0" fontId="30" fillId="0" borderId="36" xfId="3" applyFont="1" applyBorder="1" applyAlignment="1">
      <alignment horizontal="left" vertical="top" shrinkToFit="1"/>
    </xf>
    <xf numFmtId="0" fontId="30" fillId="0" borderId="37" xfId="3" applyFont="1" applyBorder="1" applyAlignment="1">
      <alignment horizontal="left" vertical="top" shrinkToFit="1"/>
    </xf>
    <xf numFmtId="0" fontId="18" fillId="0" borderId="38" xfId="3" applyFont="1" applyBorder="1" applyAlignment="1">
      <alignment horizontal="center" vertical="center"/>
    </xf>
    <xf numFmtId="0" fontId="18" fillId="0" borderId="39" xfId="3" applyFont="1" applyBorder="1" applyAlignment="1">
      <alignment horizontal="center" vertical="center"/>
    </xf>
    <xf numFmtId="0" fontId="18" fillId="0" borderId="40" xfId="3" applyFont="1" applyBorder="1" applyAlignment="1">
      <alignment horizontal="center" vertical="center"/>
    </xf>
    <xf numFmtId="0" fontId="18" fillId="0" borderId="41" xfId="3" applyFont="1" applyBorder="1" applyAlignment="1">
      <alignment horizontal="center" vertical="center"/>
    </xf>
    <xf numFmtId="0" fontId="18" fillId="0" borderId="42" xfId="3" applyFont="1" applyBorder="1" applyAlignment="1">
      <alignment horizontal="center" vertical="center" shrinkToFit="1"/>
    </xf>
    <xf numFmtId="0" fontId="18" fillId="6" borderId="43" xfId="3" applyFont="1" applyFill="1" applyBorder="1">
      <alignment vertical="center"/>
    </xf>
    <xf numFmtId="0" fontId="18" fillId="6" borderId="44" xfId="3" applyFont="1" applyFill="1" applyBorder="1" applyAlignment="1">
      <alignment vertical="center" shrinkToFit="1"/>
    </xf>
    <xf numFmtId="0" fontId="18" fillId="6" borderId="45" xfId="3" applyFont="1" applyFill="1" applyBorder="1" applyAlignment="1">
      <alignment vertical="center" shrinkToFit="1"/>
    </xf>
    <xf numFmtId="0" fontId="18" fillId="0" borderId="46" xfId="3" applyFont="1" applyBorder="1" applyAlignment="1">
      <alignment horizontal="center" vertical="center" shrinkToFit="1"/>
    </xf>
    <xf numFmtId="0" fontId="18" fillId="0" borderId="46" xfId="3" applyFont="1" applyBorder="1" applyAlignment="1">
      <alignment vertical="center" shrinkToFit="1"/>
    </xf>
    <xf numFmtId="0" fontId="18" fillId="23" borderId="25" xfId="3" applyFont="1" applyFill="1" applyBorder="1">
      <alignment vertical="center"/>
    </xf>
    <xf numFmtId="0" fontId="18" fillId="23" borderId="26" xfId="3" applyFont="1" applyFill="1" applyBorder="1" applyAlignment="1">
      <alignment vertical="center" shrinkToFit="1"/>
    </xf>
    <xf numFmtId="0" fontId="18" fillId="23" borderId="28" xfId="3" applyFont="1" applyFill="1" applyBorder="1" applyAlignment="1">
      <alignment vertical="center" shrinkToFit="1"/>
    </xf>
    <xf numFmtId="0" fontId="18" fillId="0" borderId="17" xfId="3" applyFont="1" applyBorder="1" applyAlignment="1">
      <alignment vertical="center" shrinkToFit="1"/>
    </xf>
    <xf numFmtId="0" fontId="26" fillId="0" borderId="0" xfId="3" applyFont="1">
      <alignment vertical="center"/>
    </xf>
    <xf numFmtId="0" fontId="33" fillId="24" borderId="47" xfId="3" applyFont="1" applyFill="1" applyBorder="1" applyAlignment="1">
      <alignment horizontal="right" vertical="center" shrinkToFit="1"/>
    </xf>
    <xf numFmtId="0" fontId="18" fillId="0" borderId="51" xfId="3" applyFont="1" applyBorder="1" applyAlignment="1">
      <alignment horizontal="right" vertical="center" shrinkToFit="1"/>
    </xf>
    <xf numFmtId="0" fontId="18" fillId="0" borderId="52" xfId="3" applyFont="1" applyBorder="1">
      <alignment vertical="center"/>
    </xf>
    <xf numFmtId="0" fontId="18" fillId="25" borderId="53" xfId="3" applyFont="1" applyFill="1" applyBorder="1" applyAlignment="1">
      <alignment horizontal="right" vertical="center" shrinkToFit="1"/>
    </xf>
    <xf numFmtId="0" fontId="18" fillId="25" borderId="17" xfId="3" applyFont="1" applyFill="1" applyBorder="1" applyAlignment="1">
      <alignment horizontal="center" vertical="center" shrinkToFit="1"/>
    </xf>
    <xf numFmtId="0" fontId="18" fillId="7" borderId="53" xfId="3" applyFont="1" applyFill="1" applyBorder="1" applyAlignment="1">
      <alignment horizontal="right" vertical="center" shrinkToFit="1"/>
    </xf>
    <xf numFmtId="0" fontId="18" fillId="7" borderId="17" xfId="3" applyFont="1" applyFill="1" applyBorder="1" applyAlignment="1">
      <alignment horizontal="center" vertical="center" shrinkToFit="1"/>
    </xf>
    <xf numFmtId="0" fontId="18" fillId="26" borderId="17" xfId="3" applyFont="1" applyFill="1" applyBorder="1" applyAlignment="1">
      <alignment horizontal="center" vertical="center" shrinkToFit="1"/>
    </xf>
    <xf numFmtId="0" fontId="24" fillId="20" borderId="51" xfId="3" applyFont="1" applyFill="1" applyBorder="1" applyAlignment="1">
      <alignment horizontal="right" vertical="center" shrinkToFit="1"/>
    </xf>
    <xf numFmtId="0" fontId="24" fillId="21" borderId="51" xfId="3" applyFont="1" applyFill="1" applyBorder="1" applyAlignment="1">
      <alignment horizontal="right" vertical="center" shrinkToFit="1"/>
    </xf>
    <xf numFmtId="0" fontId="24" fillId="27" borderId="58" xfId="3" applyFont="1" applyFill="1" applyBorder="1" applyAlignment="1">
      <alignment horizontal="right" vertical="center" shrinkToFit="1"/>
    </xf>
    <xf numFmtId="0" fontId="30" fillId="0" borderId="54" xfId="3" applyFont="1" applyBorder="1" applyAlignment="1">
      <alignment horizontal="left" vertical="top" shrinkToFit="1"/>
    </xf>
    <xf numFmtId="0" fontId="30" fillId="0" borderId="25" xfId="3" applyFont="1" applyBorder="1" applyAlignment="1">
      <alignment horizontal="left" vertical="top" shrinkToFit="1"/>
    </xf>
    <xf numFmtId="0" fontId="18" fillId="0" borderId="59" xfId="3" applyFont="1" applyBorder="1" applyAlignment="1">
      <alignment horizontal="right" vertical="center" shrinkToFit="1"/>
    </xf>
    <xf numFmtId="0" fontId="30" fillId="0" borderId="60" xfId="3" applyFont="1" applyBorder="1" applyAlignment="1">
      <alignment horizontal="left" vertical="top" shrinkToFit="1"/>
    </xf>
    <xf numFmtId="0" fontId="30" fillId="0" borderId="61" xfId="3" applyFont="1" applyBorder="1" applyAlignment="1">
      <alignment horizontal="left" vertical="top" shrinkToFit="1"/>
    </xf>
    <xf numFmtId="0" fontId="30" fillId="0" borderId="62" xfId="3" applyFont="1" applyBorder="1" applyAlignment="1">
      <alignment horizontal="left" vertical="top" shrinkToFit="1"/>
    </xf>
    <xf numFmtId="0" fontId="33" fillId="2" borderId="63" xfId="3" applyFont="1" applyFill="1" applyBorder="1" applyAlignment="1">
      <alignment horizontal="right" vertical="center" shrinkToFit="1"/>
    </xf>
    <xf numFmtId="0" fontId="18" fillId="0" borderId="67" xfId="3" applyFont="1" applyBorder="1" applyAlignment="1">
      <alignment horizontal="right" vertical="center" shrinkToFit="1"/>
    </xf>
    <xf numFmtId="0" fontId="18" fillId="0" borderId="68" xfId="3" applyFont="1" applyBorder="1">
      <alignment vertical="center"/>
    </xf>
    <xf numFmtId="0" fontId="18" fillId="3" borderId="69" xfId="3" applyFont="1" applyFill="1" applyBorder="1" applyAlignment="1">
      <alignment horizontal="right" vertical="center" shrinkToFit="1"/>
    </xf>
    <xf numFmtId="0" fontId="18" fillId="3" borderId="17" xfId="3" applyFont="1" applyFill="1" applyBorder="1" applyAlignment="1">
      <alignment horizontal="center" vertical="center" shrinkToFit="1"/>
    </xf>
    <xf numFmtId="0" fontId="18" fillId="4" borderId="69" xfId="3" applyFont="1" applyFill="1" applyBorder="1" applyAlignment="1">
      <alignment horizontal="right" vertical="center" shrinkToFit="1"/>
    </xf>
    <xf numFmtId="0" fontId="18" fillId="4" borderId="17" xfId="3" applyFont="1" applyFill="1" applyBorder="1" applyAlignment="1">
      <alignment horizontal="center" vertical="center" shrinkToFit="1"/>
    </xf>
    <xf numFmtId="0" fontId="18" fillId="28" borderId="17" xfId="3" applyFont="1" applyFill="1" applyBorder="1" applyAlignment="1">
      <alignment horizontal="center" vertical="center" shrinkToFit="1"/>
    </xf>
    <xf numFmtId="0" fontId="24" fillId="20" borderId="67" xfId="3" applyFont="1" applyFill="1" applyBorder="1" applyAlignment="1">
      <alignment horizontal="right" vertical="center" shrinkToFit="1"/>
    </xf>
    <xf numFmtId="0" fontId="24" fillId="21" borderId="67" xfId="3" applyFont="1" applyFill="1" applyBorder="1" applyAlignment="1">
      <alignment horizontal="right" vertical="center" shrinkToFit="1"/>
    </xf>
    <xf numFmtId="0" fontId="24" fillId="2" borderId="74" xfId="3" applyFont="1" applyFill="1" applyBorder="1" applyAlignment="1">
      <alignment horizontal="right" vertical="center" shrinkToFit="1"/>
    </xf>
    <xf numFmtId="0" fontId="30" fillId="0" borderId="70" xfId="3" applyFont="1" applyBorder="1" applyAlignment="1">
      <alignment horizontal="left" vertical="top" shrinkToFit="1"/>
    </xf>
    <xf numFmtId="0" fontId="18" fillId="0" borderId="75" xfId="3" applyFont="1" applyBorder="1" applyAlignment="1">
      <alignment horizontal="right" vertical="center" shrinkToFit="1"/>
    </xf>
    <xf numFmtId="0" fontId="30" fillId="0" borderId="76" xfId="3" applyFont="1" applyBorder="1" applyAlignment="1">
      <alignment horizontal="left" vertical="top" shrinkToFit="1"/>
    </xf>
    <xf numFmtId="0" fontId="30" fillId="0" borderId="77" xfId="3" applyFont="1" applyBorder="1" applyAlignment="1">
      <alignment horizontal="left" vertical="top" shrinkToFit="1"/>
    </xf>
    <xf numFmtId="0" fontId="30" fillId="0" borderId="78" xfId="3" applyFont="1" applyBorder="1" applyAlignment="1">
      <alignment horizontal="left" vertical="top" shrinkToFit="1"/>
    </xf>
    <xf numFmtId="0" fontId="33" fillId="5" borderId="79" xfId="3" applyFont="1" applyFill="1" applyBorder="1" applyAlignment="1">
      <alignment horizontal="right" vertical="center" shrinkToFit="1"/>
    </xf>
    <xf numFmtId="0" fontId="18" fillId="0" borderId="83" xfId="3" applyFont="1" applyBorder="1" applyAlignment="1">
      <alignment horizontal="right" vertical="center" shrinkToFit="1"/>
    </xf>
    <xf numFmtId="0" fontId="18" fillId="0" borderId="84" xfId="3" applyFont="1" applyBorder="1">
      <alignment vertical="center"/>
    </xf>
    <xf numFmtId="0" fontId="18" fillId="29" borderId="85" xfId="3" applyFont="1" applyFill="1" applyBorder="1" applyAlignment="1">
      <alignment horizontal="right" vertical="center" shrinkToFit="1"/>
    </xf>
    <xf numFmtId="0" fontId="18" fillId="29" borderId="17" xfId="3" applyFont="1" applyFill="1" applyBorder="1" applyAlignment="1">
      <alignment horizontal="center" vertical="center" shrinkToFit="1"/>
    </xf>
    <xf numFmtId="0" fontId="18" fillId="6" borderId="85" xfId="3" applyFont="1" applyFill="1" applyBorder="1" applyAlignment="1">
      <alignment horizontal="right" vertical="center" shrinkToFit="1"/>
    </xf>
    <xf numFmtId="0" fontId="18" fillId="6" borderId="17" xfId="3" applyFont="1" applyFill="1" applyBorder="1" applyAlignment="1">
      <alignment horizontal="center" vertical="center" shrinkToFit="1"/>
    </xf>
    <xf numFmtId="0" fontId="18" fillId="30" borderId="17" xfId="3" applyFont="1" applyFill="1" applyBorder="1" applyAlignment="1">
      <alignment horizontal="center" vertical="center" shrinkToFit="1"/>
    </xf>
    <xf numFmtId="0" fontId="24" fillId="20" borderId="83" xfId="3" applyFont="1" applyFill="1" applyBorder="1" applyAlignment="1">
      <alignment horizontal="right" vertical="center" shrinkToFit="1"/>
    </xf>
    <xf numFmtId="0" fontId="24" fillId="21" borderId="83" xfId="3" applyFont="1" applyFill="1" applyBorder="1" applyAlignment="1">
      <alignment horizontal="right" vertical="center" shrinkToFit="1"/>
    </xf>
    <xf numFmtId="0" fontId="24" fillId="5" borderId="90" xfId="3" applyFont="1" applyFill="1" applyBorder="1" applyAlignment="1">
      <alignment horizontal="right" vertical="center" shrinkToFit="1"/>
    </xf>
    <xf numFmtId="0" fontId="30" fillId="0" borderId="86" xfId="3" applyFont="1" applyBorder="1" applyAlignment="1">
      <alignment horizontal="left" vertical="top" shrinkToFit="1"/>
    </xf>
    <xf numFmtId="0" fontId="18" fillId="0" borderId="91" xfId="3" applyFont="1" applyBorder="1" applyAlignment="1">
      <alignment horizontal="right" vertical="center" shrinkToFit="1"/>
    </xf>
    <xf numFmtId="0" fontId="30" fillId="0" borderId="92" xfId="3" applyFont="1" applyBorder="1" applyAlignment="1">
      <alignment horizontal="left" vertical="top" shrinkToFit="1"/>
    </xf>
    <xf numFmtId="0" fontId="30" fillId="0" borderId="93" xfId="3" applyFont="1" applyBorder="1" applyAlignment="1">
      <alignment horizontal="left" vertical="top" shrinkToFit="1"/>
    </xf>
    <xf numFmtId="0" fontId="30" fillId="0" borderId="94" xfId="3" applyFont="1" applyBorder="1" applyAlignment="1">
      <alignment horizontal="left" vertical="top" shrinkToFit="1"/>
    </xf>
    <xf numFmtId="0" fontId="33" fillId="20" borderId="95" xfId="3" applyFont="1" applyFill="1" applyBorder="1" applyAlignment="1">
      <alignment horizontal="right" vertical="center" shrinkToFit="1"/>
    </xf>
    <xf numFmtId="0" fontId="18" fillId="0" borderId="99" xfId="3" applyFont="1" applyBorder="1" applyAlignment="1">
      <alignment horizontal="right" vertical="center" shrinkToFit="1"/>
    </xf>
    <xf numFmtId="0" fontId="18" fillId="0" borderId="100" xfId="3" applyFont="1" applyBorder="1">
      <alignment vertical="center"/>
    </xf>
    <xf numFmtId="0" fontId="18" fillId="21" borderId="101" xfId="3" applyFont="1" applyFill="1" applyBorder="1" applyAlignment="1">
      <alignment horizontal="right" vertical="center" shrinkToFit="1"/>
    </xf>
    <xf numFmtId="0" fontId="18" fillId="21" borderId="17" xfId="3" applyFont="1" applyFill="1" applyBorder="1" applyAlignment="1">
      <alignment horizontal="center" vertical="center" shrinkToFit="1"/>
    </xf>
    <xf numFmtId="0" fontId="18" fillId="31" borderId="101" xfId="3" applyFont="1" applyFill="1" applyBorder="1" applyAlignment="1">
      <alignment horizontal="right" vertical="center" shrinkToFit="1"/>
    </xf>
    <xf numFmtId="0" fontId="18" fillId="31" borderId="17" xfId="3" applyFont="1" applyFill="1" applyBorder="1" applyAlignment="1">
      <alignment horizontal="center" vertical="center" shrinkToFit="1"/>
    </xf>
    <xf numFmtId="0" fontId="18" fillId="32" borderId="17" xfId="3" applyFont="1" applyFill="1" applyBorder="1" applyAlignment="1">
      <alignment horizontal="center" vertical="center" shrinkToFit="1"/>
    </xf>
    <xf numFmtId="0" fontId="24" fillId="20" borderId="99" xfId="3" applyFont="1" applyFill="1" applyBorder="1" applyAlignment="1">
      <alignment horizontal="right" vertical="center" shrinkToFit="1"/>
    </xf>
    <xf numFmtId="0" fontId="24" fillId="21" borderId="99" xfId="3" applyFont="1" applyFill="1" applyBorder="1" applyAlignment="1">
      <alignment horizontal="right" vertical="center" shrinkToFit="1"/>
    </xf>
    <xf numFmtId="0" fontId="24" fillId="20" borderId="106" xfId="3" applyFont="1" applyFill="1" applyBorder="1" applyAlignment="1">
      <alignment horizontal="right" vertical="center" shrinkToFit="1"/>
    </xf>
    <xf numFmtId="0" fontId="30" fillId="0" borderId="102" xfId="3" applyFont="1" applyBorder="1" applyAlignment="1">
      <alignment horizontal="left" vertical="top" shrinkToFit="1"/>
    </xf>
    <xf numFmtId="0" fontId="18" fillId="0" borderId="107" xfId="3" applyFont="1" applyBorder="1" applyAlignment="1">
      <alignment horizontal="right" vertical="center" shrinkToFit="1"/>
    </xf>
    <xf numFmtId="0" fontId="30" fillId="0" borderId="108" xfId="3" applyFont="1" applyBorder="1" applyAlignment="1">
      <alignment horizontal="left" vertical="top" shrinkToFit="1"/>
    </xf>
    <xf numFmtId="0" fontId="30" fillId="0" borderId="109" xfId="3" applyFont="1" applyBorder="1" applyAlignment="1">
      <alignment horizontal="left" vertical="top" shrinkToFit="1"/>
    </xf>
    <xf numFmtId="0" fontId="30" fillId="0" borderId="110" xfId="3" applyFont="1" applyBorder="1" applyAlignment="1">
      <alignment horizontal="left" vertical="top" shrinkToFit="1"/>
    </xf>
    <xf numFmtId="0" fontId="18" fillId="4" borderId="25" xfId="3" applyFont="1" applyFill="1" applyBorder="1">
      <alignment vertical="center"/>
    </xf>
    <xf numFmtId="0" fontId="18" fillId="4" borderId="26" xfId="3" applyFont="1" applyFill="1" applyBorder="1" applyAlignment="1">
      <alignment vertical="center" shrinkToFit="1"/>
    </xf>
    <xf numFmtId="0" fontId="18" fillId="4" borderId="28" xfId="3" applyFont="1" applyFill="1" applyBorder="1" applyAlignment="1">
      <alignment vertical="center" shrinkToFit="1"/>
    </xf>
    <xf numFmtId="0" fontId="18" fillId="9" borderId="25" xfId="3" applyFont="1" applyFill="1" applyBorder="1">
      <alignment vertical="center"/>
    </xf>
    <xf numFmtId="0" fontId="18" fillId="9" borderId="26" xfId="3" applyFont="1" applyFill="1" applyBorder="1" applyAlignment="1">
      <alignment vertical="center" shrinkToFit="1"/>
    </xf>
    <xf numFmtId="0" fontId="18" fillId="9" borderId="28" xfId="3" applyFont="1" applyFill="1" applyBorder="1" applyAlignment="1">
      <alignment vertical="center" shrinkToFit="1"/>
    </xf>
    <xf numFmtId="0" fontId="18" fillId="7" borderId="25" xfId="3" applyFont="1" applyFill="1" applyBorder="1">
      <alignment vertical="center"/>
    </xf>
    <xf numFmtId="0" fontId="18" fillId="7" borderId="26" xfId="3" applyFont="1" applyFill="1" applyBorder="1" applyAlignment="1">
      <alignment vertical="center" shrinkToFit="1"/>
    </xf>
    <xf numFmtId="0" fontId="18" fillId="7" borderId="28" xfId="3" applyFont="1" applyFill="1" applyBorder="1" applyAlignment="1">
      <alignment vertical="center" shrinkToFit="1"/>
    </xf>
    <xf numFmtId="0" fontId="18" fillId="11" borderId="25" xfId="3" applyFont="1" applyFill="1" applyBorder="1">
      <alignment vertical="center"/>
    </xf>
    <xf numFmtId="0" fontId="18" fillId="11" borderId="26" xfId="3" applyFont="1" applyFill="1" applyBorder="1" applyAlignment="1">
      <alignment vertical="center" shrinkToFit="1"/>
    </xf>
    <xf numFmtId="0" fontId="18" fillId="11" borderId="28" xfId="3" applyFont="1" applyFill="1" applyBorder="1" applyAlignment="1">
      <alignment vertical="center" shrinkToFit="1"/>
    </xf>
    <xf numFmtId="0" fontId="18" fillId="11" borderId="111" xfId="3" applyFont="1" applyFill="1" applyBorder="1">
      <alignment vertical="center"/>
    </xf>
    <xf numFmtId="0" fontId="18" fillId="11" borderId="112" xfId="3" applyFont="1" applyFill="1" applyBorder="1" applyAlignment="1">
      <alignment vertical="center" shrinkToFit="1"/>
    </xf>
    <xf numFmtId="0" fontId="18" fillId="11" borderId="113" xfId="3" applyFont="1" applyFill="1" applyBorder="1" applyAlignment="1">
      <alignment vertical="center" shrinkToFit="1"/>
    </xf>
    <xf numFmtId="0" fontId="23" fillId="0" borderId="17" xfId="3" applyBorder="1" applyAlignment="1">
      <alignment vertical="center" shrinkToFit="1"/>
    </xf>
    <xf numFmtId="0" fontId="18" fillId="33" borderId="25" xfId="3" applyFont="1" applyFill="1" applyBorder="1">
      <alignment vertical="center"/>
    </xf>
    <xf numFmtId="0" fontId="18" fillId="33" borderId="26" xfId="3" applyFont="1" applyFill="1" applyBorder="1" applyAlignment="1">
      <alignment vertical="center" shrinkToFit="1"/>
    </xf>
    <xf numFmtId="0" fontId="18" fillId="33" borderId="28" xfId="3" applyFont="1" applyFill="1" applyBorder="1" applyAlignment="1">
      <alignment vertical="center" shrinkToFit="1"/>
    </xf>
    <xf numFmtId="0" fontId="18" fillId="34" borderId="25" xfId="3" applyFont="1" applyFill="1" applyBorder="1">
      <alignment vertical="center"/>
    </xf>
    <xf numFmtId="0" fontId="18" fillId="34" borderId="26" xfId="3" applyFont="1" applyFill="1" applyBorder="1" applyAlignment="1">
      <alignment vertical="center" shrinkToFit="1"/>
    </xf>
    <xf numFmtId="0" fontId="18" fillId="34" borderId="28" xfId="3" applyFont="1" applyFill="1" applyBorder="1" applyAlignment="1">
      <alignment vertical="center" shrinkToFit="1"/>
    </xf>
    <xf numFmtId="0" fontId="18" fillId="19" borderId="25" xfId="3" applyFont="1" applyFill="1" applyBorder="1">
      <alignment vertical="center"/>
    </xf>
    <xf numFmtId="0" fontId="18" fillId="19" borderId="26" xfId="3" applyFont="1" applyFill="1" applyBorder="1" applyAlignment="1">
      <alignment vertical="center" shrinkToFit="1"/>
    </xf>
    <xf numFmtId="0" fontId="18" fillId="19" borderId="28" xfId="3" applyFont="1" applyFill="1" applyBorder="1" applyAlignment="1">
      <alignment vertical="center" shrinkToFit="1"/>
    </xf>
    <xf numFmtId="0" fontId="18" fillId="35" borderId="25" xfId="3" applyFont="1" applyFill="1" applyBorder="1">
      <alignment vertical="center"/>
    </xf>
    <xf numFmtId="0" fontId="18" fillId="35" borderId="26" xfId="3" applyFont="1" applyFill="1" applyBorder="1" applyAlignment="1">
      <alignment vertical="center" shrinkToFit="1"/>
    </xf>
    <xf numFmtId="0" fontId="18" fillId="35" borderId="28" xfId="3" applyFont="1" applyFill="1" applyBorder="1" applyAlignment="1">
      <alignment vertical="center" shrinkToFit="1"/>
    </xf>
    <xf numFmtId="0" fontId="18" fillId="36" borderId="25" xfId="3" applyFont="1" applyFill="1" applyBorder="1">
      <alignment vertical="center"/>
    </xf>
    <xf numFmtId="0" fontId="18" fillId="36" borderId="26" xfId="3" applyFont="1" applyFill="1" applyBorder="1" applyAlignment="1">
      <alignment vertical="center" shrinkToFit="1"/>
    </xf>
    <xf numFmtId="0" fontId="18" fillId="36" borderId="28" xfId="3" applyFont="1" applyFill="1" applyBorder="1" applyAlignment="1">
      <alignment vertical="center" shrinkToFit="1"/>
    </xf>
    <xf numFmtId="0" fontId="18" fillId="37" borderId="25" xfId="3" applyFont="1" applyFill="1" applyBorder="1">
      <alignment vertical="center"/>
    </xf>
    <xf numFmtId="0" fontId="18" fillId="37" borderId="26" xfId="3" applyFont="1" applyFill="1" applyBorder="1" applyAlignment="1">
      <alignment vertical="center" shrinkToFit="1"/>
    </xf>
    <xf numFmtId="0" fontId="18" fillId="37" borderId="28" xfId="3" applyFont="1" applyFill="1" applyBorder="1" applyAlignment="1">
      <alignment vertical="center" shrinkToFit="1"/>
    </xf>
    <xf numFmtId="0" fontId="18" fillId="38" borderId="25" xfId="3" applyFont="1" applyFill="1" applyBorder="1">
      <alignment vertical="center"/>
    </xf>
    <xf numFmtId="0" fontId="18" fillId="38" borderId="26" xfId="3" applyFont="1" applyFill="1" applyBorder="1" applyAlignment="1">
      <alignment vertical="center" shrinkToFit="1"/>
    </xf>
    <xf numFmtId="0" fontId="18" fillId="38" borderId="28" xfId="3" applyFont="1" applyFill="1" applyBorder="1" applyAlignment="1">
      <alignment vertical="center" shrinkToFit="1"/>
    </xf>
    <xf numFmtId="0" fontId="18" fillId="39" borderId="25" xfId="3" applyFont="1" applyFill="1" applyBorder="1">
      <alignment vertical="center"/>
    </xf>
    <xf numFmtId="0" fontId="18" fillId="39" borderId="26" xfId="3" applyFont="1" applyFill="1" applyBorder="1" applyAlignment="1">
      <alignment vertical="center" shrinkToFit="1"/>
    </xf>
    <xf numFmtId="0" fontId="18" fillId="39" borderId="28" xfId="3" applyFont="1" applyFill="1" applyBorder="1" applyAlignment="1">
      <alignment vertical="center" shrinkToFit="1"/>
    </xf>
    <xf numFmtId="0" fontId="18" fillId="31" borderId="25" xfId="3" applyFont="1" applyFill="1" applyBorder="1">
      <alignment vertical="center"/>
    </xf>
    <xf numFmtId="0" fontId="18" fillId="31" borderId="26" xfId="3" applyFont="1" applyFill="1" applyBorder="1" applyAlignment="1">
      <alignment vertical="center" shrinkToFit="1"/>
    </xf>
    <xf numFmtId="0" fontId="18" fillId="31" borderId="28" xfId="3" applyFont="1" applyFill="1" applyBorder="1" applyAlignment="1">
      <alignment vertical="center" shrinkToFit="1"/>
    </xf>
    <xf numFmtId="0" fontId="18" fillId="40" borderId="25" xfId="3" applyFont="1" applyFill="1" applyBorder="1">
      <alignment vertical="center"/>
    </xf>
    <xf numFmtId="0" fontId="18" fillId="40" borderId="26" xfId="3" applyFont="1" applyFill="1" applyBorder="1" applyAlignment="1">
      <alignment vertical="center" shrinkToFit="1"/>
    </xf>
    <xf numFmtId="0" fontId="18" fillId="40" borderId="28" xfId="3" applyFont="1" applyFill="1" applyBorder="1" applyAlignment="1">
      <alignment vertical="center" shrinkToFit="1"/>
    </xf>
    <xf numFmtId="0" fontId="18" fillId="0" borderId="25" xfId="3" applyFont="1" applyBorder="1">
      <alignment vertical="center"/>
    </xf>
    <xf numFmtId="0" fontId="18" fillId="0" borderId="26" xfId="3" applyFont="1" applyBorder="1" applyAlignment="1">
      <alignment vertical="center" shrinkToFit="1"/>
    </xf>
    <xf numFmtId="0" fontId="18" fillId="0" borderId="28" xfId="3" applyFont="1" applyBorder="1" applyAlignment="1">
      <alignment vertical="center" shrinkToFit="1"/>
    </xf>
    <xf numFmtId="0" fontId="23" fillId="0" borderId="17" xfId="3" applyBorder="1">
      <alignment vertical="center"/>
    </xf>
    <xf numFmtId="0" fontId="23" fillId="0" borderId="25" xfId="3" applyBorder="1" applyAlignment="1">
      <alignment horizontal="right" vertical="center"/>
    </xf>
    <xf numFmtId="0" fontId="23" fillId="0" borderId="26" xfId="3" applyBorder="1">
      <alignment vertical="center"/>
    </xf>
    <xf numFmtId="0" fontId="23" fillId="0" borderId="28" xfId="3" applyBorder="1">
      <alignment vertical="center"/>
    </xf>
    <xf numFmtId="0" fontId="39" fillId="0" borderId="0" xfId="0" applyFont="1">
      <alignment vertical="center"/>
    </xf>
    <xf numFmtId="0" fontId="20" fillId="0" borderId="0" xfId="0" applyFont="1" applyAlignment="1">
      <alignment vertical="center" shrinkToFit="1"/>
    </xf>
    <xf numFmtId="0" fontId="20" fillId="0" borderId="0" xfId="0" applyFont="1">
      <alignment vertical="center"/>
    </xf>
    <xf numFmtId="0" fontId="40" fillId="0" borderId="0" xfId="0" applyFont="1" applyAlignment="1">
      <alignment horizontal="center" vertical="center" shrinkToFit="1"/>
    </xf>
    <xf numFmtId="0" fontId="41" fillId="39" borderId="0" xfId="0" applyFont="1" applyFill="1" applyAlignment="1">
      <alignment horizontal="left" vertical="center" shrinkToFit="1"/>
    </xf>
    <xf numFmtId="0" fontId="20" fillId="39" borderId="0" xfId="0" applyFont="1" applyFill="1" applyAlignment="1">
      <alignment vertical="center" shrinkToFit="1"/>
    </xf>
    <xf numFmtId="0" fontId="29" fillId="0" borderId="0" xfId="0" applyFont="1" applyAlignment="1">
      <alignment horizontal="center" vertical="center" shrinkToFit="1"/>
    </xf>
    <xf numFmtId="0" fontId="29" fillId="39" borderId="114" xfId="0" applyFont="1" applyFill="1" applyBorder="1" applyAlignment="1">
      <alignment vertical="center" shrinkToFit="1"/>
    </xf>
    <xf numFmtId="0" fontId="29" fillId="39" borderId="115" xfId="0" applyFont="1" applyFill="1" applyBorder="1" applyAlignment="1">
      <alignment vertical="center" shrinkToFit="1"/>
    </xf>
    <xf numFmtId="0" fontId="29" fillId="39" borderId="0" xfId="0" applyFont="1" applyFill="1" applyAlignment="1">
      <alignment vertical="center" shrinkToFit="1"/>
    </xf>
    <xf numFmtId="0" fontId="29" fillId="39" borderId="83" xfId="0" applyFont="1" applyFill="1" applyBorder="1" applyAlignment="1">
      <alignment vertical="center" shrinkToFit="1"/>
    </xf>
    <xf numFmtId="0" fontId="29" fillId="39" borderId="84" xfId="0" applyFont="1" applyFill="1" applyBorder="1" applyAlignment="1">
      <alignment vertical="center" shrinkToFit="1"/>
    </xf>
    <xf numFmtId="0" fontId="20" fillId="39" borderId="83" xfId="0" applyFont="1" applyFill="1" applyBorder="1" applyAlignment="1">
      <alignment vertical="center" shrinkToFit="1"/>
    </xf>
    <xf numFmtId="0" fontId="20" fillId="39" borderId="84" xfId="0" applyFont="1" applyFill="1" applyBorder="1" applyAlignment="1">
      <alignment vertical="center" shrinkToFit="1"/>
    </xf>
    <xf numFmtId="0" fontId="30" fillId="39" borderId="91" xfId="0" applyFont="1" applyFill="1" applyBorder="1" applyAlignment="1">
      <alignment vertical="center" shrinkToFit="1"/>
    </xf>
    <xf numFmtId="0" fontId="29" fillId="39" borderId="116" xfId="0" applyFont="1" applyFill="1" applyBorder="1" applyAlignment="1">
      <alignment vertical="center" shrinkToFit="1"/>
    </xf>
    <xf numFmtId="0" fontId="42" fillId="39" borderId="0" xfId="0" applyFont="1" applyFill="1" applyAlignment="1">
      <alignment vertical="center" shrinkToFit="1"/>
    </xf>
    <xf numFmtId="0" fontId="29" fillId="39" borderId="117" xfId="0" applyFont="1" applyFill="1" applyBorder="1" applyAlignment="1">
      <alignment vertical="center" shrinkToFit="1"/>
    </xf>
    <xf numFmtId="0" fontId="29" fillId="39" borderId="118" xfId="0" applyFont="1" applyFill="1" applyBorder="1" applyAlignment="1">
      <alignment vertical="center" shrinkToFit="1"/>
    </xf>
    <xf numFmtId="0" fontId="29" fillId="39" borderId="67" xfId="0" applyFont="1" applyFill="1" applyBorder="1" applyAlignment="1">
      <alignment vertical="center" shrinkToFit="1"/>
    </xf>
    <xf numFmtId="0" fontId="29" fillId="39" borderId="68" xfId="0" applyFont="1" applyFill="1" applyBorder="1" applyAlignment="1">
      <alignment vertical="center" shrinkToFit="1"/>
    </xf>
    <xf numFmtId="0" fontId="29" fillId="39" borderId="75" xfId="0" applyFont="1" applyFill="1" applyBorder="1" applyAlignment="1">
      <alignment vertical="center" shrinkToFit="1"/>
    </xf>
    <xf numFmtId="0" fontId="29" fillId="39" borderId="119" xfId="0" applyFont="1" applyFill="1" applyBorder="1" applyAlignment="1">
      <alignment vertical="center" shrinkToFit="1"/>
    </xf>
    <xf numFmtId="0" fontId="43" fillId="39" borderId="0" xfId="0" applyFont="1" applyFill="1" applyAlignment="1">
      <alignment vertical="center" shrinkToFit="1"/>
    </xf>
    <xf numFmtId="0" fontId="29" fillId="39" borderId="120" xfId="0" applyFont="1" applyFill="1" applyBorder="1" applyAlignment="1">
      <alignment vertical="center" shrinkToFit="1"/>
    </xf>
    <xf numFmtId="0" fontId="29" fillId="39" borderId="121" xfId="0" applyFont="1" applyFill="1" applyBorder="1" applyAlignment="1">
      <alignment vertical="center" shrinkToFit="1"/>
    </xf>
    <xf numFmtId="0" fontId="20" fillId="39" borderId="51" xfId="0" applyFont="1" applyFill="1" applyBorder="1" applyAlignment="1">
      <alignment vertical="center" shrinkToFit="1"/>
    </xf>
    <xf numFmtId="0" fontId="20" fillId="39" borderId="52" xfId="0" applyFont="1" applyFill="1" applyBorder="1" applyAlignment="1">
      <alignment vertical="center" shrinkToFit="1"/>
    </xf>
    <xf numFmtId="0" fontId="29" fillId="39" borderId="51" xfId="0" applyFont="1" applyFill="1" applyBorder="1" applyAlignment="1">
      <alignment vertical="center" shrinkToFit="1"/>
    </xf>
    <xf numFmtId="0" fontId="29" fillId="39" borderId="52" xfId="0" applyFont="1" applyFill="1" applyBorder="1" applyAlignment="1">
      <alignment vertical="center" shrinkToFit="1"/>
    </xf>
    <xf numFmtId="0" fontId="29" fillId="39" borderId="59" xfId="0" applyFont="1" applyFill="1" applyBorder="1" applyAlignment="1">
      <alignment vertical="center" shrinkToFit="1"/>
    </xf>
    <xf numFmtId="0" fontId="29" fillId="39" borderId="122" xfId="0" applyFont="1" applyFill="1" applyBorder="1" applyAlignment="1">
      <alignment vertical="center" shrinkToFit="1"/>
    </xf>
    <xf numFmtId="0" fontId="20" fillId="23" borderId="0" xfId="0" applyFont="1" applyFill="1" applyAlignment="1">
      <alignment vertical="center" shrinkToFit="1"/>
    </xf>
    <xf numFmtId="0" fontId="44" fillId="0" borderId="0" xfId="0" applyFont="1" applyAlignment="1">
      <alignment vertical="center" shrinkToFit="1"/>
    </xf>
    <xf numFmtId="0" fontId="29" fillId="39" borderId="123" xfId="0" applyFont="1" applyFill="1" applyBorder="1" applyAlignment="1">
      <alignment vertical="center" shrinkToFit="1"/>
    </xf>
    <xf numFmtId="0" fontId="29" fillId="0" borderId="0" xfId="0" applyFont="1" applyAlignment="1">
      <alignment vertical="center" shrinkToFit="1"/>
    </xf>
    <xf numFmtId="0" fontId="29" fillId="39" borderId="124" xfId="0" applyFont="1" applyFill="1" applyBorder="1" applyAlignment="1">
      <alignment vertical="center" shrinkToFit="1"/>
    </xf>
    <xf numFmtId="0" fontId="29" fillId="39" borderId="125" xfId="0" applyFont="1" applyFill="1" applyBorder="1" applyAlignment="1">
      <alignment vertical="center" shrinkToFit="1"/>
    </xf>
    <xf numFmtId="0" fontId="29" fillId="39" borderId="126" xfId="0" applyFont="1" applyFill="1" applyBorder="1" applyAlignment="1">
      <alignment vertical="center" shrinkToFit="1"/>
    </xf>
    <xf numFmtId="0" fontId="29" fillId="39" borderId="127" xfId="0" applyFont="1" applyFill="1" applyBorder="1" applyAlignment="1">
      <alignment vertical="center" shrinkToFit="1"/>
    </xf>
    <xf numFmtId="0" fontId="29" fillId="39" borderId="128" xfId="0" applyFont="1" applyFill="1" applyBorder="1" applyAlignment="1">
      <alignment vertical="center" shrinkToFit="1"/>
    </xf>
    <xf numFmtId="0" fontId="45" fillId="39" borderId="0" xfId="0" applyFont="1" applyFill="1" applyAlignment="1">
      <alignment vertical="center" shrinkToFit="1"/>
    </xf>
    <xf numFmtId="0" fontId="29" fillId="39" borderId="129" xfId="0" applyFont="1" applyFill="1" applyBorder="1" applyAlignment="1">
      <alignment vertical="center" shrinkToFit="1"/>
    </xf>
    <xf numFmtId="0" fontId="29" fillId="39" borderId="130" xfId="0" applyFont="1" applyFill="1" applyBorder="1" applyAlignment="1">
      <alignment vertical="center" shrinkToFit="1"/>
    </xf>
    <xf numFmtId="0" fontId="29" fillId="39" borderId="131" xfId="0" applyFont="1" applyFill="1" applyBorder="1" applyAlignment="1">
      <alignment vertical="center" shrinkToFit="1"/>
    </xf>
    <xf numFmtId="0" fontId="29" fillId="39" borderId="132" xfId="0" applyFont="1" applyFill="1" applyBorder="1" applyAlignment="1">
      <alignment vertical="center" shrinkToFit="1"/>
    </xf>
    <xf numFmtId="0" fontId="20" fillId="39" borderId="131" xfId="0" applyFont="1" applyFill="1" applyBorder="1" applyAlignment="1">
      <alignment vertical="center" shrinkToFit="1"/>
    </xf>
    <xf numFmtId="0" fontId="20" fillId="39" borderId="132" xfId="0" applyFont="1" applyFill="1" applyBorder="1" applyAlignment="1">
      <alignment vertical="center" shrinkToFit="1"/>
    </xf>
    <xf numFmtId="0" fontId="29" fillId="39" borderId="133" xfId="0" applyFont="1" applyFill="1" applyBorder="1" applyAlignment="1">
      <alignment vertical="center" shrinkToFit="1"/>
    </xf>
    <xf numFmtId="0" fontId="29" fillId="39" borderId="134" xfId="0" applyFont="1" applyFill="1" applyBorder="1" applyAlignment="1">
      <alignment vertical="center" shrinkToFit="1"/>
    </xf>
    <xf numFmtId="0" fontId="46" fillId="39" borderId="0" xfId="0" applyFont="1" applyFill="1" applyAlignment="1">
      <alignment vertical="center" shrinkToFit="1"/>
    </xf>
    <xf numFmtId="0" fontId="20" fillId="39" borderId="135" xfId="0" applyFont="1" applyFill="1" applyBorder="1" applyAlignment="1">
      <alignment vertical="center" shrinkToFit="1"/>
    </xf>
    <xf numFmtId="0" fontId="20" fillId="39" borderId="136" xfId="0" applyFont="1" applyFill="1" applyBorder="1" applyAlignment="1">
      <alignment vertical="center" shrinkToFit="1"/>
    </xf>
    <xf numFmtId="0" fontId="20" fillId="39" borderId="137" xfId="0" applyFont="1" applyFill="1" applyBorder="1" applyAlignment="1">
      <alignment vertical="center" shrinkToFit="1"/>
    </xf>
    <xf numFmtId="0" fontId="20" fillId="39" borderId="138" xfId="0" applyFont="1" applyFill="1" applyBorder="1" applyAlignment="1">
      <alignment vertical="center" shrinkToFit="1"/>
    </xf>
    <xf numFmtId="0" fontId="29" fillId="39" borderId="137" xfId="0" applyFont="1" applyFill="1" applyBorder="1" applyAlignment="1">
      <alignment vertical="center" shrinkToFit="1"/>
    </xf>
    <xf numFmtId="0" fontId="29" fillId="39" borderId="138" xfId="0" applyFont="1" applyFill="1" applyBorder="1" applyAlignment="1">
      <alignment vertical="center" shrinkToFit="1"/>
    </xf>
    <xf numFmtId="0" fontId="30" fillId="0" borderId="0" xfId="0" applyFont="1" applyAlignment="1">
      <alignment horizontal="center" vertical="center" shrinkToFit="1"/>
    </xf>
    <xf numFmtId="0" fontId="30" fillId="39" borderId="137" xfId="0" applyFont="1" applyFill="1" applyBorder="1" applyAlignment="1">
      <alignment vertical="center" shrinkToFit="1"/>
    </xf>
    <xf numFmtId="0" fontId="30" fillId="39" borderId="138" xfId="0" applyFont="1" applyFill="1" applyBorder="1" applyAlignment="1">
      <alignment vertical="center" shrinkToFit="1"/>
    </xf>
    <xf numFmtId="0" fontId="30" fillId="39" borderId="0" xfId="0" applyFont="1" applyFill="1" applyAlignment="1">
      <alignment vertical="center" shrinkToFit="1"/>
    </xf>
    <xf numFmtId="0" fontId="29" fillId="39" borderId="139" xfId="0" applyFont="1" applyFill="1" applyBorder="1" applyAlignment="1">
      <alignment vertical="center" shrinkToFit="1"/>
    </xf>
    <xf numFmtId="0" fontId="29" fillId="39" borderId="140" xfId="0" applyFont="1" applyFill="1" applyBorder="1" applyAlignment="1">
      <alignment vertical="center" shrinkToFit="1"/>
    </xf>
    <xf numFmtId="0" fontId="41" fillId="23" borderId="0" xfId="0" applyFont="1" applyFill="1" applyAlignment="1">
      <alignment vertical="center" shrinkToFit="1"/>
    </xf>
    <xf numFmtId="0" fontId="29" fillId="23" borderId="114" xfId="0" applyFont="1" applyFill="1" applyBorder="1" applyAlignment="1">
      <alignment vertical="center" shrinkToFit="1"/>
    </xf>
    <xf numFmtId="0" fontId="29" fillId="23" borderId="115" xfId="0" applyFont="1" applyFill="1" applyBorder="1" applyAlignment="1">
      <alignment vertical="center" shrinkToFit="1"/>
    </xf>
    <xf numFmtId="0" fontId="29" fillId="23" borderId="0" xfId="0" applyFont="1" applyFill="1" applyAlignment="1">
      <alignment vertical="center" shrinkToFit="1"/>
    </xf>
    <xf numFmtId="0" fontId="29" fillId="23" borderId="83" xfId="0" applyFont="1" applyFill="1" applyBorder="1" applyAlignment="1">
      <alignment vertical="center" shrinkToFit="1"/>
    </xf>
    <xf numFmtId="0" fontId="29" fillId="23" borderId="84" xfId="0" applyFont="1" applyFill="1" applyBorder="1" applyAlignment="1">
      <alignment vertical="center" shrinkToFit="1"/>
    </xf>
    <xf numFmtId="0" fontId="20" fillId="23" borderId="83" xfId="0" applyFont="1" applyFill="1" applyBorder="1" applyAlignment="1">
      <alignment vertical="center" shrinkToFit="1"/>
    </xf>
    <xf numFmtId="0" fontId="20" fillId="23" borderId="84" xfId="0" applyFont="1" applyFill="1" applyBorder="1" applyAlignment="1">
      <alignment vertical="center" shrinkToFit="1"/>
    </xf>
    <xf numFmtId="0" fontId="29" fillId="23" borderId="91" xfId="0" applyFont="1" applyFill="1" applyBorder="1" applyAlignment="1">
      <alignment vertical="center" shrinkToFit="1"/>
    </xf>
    <xf numFmtId="0" fontId="29" fillId="23" borderId="116" xfId="0" applyFont="1" applyFill="1" applyBorder="1" applyAlignment="1">
      <alignment vertical="center" shrinkToFit="1"/>
    </xf>
    <xf numFmtId="0" fontId="42" fillId="23" borderId="0" xfId="0" applyFont="1" applyFill="1" applyAlignment="1">
      <alignment vertical="center" shrinkToFit="1"/>
    </xf>
    <xf numFmtId="0" fontId="29" fillId="23" borderId="117" xfId="0" applyFont="1" applyFill="1" applyBorder="1" applyAlignment="1">
      <alignment vertical="center" shrinkToFit="1"/>
    </xf>
    <xf numFmtId="0" fontId="29" fillId="23" borderId="118" xfId="0" applyFont="1" applyFill="1" applyBorder="1" applyAlignment="1">
      <alignment vertical="center" shrinkToFit="1"/>
    </xf>
    <xf numFmtId="0" fontId="29" fillId="23" borderId="67" xfId="0" applyFont="1" applyFill="1" applyBorder="1" applyAlignment="1">
      <alignment vertical="center" shrinkToFit="1"/>
    </xf>
    <xf numFmtId="0" fontId="29" fillId="23" borderId="68" xfId="0" applyFont="1" applyFill="1" applyBorder="1" applyAlignment="1">
      <alignment vertical="center" shrinkToFit="1"/>
    </xf>
    <xf numFmtId="0" fontId="30" fillId="23" borderId="67" xfId="0" applyFont="1" applyFill="1" applyBorder="1" applyAlignment="1">
      <alignment vertical="center" shrinkToFit="1"/>
    </xf>
    <xf numFmtId="0" fontId="30" fillId="23" borderId="68" xfId="0" applyFont="1" applyFill="1" applyBorder="1" applyAlignment="1">
      <alignment vertical="center" shrinkToFit="1"/>
    </xf>
    <xf numFmtId="0" fontId="30" fillId="23" borderId="0" xfId="0" applyFont="1" applyFill="1" applyAlignment="1">
      <alignment vertical="center" shrinkToFit="1"/>
    </xf>
    <xf numFmtId="0" fontId="29" fillId="23" borderId="75" xfId="0" applyFont="1" applyFill="1" applyBorder="1" applyAlignment="1">
      <alignment vertical="center" shrinkToFit="1"/>
    </xf>
    <xf numFmtId="0" fontId="29" fillId="23" borderId="119" xfId="0" applyFont="1" applyFill="1" applyBorder="1" applyAlignment="1">
      <alignment vertical="center" shrinkToFit="1"/>
    </xf>
    <xf numFmtId="0" fontId="43" fillId="23" borderId="0" xfId="0" applyFont="1" applyFill="1" applyAlignment="1">
      <alignment vertical="center" shrinkToFit="1"/>
    </xf>
    <xf numFmtId="0" fontId="29" fillId="39" borderId="141" xfId="0" applyFont="1" applyFill="1" applyBorder="1" applyAlignment="1">
      <alignment vertical="center" shrinkToFit="1"/>
    </xf>
    <xf numFmtId="0" fontId="29" fillId="39" borderId="142" xfId="0" applyFont="1" applyFill="1" applyBorder="1" applyAlignment="1">
      <alignment vertical="center" shrinkToFit="1"/>
    </xf>
    <xf numFmtId="0" fontId="20" fillId="39" borderId="143" xfId="0" applyFont="1" applyFill="1" applyBorder="1" applyAlignment="1">
      <alignment vertical="center" shrinkToFit="1"/>
    </xf>
    <xf numFmtId="0" fontId="30" fillId="0" borderId="0" xfId="0" applyFont="1" applyAlignment="1">
      <alignment vertical="center" shrinkToFit="1"/>
    </xf>
    <xf numFmtId="0" fontId="29" fillId="39" borderId="144" xfId="0" applyFont="1" applyFill="1" applyBorder="1" applyAlignment="1">
      <alignment vertical="center" shrinkToFit="1"/>
    </xf>
    <xf numFmtId="0" fontId="29" fillId="23" borderId="123" xfId="0" applyFont="1" applyFill="1" applyBorder="1" applyAlignment="1">
      <alignment vertical="center" shrinkToFit="1"/>
    </xf>
    <xf numFmtId="0" fontId="29" fillId="23" borderId="124" xfId="0" applyFont="1" applyFill="1" applyBorder="1" applyAlignment="1">
      <alignment vertical="center" shrinkToFit="1"/>
    </xf>
    <xf numFmtId="0" fontId="29" fillId="23" borderId="125" xfId="0" applyFont="1" applyFill="1" applyBorder="1" applyAlignment="1">
      <alignment vertical="center" shrinkToFit="1"/>
    </xf>
    <xf numFmtId="0" fontId="29" fillId="23" borderId="126" xfId="0" applyFont="1" applyFill="1" applyBorder="1" applyAlignment="1">
      <alignment vertical="center" shrinkToFit="1"/>
    </xf>
    <xf numFmtId="0" fontId="29" fillId="23" borderId="120" xfId="0" applyFont="1" applyFill="1" applyBorder="1" applyAlignment="1">
      <alignment vertical="center" shrinkToFit="1"/>
    </xf>
    <xf numFmtId="0" fontId="29" fillId="23" borderId="121" xfId="0" applyFont="1" applyFill="1" applyBorder="1" applyAlignment="1">
      <alignment vertical="center" shrinkToFit="1"/>
    </xf>
    <xf numFmtId="0" fontId="29" fillId="23" borderId="51" xfId="0" applyFont="1" applyFill="1" applyBorder="1" applyAlignment="1">
      <alignment vertical="center" shrinkToFit="1"/>
    </xf>
    <xf numFmtId="0" fontId="29" fillId="23" borderId="52" xfId="0" applyFont="1" applyFill="1" applyBorder="1" applyAlignment="1">
      <alignment vertical="center" shrinkToFit="1"/>
    </xf>
    <xf numFmtId="0" fontId="20" fillId="23" borderId="51" xfId="0" applyFont="1" applyFill="1" applyBorder="1" applyAlignment="1">
      <alignment vertical="center" shrinkToFit="1"/>
    </xf>
    <xf numFmtId="0" fontId="20" fillId="23" borderId="52" xfId="0" applyFont="1" applyFill="1" applyBorder="1" applyAlignment="1">
      <alignment vertical="center" shrinkToFit="1"/>
    </xf>
    <xf numFmtId="0" fontId="29" fillId="23" borderId="59" xfId="0" applyFont="1" applyFill="1" applyBorder="1" applyAlignment="1">
      <alignment vertical="center" shrinkToFit="1"/>
    </xf>
    <xf numFmtId="0" fontId="29" fillId="23" borderId="122" xfId="0" applyFont="1" applyFill="1" applyBorder="1" applyAlignment="1">
      <alignment vertical="center" shrinkToFit="1"/>
    </xf>
    <xf numFmtId="0" fontId="45" fillId="23" borderId="0" xfId="0" applyFont="1" applyFill="1" applyAlignment="1">
      <alignment vertical="center" shrinkToFit="1"/>
    </xf>
    <xf numFmtId="0" fontId="20" fillId="23" borderId="129" xfId="0" applyFont="1" applyFill="1" applyBorder="1" applyAlignment="1">
      <alignment vertical="center" shrinkToFit="1"/>
    </xf>
    <xf numFmtId="0" fontId="20" fillId="23" borderId="130" xfId="0" applyFont="1" applyFill="1" applyBorder="1" applyAlignment="1">
      <alignment vertical="center" shrinkToFit="1"/>
    </xf>
    <xf numFmtId="0" fontId="20" fillId="23" borderId="131" xfId="0" applyFont="1" applyFill="1" applyBorder="1" applyAlignment="1">
      <alignment vertical="center" shrinkToFit="1"/>
    </xf>
    <xf numFmtId="0" fontId="20" fillId="23" borderId="132" xfId="0" applyFont="1" applyFill="1" applyBorder="1" applyAlignment="1">
      <alignment vertical="center" shrinkToFit="1"/>
    </xf>
    <xf numFmtId="0" fontId="29" fillId="23" borderId="131" xfId="0" applyFont="1" applyFill="1" applyBorder="1" applyAlignment="1">
      <alignment vertical="center" shrinkToFit="1"/>
    </xf>
    <xf numFmtId="0" fontId="29" fillId="23" borderId="132" xfId="0" applyFont="1" applyFill="1" applyBorder="1" applyAlignment="1">
      <alignment vertical="center" shrinkToFit="1"/>
    </xf>
    <xf numFmtId="0" fontId="29" fillId="23" borderId="133" xfId="0" applyFont="1" applyFill="1" applyBorder="1" applyAlignment="1">
      <alignment vertical="center" shrinkToFit="1"/>
    </xf>
    <xf numFmtId="0" fontId="29" fillId="23" borderId="134" xfId="0" applyFont="1" applyFill="1" applyBorder="1" applyAlignment="1">
      <alignment vertical="center" shrinkToFit="1"/>
    </xf>
    <xf numFmtId="0" fontId="46" fillId="23" borderId="0" xfId="0" applyFont="1" applyFill="1" applyAlignment="1">
      <alignment vertical="center" shrinkToFit="1"/>
    </xf>
    <xf numFmtId="0" fontId="29" fillId="23" borderId="135" xfId="0" applyFont="1" applyFill="1" applyBorder="1" applyAlignment="1">
      <alignment vertical="center" shrinkToFit="1"/>
    </xf>
    <xf numFmtId="0" fontId="29" fillId="23" borderId="136" xfId="0" applyFont="1" applyFill="1" applyBorder="1" applyAlignment="1">
      <alignment vertical="center" shrinkToFit="1"/>
    </xf>
    <xf numFmtId="0" fontId="29" fillId="23" borderId="137" xfId="0" applyFont="1" applyFill="1" applyBorder="1" applyAlignment="1">
      <alignment vertical="center" shrinkToFit="1"/>
    </xf>
    <xf numFmtId="0" fontId="29" fillId="23" borderId="138" xfId="0" applyFont="1" applyFill="1" applyBorder="1" applyAlignment="1">
      <alignment vertical="center" shrinkToFit="1"/>
    </xf>
    <xf numFmtId="0" fontId="20" fillId="23" borderId="137" xfId="0" applyFont="1" applyFill="1" applyBorder="1" applyAlignment="1">
      <alignment vertical="center" shrinkToFit="1"/>
    </xf>
    <xf numFmtId="0" fontId="20" fillId="23" borderId="138" xfId="0" applyFont="1" applyFill="1" applyBorder="1" applyAlignment="1">
      <alignment vertical="center" shrinkToFit="1"/>
    </xf>
    <xf numFmtId="0" fontId="44" fillId="23" borderId="137" xfId="0" applyFont="1" applyFill="1" applyBorder="1" applyAlignment="1">
      <alignment vertical="center" shrinkToFit="1"/>
    </xf>
    <xf numFmtId="0" fontId="44" fillId="23" borderId="138" xfId="0" applyFont="1" applyFill="1" applyBorder="1" applyAlignment="1">
      <alignment vertical="center" shrinkToFit="1"/>
    </xf>
    <xf numFmtId="0" fontId="44" fillId="23" borderId="0" xfId="0" applyFont="1" applyFill="1" applyAlignment="1">
      <alignment vertical="center" shrinkToFit="1"/>
    </xf>
    <xf numFmtId="0" fontId="29" fillId="23" borderId="139" xfId="0" applyFont="1" applyFill="1" applyBorder="1" applyAlignment="1">
      <alignment vertical="center" shrinkToFit="1"/>
    </xf>
    <xf numFmtId="0" fontId="29" fillId="23" borderId="140" xfId="0" applyFont="1" applyFill="1" applyBorder="1" applyAlignment="1">
      <alignment vertical="center" shrinkToFit="1"/>
    </xf>
    <xf numFmtId="0" fontId="41" fillId="39" borderId="0" xfId="0" applyFont="1" applyFill="1" applyAlignment="1">
      <alignment vertical="center" shrinkToFit="1"/>
    </xf>
    <xf numFmtId="0" fontId="29" fillId="39" borderId="91" xfId="0" applyFont="1" applyFill="1" applyBorder="1" applyAlignment="1">
      <alignment vertical="center" shrinkToFit="1"/>
    </xf>
    <xf numFmtId="0" fontId="20" fillId="39" borderId="67" xfId="0" applyFont="1" applyFill="1" applyBorder="1" applyAlignment="1">
      <alignment vertical="center" shrinkToFit="1"/>
    </xf>
    <xf numFmtId="0" fontId="20" fillId="39" borderId="68" xfId="0" applyFont="1" applyFill="1" applyBorder="1" applyAlignment="1">
      <alignment vertical="center" shrinkToFit="1"/>
    </xf>
    <xf numFmtId="0" fontId="29" fillId="23" borderId="127" xfId="0" applyFont="1" applyFill="1" applyBorder="1" applyAlignment="1">
      <alignment vertical="center" shrinkToFit="1"/>
    </xf>
    <xf numFmtId="0" fontId="29" fillId="23" borderId="128" xfId="0" applyFont="1" applyFill="1" applyBorder="1" applyAlignment="1">
      <alignment vertical="center" shrinkToFit="1"/>
    </xf>
    <xf numFmtId="0" fontId="20" fillId="23" borderId="141" xfId="0" applyFont="1" applyFill="1" applyBorder="1" applyAlignment="1">
      <alignment vertical="center" shrinkToFit="1"/>
    </xf>
    <xf numFmtId="0" fontId="29" fillId="23" borderId="142" xfId="0" applyFont="1" applyFill="1" applyBorder="1" applyAlignment="1">
      <alignment vertical="center" shrinkToFit="1"/>
    </xf>
    <xf numFmtId="0" fontId="29" fillId="23" borderId="143" xfId="0" applyFont="1" applyFill="1" applyBorder="1" applyAlignment="1">
      <alignment vertical="center" shrinkToFit="1"/>
    </xf>
    <xf numFmtId="0" fontId="29" fillId="23" borderId="144" xfId="0" applyFont="1" applyFill="1" applyBorder="1" applyAlignment="1">
      <alignment vertical="center" shrinkToFit="1"/>
    </xf>
    <xf numFmtId="0" fontId="20" fillId="39" borderId="59" xfId="0" applyFont="1" applyFill="1" applyBorder="1" applyAlignment="1">
      <alignment vertical="center" shrinkToFit="1"/>
    </xf>
    <xf numFmtId="0" fontId="20" fillId="39" borderId="122" xfId="0" applyFont="1" applyFill="1" applyBorder="1" applyAlignment="1">
      <alignment vertical="center" shrinkToFit="1"/>
    </xf>
    <xf numFmtId="0" fontId="20" fillId="39" borderId="129" xfId="0" applyFont="1" applyFill="1" applyBorder="1" applyAlignment="1">
      <alignment vertical="center" shrinkToFit="1"/>
    </xf>
    <xf numFmtId="0" fontId="20" fillId="39" borderId="130" xfId="0" applyFont="1" applyFill="1" applyBorder="1" applyAlignment="1">
      <alignment vertical="center" shrinkToFit="1"/>
    </xf>
    <xf numFmtId="0" fontId="29" fillId="39" borderId="135" xfId="0" applyFont="1" applyFill="1" applyBorder="1" applyAlignment="1">
      <alignment vertical="center" shrinkToFit="1"/>
    </xf>
    <xf numFmtId="0" fontId="29" fillId="39" borderId="136" xfId="0" applyFont="1" applyFill="1" applyBorder="1" applyAlignment="1">
      <alignment vertical="center" shrinkToFit="1"/>
    </xf>
    <xf numFmtId="0" fontId="20" fillId="39" borderId="128" xfId="0" applyFont="1" applyFill="1" applyBorder="1" applyAlignment="1">
      <alignment vertical="center" shrinkToFit="1"/>
    </xf>
    <xf numFmtId="0" fontId="20" fillId="39" borderId="141" xfId="0" applyFont="1" applyFill="1" applyBorder="1" applyAlignment="1">
      <alignment vertical="center" shrinkToFit="1"/>
    </xf>
    <xf numFmtId="0" fontId="29" fillId="39" borderId="143" xfId="0" applyFont="1" applyFill="1" applyBorder="1" applyAlignment="1">
      <alignment vertical="center" shrinkToFit="1"/>
    </xf>
    <xf numFmtId="0" fontId="44" fillId="23" borderId="67" xfId="0" applyFont="1" applyFill="1" applyBorder="1" applyAlignment="1">
      <alignment vertical="center" shrinkToFit="1"/>
    </xf>
    <xf numFmtId="0" fontId="44" fillId="23" borderId="68" xfId="0" applyFont="1" applyFill="1" applyBorder="1" applyAlignment="1">
      <alignment vertical="center" shrinkToFit="1"/>
    </xf>
    <xf numFmtId="0" fontId="29" fillId="23" borderId="129" xfId="0" applyFont="1" applyFill="1" applyBorder="1" applyAlignment="1">
      <alignment vertical="center" shrinkToFit="1"/>
    </xf>
    <xf numFmtId="0" fontId="29" fillId="23" borderId="130" xfId="0" applyFont="1" applyFill="1" applyBorder="1" applyAlignment="1">
      <alignment vertical="center" shrinkToFit="1"/>
    </xf>
    <xf numFmtId="0" fontId="29" fillId="39" borderId="145" xfId="0" applyFont="1" applyFill="1" applyBorder="1" applyAlignment="1">
      <alignment vertical="center" shrinkToFit="1"/>
    </xf>
    <xf numFmtId="0" fontId="29" fillId="39" borderId="146" xfId="0" applyFont="1" applyFill="1" applyBorder="1" applyAlignment="1">
      <alignment vertical="center" shrinkToFit="1"/>
    </xf>
    <xf numFmtId="0" fontId="20" fillId="39" borderId="147" xfId="0" applyFont="1" applyFill="1" applyBorder="1" applyAlignment="1">
      <alignment vertical="center" shrinkToFit="1"/>
    </xf>
    <xf numFmtId="0" fontId="20" fillId="39" borderId="148" xfId="0" applyFont="1" applyFill="1" applyBorder="1" applyAlignment="1">
      <alignment vertical="center" shrinkToFit="1"/>
    </xf>
    <xf numFmtId="0" fontId="20" fillId="23" borderId="68" xfId="0" applyFont="1" applyFill="1" applyBorder="1" applyAlignment="1">
      <alignment vertical="center" shrinkToFit="1"/>
    </xf>
    <xf numFmtId="0" fontId="29" fillId="23" borderId="141" xfId="0" applyFont="1" applyFill="1" applyBorder="1" applyAlignment="1">
      <alignment vertical="center" shrinkToFit="1"/>
    </xf>
    <xf numFmtId="0" fontId="29" fillId="39" borderId="149" xfId="0" applyFont="1" applyFill="1" applyBorder="1" applyAlignment="1">
      <alignment vertical="center" shrinkToFit="1"/>
    </xf>
    <xf numFmtId="0" fontId="20" fillId="39" borderId="150" xfId="0" applyFont="1" applyFill="1" applyBorder="1" applyAlignment="1">
      <alignment vertical="center" shrinkToFit="1"/>
    </xf>
    <xf numFmtId="0" fontId="47" fillId="23" borderId="0" xfId="0" applyFont="1" applyFill="1" applyAlignment="1">
      <alignment vertical="center" shrinkToFit="1"/>
    </xf>
    <xf numFmtId="0" fontId="20" fillId="23" borderId="117" xfId="0" applyFont="1" applyFill="1" applyBorder="1" applyAlignment="1">
      <alignment vertical="center" shrinkToFit="1"/>
    </xf>
    <xf numFmtId="0" fontId="20" fillId="23" borderId="118" xfId="0" applyFont="1" applyFill="1" applyBorder="1" applyAlignment="1">
      <alignment vertical="center" shrinkToFit="1"/>
    </xf>
    <xf numFmtId="0" fontId="20" fillId="23" borderId="67" xfId="0" applyFont="1" applyFill="1" applyBorder="1" applyAlignment="1">
      <alignment vertical="center" shrinkToFit="1"/>
    </xf>
    <xf numFmtId="0" fontId="20" fillId="23" borderId="125" xfId="0" applyFont="1" applyFill="1" applyBorder="1" applyAlignment="1">
      <alignment vertical="center" shrinkToFit="1"/>
    </xf>
    <xf numFmtId="0" fontId="20" fillId="39" borderId="139" xfId="0" applyFont="1" applyFill="1" applyBorder="1" applyAlignment="1">
      <alignment vertical="center" shrinkToFit="1"/>
    </xf>
    <xf numFmtId="0" fontId="20" fillId="39" borderId="140" xfId="0" applyFont="1" applyFill="1" applyBorder="1" applyAlignment="1">
      <alignment vertical="center" shrinkToFit="1"/>
    </xf>
    <xf numFmtId="0" fontId="44" fillId="23" borderId="83" xfId="0" applyFont="1" applyFill="1" applyBorder="1" applyAlignment="1">
      <alignment vertical="center" shrinkToFit="1"/>
    </xf>
    <xf numFmtId="0" fontId="44" fillId="23" borderId="84" xfId="0" applyFont="1" applyFill="1" applyBorder="1" applyAlignment="1">
      <alignment vertical="center" shrinkToFit="1"/>
    </xf>
    <xf numFmtId="0" fontId="29" fillId="23" borderId="147" xfId="0" applyFont="1" applyFill="1" applyBorder="1" applyAlignment="1">
      <alignment vertical="center" shrinkToFit="1"/>
    </xf>
    <xf numFmtId="0" fontId="29" fillId="23" borderId="148" xfId="0" applyFont="1" applyFill="1" applyBorder="1" applyAlignment="1">
      <alignment vertical="center" shrinkToFit="1"/>
    </xf>
    <xf numFmtId="0" fontId="20" fillId="39" borderId="114" xfId="0" applyFont="1" applyFill="1" applyBorder="1" applyAlignment="1">
      <alignment vertical="center" shrinkToFit="1"/>
    </xf>
    <xf numFmtId="0" fontId="20" fillId="39" borderId="115" xfId="0" applyFont="1" applyFill="1" applyBorder="1" applyAlignment="1">
      <alignment vertical="center" shrinkToFit="1"/>
    </xf>
    <xf numFmtId="0" fontId="44" fillId="39" borderId="83" xfId="0" applyFont="1" applyFill="1" applyBorder="1" applyAlignment="1">
      <alignment vertical="center" shrinkToFit="1"/>
    </xf>
    <xf numFmtId="0" fontId="44" fillId="39" borderId="84" xfId="0" applyFont="1" applyFill="1" applyBorder="1" applyAlignment="1">
      <alignment vertical="center" shrinkToFit="1"/>
    </xf>
    <xf numFmtId="0" fontId="44" fillId="39" borderId="0" xfId="0" applyFont="1" applyFill="1" applyAlignment="1">
      <alignment vertical="center" shrinkToFit="1"/>
    </xf>
    <xf numFmtId="0" fontId="30" fillId="39" borderId="83" xfId="0" applyFont="1" applyFill="1" applyBorder="1" applyAlignment="1">
      <alignment vertical="center" shrinkToFit="1"/>
    </xf>
    <xf numFmtId="0" fontId="30" fillId="39" borderId="84" xfId="0" applyFont="1" applyFill="1" applyBorder="1" applyAlignment="1">
      <alignment vertical="center" shrinkToFit="1"/>
    </xf>
    <xf numFmtId="0" fontId="30" fillId="39" borderId="67" xfId="0" applyFont="1" applyFill="1" applyBorder="1" applyAlignment="1">
      <alignment vertical="center" shrinkToFit="1"/>
    </xf>
    <xf numFmtId="0" fontId="30" fillId="39" borderId="68" xfId="0" applyFont="1" applyFill="1" applyBorder="1" applyAlignment="1">
      <alignment vertical="center" shrinkToFit="1"/>
    </xf>
    <xf numFmtId="0" fontId="20" fillId="39" borderId="144" xfId="0" applyFont="1" applyFill="1" applyBorder="1" applyAlignment="1">
      <alignment vertical="center" shrinkToFit="1"/>
    </xf>
    <xf numFmtId="0" fontId="29" fillId="23" borderId="150" xfId="0" applyFont="1" applyFill="1" applyBorder="1" applyAlignment="1">
      <alignment vertical="center" shrinkToFit="1"/>
    </xf>
    <xf numFmtId="0" fontId="20" fillId="39" borderId="123" xfId="0" applyFont="1" applyFill="1" applyBorder="1" applyAlignment="1">
      <alignment vertical="center" shrinkToFit="1"/>
    </xf>
    <xf numFmtId="0" fontId="20" fillId="39" borderId="120" xfId="0" applyFont="1" applyFill="1" applyBorder="1" applyAlignment="1">
      <alignment vertical="center" shrinkToFit="1"/>
    </xf>
    <xf numFmtId="0" fontId="20" fillId="39" borderId="121" xfId="0" applyFont="1" applyFill="1" applyBorder="1" applyAlignment="1">
      <alignment vertical="center" shrinkToFit="1"/>
    </xf>
    <xf numFmtId="0" fontId="44" fillId="39" borderId="137" xfId="0" applyFont="1" applyFill="1" applyBorder="1" applyAlignment="1">
      <alignment vertical="center" shrinkToFit="1"/>
    </xf>
    <xf numFmtId="0" fontId="44" fillId="39" borderId="138" xfId="0" applyFont="1" applyFill="1" applyBorder="1" applyAlignment="1">
      <alignment vertical="center" shrinkToFit="1"/>
    </xf>
    <xf numFmtId="0" fontId="48" fillId="0" borderId="0" xfId="0" applyFont="1">
      <alignment vertical="center"/>
    </xf>
    <xf numFmtId="0" fontId="20" fillId="39" borderId="127" xfId="0" applyFont="1" applyFill="1" applyBorder="1" applyAlignment="1">
      <alignment vertical="center" shrinkToFit="1"/>
    </xf>
    <xf numFmtId="0" fontId="20" fillId="0" borderId="0" xfId="0" applyFont="1" applyAlignment="1">
      <alignment horizontal="right" vertical="center" shrinkToFit="1"/>
    </xf>
    <xf numFmtId="0" fontId="49" fillId="0" borderId="0" xfId="0" applyFont="1" applyAlignment="1">
      <alignment horizontal="center" vertical="center" shrinkToFit="1"/>
    </xf>
    <xf numFmtId="0" fontId="50" fillId="0" borderId="0" xfId="0" applyFont="1" applyAlignment="1">
      <alignment horizontal="center" vertical="center"/>
    </xf>
    <xf numFmtId="0" fontId="52" fillId="0" borderId="0" xfId="0" applyFont="1" applyAlignment="1">
      <alignment horizontal="center" vertical="center" shrinkToFit="1"/>
    </xf>
    <xf numFmtId="0" fontId="54" fillId="0" borderId="0" xfId="1" applyAlignment="1">
      <alignment vertical="center" shrinkToFit="1"/>
    </xf>
    <xf numFmtId="0" fontId="20" fillId="0" borderId="17" xfId="0" applyFont="1" applyBorder="1" applyAlignment="1">
      <alignment vertical="center" shrinkToFit="1"/>
    </xf>
    <xf numFmtId="0" fontId="20" fillId="0" borderId="17" xfId="0" applyFont="1" applyBorder="1" applyAlignment="1">
      <alignment horizontal="center" vertical="center" shrinkToFit="1"/>
    </xf>
    <xf numFmtId="0" fontId="44" fillId="0" borderId="0" xfId="0" applyFont="1" applyAlignment="1">
      <alignment horizontal="center" vertical="center" shrinkToFit="1"/>
    </xf>
    <xf numFmtId="0" fontId="18" fillId="0" borderId="27" xfId="3" applyFont="1" applyBorder="1" applyAlignment="1">
      <alignment horizontal="center" vertical="center" shrinkToFit="1"/>
    </xf>
    <xf numFmtId="0" fontId="18" fillId="0" borderId="54" xfId="3" applyFont="1" applyBorder="1" applyAlignment="1">
      <alignment horizontal="center" vertical="center" shrinkToFit="1"/>
    </xf>
    <xf numFmtId="0" fontId="18" fillId="0" borderId="70" xfId="3" applyFont="1" applyBorder="1" applyAlignment="1">
      <alignment horizontal="center" vertical="center" shrinkToFit="1"/>
    </xf>
    <xf numFmtId="0" fontId="18" fillId="0" borderId="86" xfId="3" applyFont="1" applyBorder="1" applyAlignment="1">
      <alignment horizontal="center" vertical="center" shrinkToFit="1"/>
    </xf>
    <xf numFmtId="0" fontId="57" fillId="0" borderId="27" xfId="3" applyFont="1" applyBorder="1" applyAlignment="1">
      <alignment horizontal="center" vertical="center" shrinkToFit="1"/>
    </xf>
    <xf numFmtId="0" fontId="57" fillId="0" borderId="17" xfId="3" applyFont="1" applyBorder="1" applyAlignment="1">
      <alignment horizontal="center" vertical="center" shrinkToFit="1"/>
    </xf>
    <xf numFmtId="0" fontId="57" fillId="0" borderId="17" xfId="3" applyFont="1" applyBorder="1" applyAlignment="1">
      <alignment horizontal="center" vertical="center"/>
    </xf>
    <xf numFmtId="0" fontId="57" fillId="0" borderId="173" xfId="3" applyFont="1" applyBorder="1" applyAlignment="1">
      <alignment horizontal="center" vertical="center"/>
    </xf>
    <xf numFmtId="0" fontId="18" fillId="0" borderId="173" xfId="3" applyFont="1" applyBorder="1" applyAlignment="1">
      <alignment horizontal="center" vertical="center" shrinkToFit="1"/>
    </xf>
    <xf numFmtId="0" fontId="57" fillId="0" borderId="173" xfId="3" applyFont="1" applyBorder="1" applyAlignment="1">
      <alignment horizontal="center" vertical="center" shrinkToFit="1"/>
    </xf>
    <xf numFmtId="0" fontId="18" fillId="0" borderId="37" xfId="3" applyFont="1" applyBorder="1" applyAlignment="1">
      <alignment horizontal="center" vertical="center" shrinkToFit="1"/>
    </xf>
    <xf numFmtId="0" fontId="57" fillId="41" borderId="33" xfId="3" applyFont="1" applyFill="1" applyBorder="1" applyAlignment="1">
      <alignment horizontal="right" vertical="center" shrinkToFit="1"/>
    </xf>
    <xf numFmtId="0" fontId="18" fillId="19" borderId="33" xfId="3" applyFont="1" applyFill="1" applyBorder="1" applyAlignment="1">
      <alignment horizontal="right" vertical="center" shrinkToFit="1"/>
    </xf>
    <xf numFmtId="0" fontId="18" fillId="42" borderId="33" xfId="3" applyFont="1" applyFill="1" applyBorder="1" applyAlignment="1">
      <alignment horizontal="right" vertical="center" shrinkToFit="1"/>
    </xf>
    <xf numFmtId="0" fontId="18" fillId="42" borderId="172" xfId="3" applyFont="1" applyFill="1" applyBorder="1" applyAlignment="1">
      <alignment horizontal="right" vertical="center" shrinkToFit="1"/>
    </xf>
    <xf numFmtId="0" fontId="57" fillId="0" borderId="0" xfId="3" applyFont="1" applyAlignment="1">
      <alignment horizontal="right" vertical="center" shrinkToFit="1"/>
    </xf>
    <xf numFmtId="0" fontId="57" fillId="0" borderId="0" xfId="3" applyFont="1" applyAlignment="1">
      <alignment horizontal="left" vertical="center"/>
    </xf>
    <xf numFmtId="0" fontId="62" fillId="0" borderId="0" xfId="3" applyFont="1">
      <alignment vertical="center"/>
    </xf>
    <xf numFmtId="0" fontId="57" fillId="0" borderId="54" xfId="3" applyFont="1" applyBorder="1" applyAlignment="1">
      <alignment horizontal="center" vertical="center" shrinkToFit="1"/>
    </xf>
    <xf numFmtId="0" fontId="57" fillId="0" borderId="176" xfId="3" applyFont="1" applyBorder="1" applyAlignment="1">
      <alignment horizontal="center" vertical="center"/>
    </xf>
    <xf numFmtId="0" fontId="18" fillId="0" borderId="176" xfId="3" applyFont="1" applyBorder="1" applyAlignment="1">
      <alignment horizontal="center" vertical="center" shrinkToFit="1"/>
    </xf>
    <xf numFmtId="0" fontId="57" fillId="0" borderId="176" xfId="3" applyFont="1" applyBorder="1" applyAlignment="1">
      <alignment horizontal="center" vertical="center" shrinkToFit="1"/>
    </xf>
    <xf numFmtId="0" fontId="18" fillId="0" borderId="62" xfId="3" applyFont="1" applyBorder="1" applyAlignment="1">
      <alignment horizontal="center" vertical="center" shrinkToFit="1"/>
    </xf>
    <xf numFmtId="0" fontId="63" fillId="24" borderId="47" xfId="3" applyFont="1" applyFill="1" applyBorder="1" applyAlignment="1">
      <alignment horizontal="right" vertical="center" shrinkToFit="1"/>
    </xf>
    <xf numFmtId="0" fontId="57" fillId="43" borderId="58" xfId="3" applyFont="1" applyFill="1" applyBorder="1" applyAlignment="1">
      <alignment horizontal="right" vertical="center" shrinkToFit="1"/>
    </xf>
    <xf numFmtId="0" fontId="18" fillId="7" borderId="58" xfId="3" applyFont="1" applyFill="1" applyBorder="1" applyAlignment="1">
      <alignment horizontal="right" vertical="center" shrinkToFit="1"/>
    </xf>
    <xf numFmtId="0" fontId="18" fillId="44" borderId="58" xfId="3" applyFont="1" applyFill="1" applyBorder="1" applyAlignment="1">
      <alignment horizontal="right" vertical="center" shrinkToFit="1"/>
    </xf>
    <xf numFmtId="0" fontId="18" fillId="44" borderId="175" xfId="3" applyFont="1" applyFill="1" applyBorder="1" applyAlignment="1">
      <alignment horizontal="right" vertical="center" shrinkToFit="1"/>
    </xf>
    <xf numFmtId="0" fontId="57" fillId="0" borderId="70" xfId="3" applyFont="1" applyBorder="1" applyAlignment="1">
      <alignment horizontal="center" vertical="center" shrinkToFit="1"/>
    </xf>
    <xf numFmtId="0" fontId="57" fillId="0" borderId="178" xfId="3" applyFont="1" applyBorder="1" applyAlignment="1">
      <alignment horizontal="center" vertical="center"/>
    </xf>
    <xf numFmtId="0" fontId="18" fillId="0" borderId="178" xfId="3" applyFont="1" applyBorder="1" applyAlignment="1">
      <alignment horizontal="center" vertical="center" shrinkToFit="1"/>
    </xf>
    <xf numFmtId="0" fontId="57" fillId="0" borderId="178" xfId="3" applyFont="1" applyBorder="1" applyAlignment="1">
      <alignment horizontal="center" vertical="center" shrinkToFit="1"/>
    </xf>
    <xf numFmtId="0" fontId="18" fillId="0" borderId="78" xfId="3" applyFont="1" applyBorder="1" applyAlignment="1">
      <alignment horizontal="center" vertical="center" shrinkToFit="1"/>
    </xf>
    <xf numFmtId="0" fontId="63" fillId="2" borderId="63" xfId="3" applyFont="1" applyFill="1" applyBorder="1" applyAlignment="1">
      <alignment horizontal="right" vertical="center" shrinkToFit="1"/>
    </xf>
    <xf numFmtId="0" fontId="57" fillId="45" borderId="74" xfId="3" applyFont="1" applyFill="1" applyBorder="1" applyAlignment="1">
      <alignment horizontal="right" vertical="center" shrinkToFit="1"/>
    </xf>
    <xf numFmtId="0" fontId="18" fillId="4" borderId="74" xfId="3" applyFont="1" applyFill="1" applyBorder="1" applyAlignment="1">
      <alignment horizontal="right" vertical="center" shrinkToFit="1"/>
    </xf>
    <xf numFmtId="0" fontId="18" fillId="46" borderId="74" xfId="3" applyFont="1" applyFill="1" applyBorder="1" applyAlignment="1">
      <alignment horizontal="right" vertical="center" shrinkToFit="1"/>
    </xf>
    <xf numFmtId="0" fontId="18" fillId="46" borderId="177" xfId="3" applyFont="1" applyFill="1" applyBorder="1" applyAlignment="1">
      <alignment horizontal="right" vertical="center" shrinkToFit="1"/>
    </xf>
    <xf numFmtId="0" fontId="57" fillId="0" borderId="86" xfId="3" applyFont="1" applyBorder="1" applyAlignment="1">
      <alignment horizontal="center" vertical="center" shrinkToFit="1"/>
    </xf>
    <xf numFmtId="0" fontId="57" fillId="0" borderId="180" xfId="3" applyFont="1" applyBorder="1" applyAlignment="1">
      <alignment horizontal="center" vertical="center"/>
    </xf>
    <xf numFmtId="0" fontId="18" fillId="0" borderId="180" xfId="3" applyFont="1" applyBorder="1" applyAlignment="1">
      <alignment horizontal="center" vertical="center" shrinkToFit="1"/>
    </xf>
    <xf numFmtId="0" fontId="57" fillId="0" borderId="180" xfId="3" applyFont="1" applyBorder="1" applyAlignment="1">
      <alignment horizontal="center" vertical="center" shrinkToFit="1"/>
    </xf>
    <xf numFmtId="0" fontId="18" fillId="0" borderId="94" xfId="3" applyFont="1" applyBorder="1" applyAlignment="1">
      <alignment horizontal="center" vertical="center" shrinkToFit="1"/>
    </xf>
    <xf numFmtId="0" fontId="63" fillId="5" borderId="79" xfId="3" applyFont="1" applyFill="1" applyBorder="1" applyAlignment="1">
      <alignment horizontal="right" vertical="center" shrinkToFit="1"/>
    </xf>
    <xf numFmtId="0" fontId="57" fillId="47" borderId="90" xfId="3" applyFont="1" applyFill="1" applyBorder="1" applyAlignment="1">
      <alignment horizontal="right" vertical="center" shrinkToFit="1"/>
    </xf>
    <xf numFmtId="0" fontId="18" fillId="6" borderId="90" xfId="3" applyFont="1" applyFill="1" applyBorder="1" applyAlignment="1">
      <alignment horizontal="right" vertical="center" shrinkToFit="1"/>
    </xf>
    <xf numFmtId="0" fontId="18" fillId="48" borderId="90" xfId="3" applyFont="1" applyFill="1" applyBorder="1" applyAlignment="1">
      <alignment horizontal="right" vertical="center" shrinkToFit="1"/>
    </xf>
    <xf numFmtId="0" fontId="18" fillId="48" borderId="179" xfId="3" applyFont="1" applyFill="1" applyBorder="1" applyAlignment="1">
      <alignment horizontal="right" vertical="center" shrinkToFit="1"/>
    </xf>
    <xf numFmtId="0" fontId="18" fillId="0" borderId="185" xfId="3" applyFont="1" applyBorder="1" applyAlignment="1">
      <alignment horizontal="right" vertical="center" shrinkToFit="1"/>
    </xf>
    <xf numFmtId="0" fontId="57" fillId="0" borderId="186" xfId="3" applyFont="1" applyBorder="1" applyAlignment="1">
      <alignment horizontal="center" vertical="center" shrinkToFit="1"/>
    </xf>
    <xf numFmtId="0" fontId="18" fillId="0" borderId="186" xfId="3" applyFont="1" applyBorder="1" applyAlignment="1">
      <alignment horizontal="center" vertical="center" shrinkToFit="1"/>
    </xf>
    <xf numFmtId="0" fontId="57" fillId="0" borderId="189" xfId="3" applyFont="1" applyBorder="1" applyAlignment="1">
      <alignment horizontal="center" vertical="center"/>
    </xf>
    <xf numFmtId="0" fontId="18" fillId="0" borderId="189" xfId="3" applyFont="1" applyBorder="1" applyAlignment="1">
      <alignment horizontal="center" vertical="center" shrinkToFit="1"/>
    </xf>
    <xf numFmtId="0" fontId="57" fillId="0" borderId="189" xfId="3" applyFont="1" applyBorder="1" applyAlignment="1">
      <alignment horizontal="center" vertical="center" shrinkToFit="1"/>
    </xf>
    <xf numFmtId="0" fontId="18" fillId="0" borderId="190" xfId="3" applyFont="1" applyBorder="1" applyAlignment="1">
      <alignment horizontal="center" vertical="center" shrinkToFit="1"/>
    </xf>
    <xf numFmtId="0" fontId="18" fillId="49" borderId="187" xfId="3" applyFont="1" applyFill="1" applyBorder="1" applyAlignment="1">
      <alignment horizontal="right" vertical="center" shrinkToFit="1"/>
    </xf>
    <xf numFmtId="0" fontId="18" fillId="49" borderId="188" xfId="3" applyFont="1" applyFill="1" applyBorder="1" applyAlignment="1">
      <alignment horizontal="right" vertical="center" shrinkToFit="1"/>
    </xf>
    <xf numFmtId="0" fontId="18" fillId="50" borderId="187" xfId="3" applyFont="1" applyFill="1" applyBorder="1" applyAlignment="1">
      <alignment horizontal="right" vertical="center" shrinkToFit="1"/>
    </xf>
    <xf numFmtId="0" fontId="57" fillId="31" borderId="187" xfId="3" applyFont="1" applyFill="1" applyBorder="1" applyAlignment="1">
      <alignment horizontal="right" vertical="center" shrinkToFit="1"/>
    </xf>
    <xf numFmtId="0" fontId="63" fillId="21" borderId="181" xfId="3" applyFont="1" applyFill="1" applyBorder="1" applyAlignment="1">
      <alignment horizontal="right" vertical="center" shrinkToFit="1"/>
    </xf>
    <xf numFmtId="0" fontId="50" fillId="0" borderId="0" xfId="0" applyFont="1" applyAlignment="1">
      <alignment horizontal="center" vertical="center" shrinkToFit="1"/>
    </xf>
    <xf numFmtId="0" fontId="50" fillId="12" borderId="0" xfId="0" applyFont="1" applyFill="1" applyAlignment="1">
      <alignment horizontal="center" vertical="center" shrinkToFit="1"/>
    </xf>
    <xf numFmtId="0" fontId="0" fillId="0" borderId="0" xfId="0" applyAlignment="1"/>
    <xf numFmtId="184" fontId="30" fillId="0" borderId="0" xfId="0" applyNumberFormat="1" applyFont="1" applyAlignment="1">
      <alignment horizontal="center" vertical="center"/>
    </xf>
    <xf numFmtId="0" fontId="30" fillId="12" borderId="0" xfId="0" applyFont="1" applyFill="1" applyAlignment="1">
      <alignment horizontal="center" vertical="center"/>
    </xf>
    <xf numFmtId="184" fontId="29" fillId="0" borderId="0" xfId="0" applyNumberFormat="1" applyFont="1" applyAlignment="1">
      <alignment horizontal="center" vertical="center"/>
    </xf>
    <xf numFmtId="0" fontId="20" fillId="51" borderId="0" xfId="0" applyFont="1" applyFill="1" applyAlignment="1">
      <alignment horizontal="center" vertical="center"/>
    </xf>
    <xf numFmtId="0" fontId="20" fillId="52" borderId="0" xfId="0" applyFont="1" applyFill="1" applyAlignment="1">
      <alignment horizontal="center" vertical="center"/>
    </xf>
    <xf numFmtId="0" fontId="64" fillId="0" borderId="0" xfId="1" applyFont="1" applyAlignment="1">
      <alignment horizontal="right" vertical="center" shrinkToFit="1"/>
    </xf>
    <xf numFmtId="0" fontId="65" fillId="0" borderId="0" xfId="1" applyFont="1" applyAlignment="1">
      <alignment horizontal="right" vertical="center" shrinkToFit="1"/>
    </xf>
    <xf numFmtId="0" fontId="19" fillId="52" borderId="0" xfId="1" applyFont="1" applyFill="1" applyAlignment="1">
      <alignment horizontal="center" vertical="center" shrinkToFit="1"/>
    </xf>
    <xf numFmtId="0" fontId="20" fillId="52" borderId="0" xfId="0" applyFont="1" applyFill="1" applyAlignment="1">
      <alignment horizontal="left" vertical="center" shrinkToFit="1"/>
    </xf>
    <xf numFmtId="181" fontId="20" fillId="52" borderId="0" xfId="0" applyNumberFormat="1" applyFont="1" applyFill="1" applyAlignment="1">
      <alignment horizontal="center" vertical="center" shrinkToFit="1"/>
    </xf>
    <xf numFmtId="0" fontId="31" fillId="52" borderId="0" xfId="1" applyFont="1" applyFill="1" applyAlignment="1">
      <alignment horizontal="right" vertical="center" shrinkToFit="1"/>
    </xf>
    <xf numFmtId="181" fontId="20" fillId="51" borderId="0" xfId="0" applyNumberFormat="1" applyFont="1" applyFill="1" applyAlignment="1">
      <alignment horizontal="center" vertical="center" shrinkToFit="1"/>
    </xf>
    <xf numFmtId="0" fontId="31" fillId="51" borderId="0" xfId="1" applyFont="1" applyFill="1" applyAlignment="1">
      <alignment horizontal="right" vertical="center" shrinkToFit="1"/>
    </xf>
    <xf numFmtId="0" fontId="19" fillId="51" borderId="0" xfId="1" applyFont="1" applyFill="1" applyAlignment="1">
      <alignment horizontal="center" vertical="center" shrinkToFit="1"/>
    </xf>
    <xf numFmtId="0" fontId="20" fillId="51" borderId="0" xfId="0" applyFont="1" applyFill="1" applyAlignment="1">
      <alignment horizontal="left" vertical="center" shrinkToFit="1"/>
    </xf>
    <xf numFmtId="182" fontId="20" fillId="52" borderId="0" xfId="0" applyNumberFormat="1" applyFont="1" applyFill="1" applyAlignment="1">
      <alignment horizontal="center" vertical="center" shrinkToFit="1"/>
    </xf>
    <xf numFmtId="0" fontId="18" fillId="53" borderId="17" xfId="3" applyFont="1" applyFill="1" applyBorder="1" applyAlignment="1">
      <alignment horizontal="center" vertical="center"/>
    </xf>
    <xf numFmtId="0" fontId="18" fillId="54" borderId="17" xfId="3" applyFont="1" applyFill="1" applyBorder="1" applyAlignment="1">
      <alignment horizontal="center" vertical="center"/>
    </xf>
    <xf numFmtId="0" fontId="18" fillId="55" borderId="17" xfId="3" applyFont="1" applyFill="1" applyBorder="1" applyAlignment="1">
      <alignment horizontal="center" vertical="center"/>
    </xf>
    <xf numFmtId="0" fontId="18" fillId="56" borderId="17" xfId="3" applyFont="1" applyFill="1" applyBorder="1" applyAlignment="1">
      <alignment horizontal="center" vertical="center"/>
    </xf>
    <xf numFmtId="0" fontId="18" fillId="52" borderId="17" xfId="3" applyFont="1" applyFill="1" applyBorder="1" applyAlignment="1">
      <alignment horizontal="center" vertical="center"/>
    </xf>
    <xf numFmtId="0" fontId="18" fillId="57" borderId="17" xfId="3" applyFont="1" applyFill="1" applyBorder="1" applyAlignment="1">
      <alignment horizontal="center" vertical="center"/>
    </xf>
    <xf numFmtId="0" fontId="17" fillId="0" borderId="0" xfId="3" applyFont="1" applyAlignment="1">
      <alignment horizontal="center" vertical="center" shrinkToFit="1"/>
    </xf>
    <xf numFmtId="0" fontId="23" fillId="0" borderId="0" xfId="3" applyAlignment="1">
      <alignment horizontal="center" vertical="center" shrinkToFit="1"/>
    </xf>
    <xf numFmtId="0" fontId="50" fillId="0" borderId="0" xfId="4" applyAlignment="1"/>
    <xf numFmtId="0" fontId="50" fillId="0" borderId="1" xfId="4" applyBorder="1">
      <alignment vertical="center"/>
    </xf>
    <xf numFmtId="0" fontId="50" fillId="0" borderId="0" xfId="4">
      <alignment vertical="center"/>
    </xf>
    <xf numFmtId="0" fontId="50" fillId="0" borderId="2" xfId="4" applyBorder="1">
      <alignment vertical="center"/>
    </xf>
    <xf numFmtId="0" fontId="50" fillId="0" borderId="3" xfId="4" applyBorder="1">
      <alignment vertical="center"/>
    </xf>
    <xf numFmtId="0" fontId="50" fillId="0" borderId="14" xfId="4" applyBorder="1">
      <alignment vertical="center"/>
    </xf>
    <xf numFmtId="0" fontId="50" fillId="0" borderId="4" xfId="4" applyBorder="1">
      <alignment vertical="center"/>
    </xf>
    <xf numFmtId="0" fontId="8" fillId="0" borderId="0" xfId="4" applyFont="1" applyAlignment="1">
      <alignment horizontal="center" vertical="center"/>
    </xf>
    <xf numFmtId="0" fontId="12" fillId="0" borderId="0" xfId="4" applyFont="1" applyAlignment="1">
      <alignment horizontal="center" vertical="center" wrapText="1"/>
    </xf>
    <xf numFmtId="0" fontId="12" fillId="0" borderId="15" xfId="4" applyFont="1" applyBorder="1" applyAlignment="1">
      <alignment horizontal="center" vertical="center"/>
    </xf>
    <xf numFmtId="0" fontId="2" fillId="0" borderId="0" xfId="4" applyFont="1" applyAlignment="1">
      <alignment horizontal="center" vertical="center"/>
    </xf>
    <xf numFmtId="0" fontId="3" fillId="0" borderId="0" xfId="4" applyFont="1" applyAlignment="1">
      <alignment horizontal="center" vertical="center"/>
    </xf>
    <xf numFmtId="0" fontId="4" fillId="0" borderId="0" xfId="4" applyFont="1" applyAlignment="1">
      <alignment horizontal="center" vertical="center"/>
    </xf>
    <xf numFmtId="0" fontId="12" fillId="0" borderId="0" xfId="4" applyFont="1" applyAlignment="1">
      <alignment horizontal="center" vertical="center"/>
    </xf>
    <xf numFmtId="0" fontId="5" fillId="0" borderId="0" xfId="4" applyFont="1" applyAlignment="1">
      <alignment horizontal="left" vertical="center" shrinkToFit="1"/>
    </xf>
    <xf numFmtId="0" fontId="50" fillId="0" borderId="15" xfId="4" applyBorder="1">
      <alignment vertical="center"/>
    </xf>
    <xf numFmtId="0" fontId="6" fillId="0" borderId="0" xfId="4" applyFont="1" applyAlignment="1">
      <alignment horizontal="left" vertical="center"/>
    </xf>
    <xf numFmtId="0" fontId="9" fillId="0" borderId="0" xfId="4" applyFont="1" applyAlignment="1">
      <alignment horizontal="left" vertical="center"/>
    </xf>
    <xf numFmtId="0" fontId="10" fillId="0" borderId="0" xfId="4" applyFont="1" applyAlignment="1">
      <alignment horizontal="left" vertical="center"/>
    </xf>
    <xf numFmtId="0" fontId="13" fillId="0" borderId="15" xfId="4" applyFont="1" applyBorder="1" applyAlignment="1">
      <alignment horizontal="center" vertical="center"/>
    </xf>
    <xf numFmtId="0" fontId="13" fillId="0" borderId="0" xfId="4" applyFont="1" applyAlignment="1">
      <alignment horizontal="center" vertical="center"/>
    </xf>
    <xf numFmtId="0" fontId="14" fillId="0" borderId="15" xfId="4" applyFont="1" applyBorder="1" applyAlignment="1">
      <alignment horizontal="center" vertical="center"/>
    </xf>
    <xf numFmtId="0" fontId="14" fillId="0" borderId="0" xfId="4" applyFont="1" applyAlignment="1">
      <alignment horizontal="center" vertical="center"/>
    </xf>
    <xf numFmtId="0" fontId="15" fillId="0" borderId="0" xfId="4" applyFont="1">
      <alignment vertical="center"/>
    </xf>
    <xf numFmtId="0" fontId="1" fillId="0" borderId="4" xfId="4" applyFont="1" applyBorder="1">
      <alignment vertical="center"/>
    </xf>
    <xf numFmtId="0" fontId="1" fillId="0" borderId="0" xfId="4" applyFont="1">
      <alignment vertical="center"/>
    </xf>
    <xf numFmtId="0" fontId="1" fillId="0" borderId="15" xfId="4" applyFont="1" applyBorder="1">
      <alignment vertical="center"/>
    </xf>
    <xf numFmtId="0" fontId="7" fillId="0" borderId="0" xfId="4" applyFont="1">
      <alignment vertical="center"/>
    </xf>
    <xf numFmtId="0" fontId="11" fillId="0" borderId="0" xfId="4" applyFont="1" applyAlignment="1">
      <alignment vertical="center" shrinkToFit="1"/>
    </xf>
    <xf numFmtId="0" fontId="7" fillId="0" borderId="0" xfId="4" applyFont="1" applyAlignment="1">
      <alignment horizontal="right" vertical="center"/>
    </xf>
    <xf numFmtId="0" fontId="1" fillId="0" borderId="12" xfId="4" applyFont="1" applyBorder="1">
      <alignment vertical="center"/>
    </xf>
    <xf numFmtId="0" fontId="1" fillId="0" borderId="13" xfId="4" applyFont="1" applyBorder="1">
      <alignment vertical="center"/>
    </xf>
    <xf numFmtId="0" fontId="1" fillId="0" borderId="16" xfId="4" applyFont="1" applyBorder="1" applyAlignment="1">
      <alignment horizontal="right" vertical="center"/>
    </xf>
    <xf numFmtId="0" fontId="1" fillId="0" borderId="0" xfId="4" applyFont="1" applyAlignment="1">
      <alignment horizontal="right" vertical="center"/>
    </xf>
    <xf numFmtId="0" fontId="66" fillId="58" borderId="0" xfId="0" applyFont="1" applyFill="1" applyAlignment="1">
      <alignment horizontal="left" vertical="center" shrinkToFit="1"/>
    </xf>
    <xf numFmtId="0" fontId="41" fillId="58" borderId="0" xfId="0" applyFont="1" applyFill="1" applyAlignment="1">
      <alignment horizontal="left" vertical="center" shrinkToFit="1"/>
    </xf>
    <xf numFmtId="0" fontId="20" fillId="58" borderId="0" xfId="0" applyFont="1" applyFill="1" applyAlignment="1">
      <alignment horizontal="center" vertical="center" shrinkToFit="1"/>
    </xf>
    <xf numFmtId="0" fontId="20" fillId="58" borderId="0" xfId="0" applyFont="1" applyFill="1" applyAlignment="1">
      <alignment horizontal="right" vertical="center" shrinkToFit="1"/>
    </xf>
    <xf numFmtId="0" fontId="30" fillId="58" borderId="0" xfId="0" applyFont="1" applyFill="1" applyAlignment="1">
      <alignment horizontal="center" vertical="center" shrinkToFit="1"/>
    </xf>
    <xf numFmtId="0" fontId="20" fillId="58" borderId="0" xfId="0" applyFont="1" applyFill="1" applyAlignment="1">
      <alignment horizontal="left" vertical="center" shrinkToFit="1"/>
    </xf>
    <xf numFmtId="0" fontId="20" fillId="58" borderId="0" xfId="0" applyFont="1" applyFill="1" applyAlignment="1">
      <alignment vertical="center" shrinkToFit="1"/>
    </xf>
    <xf numFmtId="0" fontId="51" fillId="58" borderId="193" xfId="1" applyFont="1" applyFill="1" applyBorder="1" applyAlignment="1">
      <alignment vertical="center" shrinkToFit="1"/>
    </xf>
    <xf numFmtId="0" fontId="20" fillId="58" borderId="194" xfId="0" applyFont="1" applyFill="1" applyBorder="1" applyAlignment="1">
      <alignment vertical="center" shrinkToFit="1"/>
    </xf>
    <xf numFmtId="0" fontId="20" fillId="58" borderId="195" xfId="0" applyFont="1" applyFill="1" applyBorder="1" applyAlignment="1">
      <alignment horizontal="center" vertical="center" shrinkToFit="1"/>
    </xf>
    <xf numFmtId="0" fontId="20" fillId="58" borderId="193" xfId="0" applyFont="1" applyFill="1" applyBorder="1" applyAlignment="1">
      <alignment horizontal="center" vertical="center" shrinkToFit="1"/>
    </xf>
    <xf numFmtId="0" fontId="20" fillId="58" borderId="194" xfId="0" applyFont="1" applyFill="1" applyBorder="1" applyAlignment="1">
      <alignment horizontal="center" vertical="center" shrinkToFit="1"/>
    </xf>
    <xf numFmtId="0" fontId="20" fillId="58" borderId="194" xfId="0" applyFont="1" applyFill="1" applyBorder="1" applyAlignment="1">
      <alignment horizontal="right" vertical="center" shrinkToFit="1"/>
    </xf>
    <xf numFmtId="0" fontId="30" fillId="58" borderId="194" xfId="0" applyFont="1" applyFill="1" applyBorder="1" applyAlignment="1">
      <alignment horizontal="center" vertical="center" shrinkToFit="1"/>
    </xf>
    <xf numFmtId="0" fontId="20" fillId="58" borderId="194" xfId="0" applyFont="1" applyFill="1" applyBorder="1" applyAlignment="1">
      <alignment horizontal="left" vertical="center" shrinkToFit="1"/>
    </xf>
    <xf numFmtId="0" fontId="53" fillId="58" borderId="195" xfId="0" applyFont="1" applyFill="1" applyBorder="1" applyAlignment="1">
      <alignment vertical="center" shrinkToFit="1"/>
    </xf>
    <xf numFmtId="0" fontId="20" fillId="54" borderId="17" xfId="0" applyFont="1" applyFill="1" applyBorder="1" applyAlignment="1">
      <alignment horizontal="center" vertical="center" shrinkToFit="1"/>
    </xf>
    <xf numFmtId="0" fontId="20" fillId="56" borderId="17" xfId="0" applyFont="1" applyFill="1" applyBorder="1" applyAlignment="1">
      <alignment horizontal="center" vertical="center" shrinkToFit="1"/>
    </xf>
    <xf numFmtId="0" fontId="21" fillId="58" borderId="196" xfId="1" applyFont="1" applyFill="1" applyBorder="1" applyAlignment="1">
      <alignment vertical="center" shrinkToFit="1"/>
    </xf>
    <xf numFmtId="0" fontId="20" fillId="58" borderId="197" xfId="0" applyFont="1" applyFill="1" applyBorder="1" applyAlignment="1">
      <alignment horizontal="center" vertical="center" shrinkToFit="1"/>
    </xf>
    <xf numFmtId="0" fontId="20" fillId="58" borderId="196" xfId="0" applyFont="1" applyFill="1" applyBorder="1" applyAlignment="1">
      <alignment horizontal="center" vertical="center" shrinkToFit="1"/>
    </xf>
    <xf numFmtId="0" fontId="53" fillId="58" borderId="197" xfId="0" applyFont="1" applyFill="1" applyBorder="1" applyAlignment="1">
      <alignment vertical="center" shrinkToFit="1"/>
    </xf>
    <xf numFmtId="0" fontId="20" fillId="51" borderId="17" xfId="0" applyFont="1" applyFill="1" applyBorder="1" applyAlignment="1">
      <alignment horizontal="center" vertical="center" shrinkToFit="1"/>
    </xf>
    <xf numFmtId="0" fontId="20" fillId="52" borderId="17" xfId="0" applyFont="1" applyFill="1" applyBorder="1" applyAlignment="1">
      <alignment horizontal="center" vertical="center" shrinkToFit="1"/>
    </xf>
    <xf numFmtId="0" fontId="51" fillId="58" borderId="196" xfId="1" applyFont="1" applyFill="1" applyBorder="1" applyAlignment="1">
      <alignment vertical="center" shrinkToFit="1"/>
    </xf>
    <xf numFmtId="0" fontId="51" fillId="58" borderId="196" xfId="1" quotePrefix="1" applyFont="1" applyFill="1" applyBorder="1" applyAlignment="1">
      <alignment vertical="center" shrinkToFit="1"/>
    </xf>
    <xf numFmtId="0" fontId="20" fillId="58" borderId="0" xfId="0" quotePrefix="1" applyFont="1" applyFill="1" applyAlignment="1">
      <alignment vertical="center" shrinkToFit="1"/>
    </xf>
    <xf numFmtId="0" fontId="20" fillId="58" borderId="197" xfId="0" applyFont="1" applyFill="1" applyBorder="1" applyAlignment="1">
      <alignment vertical="center" shrinkToFit="1"/>
    </xf>
    <xf numFmtId="0" fontId="51" fillId="58" borderId="198" xfId="1" applyFont="1" applyFill="1" applyBorder="1" applyAlignment="1">
      <alignment vertical="center" shrinkToFit="1"/>
    </xf>
    <xf numFmtId="0" fontId="30" fillId="58" borderId="199" xfId="0" applyFont="1" applyFill="1" applyBorder="1" applyAlignment="1">
      <alignment vertical="center" shrinkToFit="1"/>
    </xf>
    <xf numFmtId="0" fontId="20" fillId="58" borderId="200" xfId="0" applyFont="1" applyFill="1" applyBorder="1" applyAlignment="1">
      <alignment horizontal="center" vertical="center" shrinkToFit="1"/>
    </xf>
    <xf numFmtId="0" fontId="30" fillId="58" borderId="0" xfId="0" applyFont="1" applyFill="1" applyAlignment="1">
      <alignment vertical="center" shrinkToFit="1"/>
    </xf>
    <xf numFmtId="0" fontId="30" fillId="58" borderId="198" xfId="0" applyFont="1" applyFill="1" applyBorder="1" applyAlignment="1">
      <alignment horizontal="center" vertical="center" shrinkToFit="1"/>
    </xf>
    <xf numFmtId="0" fontId="30" fillId="58" borderId="199" xfId="0" applyFont="1" applyFill="1" applyBorder="1" applyAlignment="1">
      <alignment horizontal="center" vertical="center" shrinkToFit="1"/>
    </xf>
    <xf numFmtId="0" fontId="20" fillId="58" borderId="199" xfId="0" applyFont="1" applyFill="1" applyBorder="1" applyAlignment="1">
      <alignment horizontal="center" vertical="center" shrinkToFit="1"/>
    </xf>
    <xf numFmtId="0" fontId="20" fillId="58" borderId="199" xfId="0" applyFont="1" applyFill="1" applyBorder="1" applyAlignment="1">
      <alignment horizontal="right" vertical="center" shrinkToFit="1"/>
    </xf>
    <xf numFmtId="0" fontId="20" fillId="58" borderId="199" xfId="0" applyFont="1" applyFill="1" applyBorder="1" applyAlignment="1">
      <alignment horizontal="left" vertical="center" shrinkToFit="1"/>
    </xf>
    <xf numFmtId="0" fontId="20" fillId="58" borderId="200" xfId="0" applyFont="1" applyFill="1" applyBorder="1" applyAlignment="1">
      <alignment vertical="center" shrinkToFit="1"/>
    </xf>
    <xf numFmtId="0" fontId="67" fillId="54" borderId="0" xfId="0" applyFont="1" applyFill="1" applyAlignment="1">
      <alignment horizontal="left" vertical="center" shrinkToFit="1"/>
    </xf>
    <xf numFmtId="0" fontId="41" fillId="54" borderId="0" xfId="0" applyFont="1" applyFill="1" applyAlignment="1">
      <alignment horizontal="left" vertical="center" shrinkToFit="1"/>
    </xf>
    <xf numFmtId="0" fontId="20" fillId="54" borderId="0" xfId="0" applyFont="1" applyFill="1" applyAlignment="1">
      <alignment horizontal="center" vertical="center" shrinkToFit="1"/>
    </xf>
    <xf numFmtId="0" fontId="20" fillId="54" borderId="0" xfId="0" applyFont="1" applyFill="1" applyAlignment="1">
      <alignment horizontal="right" vertical="center" shrinkToFit="1"/>
    </xf>
    <xf numFmtId="0" fontId="30" fillId="54" borderId="0" xfId="0" applyFont="1" applyFill="1" applyAlignment="1">
      <alignment horizontal="center" vertical="center" shrinkToFit="1"/>
    </xf>
    <xf numFmtId="0" fontId="20" fillId="54" borderId="0" xfId="0" applyFont="1" applyFill="1" applyAlignment="1">
      <alignment horizontal="left" vertical="center" shrinkToFit="1"/>
    </xf>
    <xf numFmtId="0" fontId="20" fillId="54" borderId="0" xfId="0" applyFont="1" applyFill="1" applyAlignment="1">
      <alignment vertical="center" shrinkToFit="1"/>
    </xf>
    <xf numFmtId="0" fontId="21" fillId="54" borderId="201" xfId="1" applyFont="1" applyFill="1" applyBorder="1" applyAlignment="1">
      <alignment vertical="center" shrinkToFit="1"/>
    </xf>
    <xf numFmtId="0" fontId="20" fillId="54" borderId="202" xfId="0" applyFont="1" applyFill="1" applyBorder="1" applyAlignment="1">
      <alignment vertical="center" shrinkToFit="1"/>
    </xf>
    <xf numFmtId="0" fontId="20" fillId="54" borderId="203" xfId="0" applyFont="1" applyFill="1" applyBorder="1" applyAlignment="1">
      <alignment horizontal="center" vertical="center" shrinkToFit="1"/>
    </xf>
    <xf numFmtId="0" fontId="20" fillId="54" borderId="201" xfId="0" applyFont="1" applyFill="1" applyBorder="1" applyAlignment="1">
      <alignment horizontal="center" vertical="center" shrinkToFit="1"/>
    </xf>
    <xf numFmtId="0" fontId="20" fillId="54" borderId="202" xfId="0" applyFont="1" applyFill="1" applyBorder="1" applyAlignment="1">
      <alignment horizontal="center" vertical="center" shrinkToFit="1"/>
    </xf>
    <xf numFmtId="0" fontId="20" fillId="54" borderId="202" xfId="0" applyFont="1" applyFill="1" applyBorder="1" applyAlignment="1">
      <alignment horizontal="right" vertical="center" shrinkToFit="1"/>
    </xf>
    <xf numFmtId="0" fontId="30" fillId="54" borderId="202" xfId="0" applyFont="1" applyFill="1" applyBorder="1" applyAlignment="1">
      <alignment horizontal="center" vertical="center" shrinkToFit="1"/>
    </xf>
    <xf numFmtId="0" fontId="20" fillId="54" borderId="202" xfId="0" applyFont="1" applyFill="1" applyBorder="1" applyAlignment="1">
      <alignment horizontal="left" vertical="center" shrinkToFit="1"/>
    </xf>
    <xf numFmtId="0" fontId="20" fillId="54" borderId="203" xfId="0" applyFont="1" applyFill="1" applyBorder="1" applyAlignment="1">
      <alignment vertical="center" shrinkToFit="1"/>
    </xf>
    <xf numFmtId="0" fontId="21" fillId="54" borderId="204" xfId="1" applyFont="1" applyFill="1" applyBorder="1" applyAlignment="1">
      <alignment vertical="center" shrinkToFit="1"/>
    </xf>
    <xf numFmtId="0" fontId="20" fillId="54" borderId="205" xfId="0" applyFont="1" applyFill="1" applyBorder="1" applyAlignment="1">
      <alignment horizontal="center" vertical="center" shrinkToFit="1"/>
    </xf>
    <xf numFmtId="0" fontId="20" fillId="54" borderId="204" xfId="0" applyFont="1" applyFill="1" applyBorder="1" applyAlignment="1">
      <alignment horizontal="center" vertical="center" shrinkToFit="1"/>
    </xf>
    <xf numFmtId="0" fontId="20" fillId="54" borderId="205" xfId="0" applyFont="1" applyFill="1" applyBorder="1" applyAlignment="1">
      <alignment vertical="center" shrinkToFit="1"/>
    </xf>
    <xf numFmtId="0" fontId="51" fillId="54" borderId="204" xfId="1" applyFont="1" applyFill="1" applyBorder="1" applyAlignment="1">
      <alignment vertical="center" shrinkToFit="1"/>
    </xf>
    <xf numFmtId="0" fontId="30" fillId="54" borderId="0" xfId="0" applyFont="1" applyFill="1" applyAlignment="1">
      <alignment vertical="center" shrinkToFit="1"/>
    </xf>
    <xf numFmtId="0" fontId="44" fillId="54" borderId="0" xfId="0" applyFont="1" applyFill="1" applyAlignment="1">
      <alignment vertical="center" shrinkToFit="1"/>
    </xf>
    <xf numFmtId="0" fontId="30" fillId="54" borderId="204" xfId="0" applyFont="1" applyFill="1" applyBorder="1" applyAlignment="1">
      <alignment horizontal="center" vertical="center" shrinkToFit="1"/>
    </xf>
    <xf numFmtId="0" fontId="30" fillId="54" borderId="0" xfId="0" applyFont="1" applyFill="1" applyAlignment="1">
      <alignment horizontal="right" vertical="center" shrinkToFit="1"/>
    </xf>
    <xf numFmtId="0" fontId="30" fillId="54" borderId="0" xfId="0" applyFont="1" applyFill="1" applyAlignment="1">
      <alignment horizontal="left" vertical="center" shrinkToFit="1"/>
    </xf>
    <xf numFmtId="0" fontId="30" fillId="54" borderId="205" xfId="0" applyFont="1" applyFill="1" applyBorder="1" applyAlignment="1">
      <alignment vertical="center" shrinkToFit="1"/>
    </xf>
    <xf numFmtId="0" fontId="51" fillId="54" borderId="206" xfId="1" applyFont="1" applyFill="1" applyBorder="1" applyAlignment="1">
      <alignment vertical="center" shrinkToFit="1"/>
    </xf>
    <xf numFmtId="0" fontId="20" fillId="54" borderId="207" xfId="0" applyFont="1" applyFill="1" applyBorder="1" applyAlignment="1">
      <alignment vertical="center" shrinkToFit="1"/>
    </xf>
    <xf numFmtId="0" fontId="20" fillId="54" borderId="208" xfId="0" applyFont="1" applyFill="1" applyBorder="1" applyAlignment="1">
      <alignment horizontal="center" vertical="center" shrinkToFit="1"/>
    </xf>
    <xf numFmtId="0" fontId="20" fillId="54" borderId="206" xfId="0" applyFont="1" applyFill="1" applyBorder="1" applyAlignment="1">
      <alignment horizontal="center" vertical="center" shrinkToFit="1"/>
    </xf>
    <xf numFmtId="0" fontId="20" fillId="54" borderId="207" xfId="0" applyFont="1" applyFill="1" applyBorder="1" applyAlignment="1">
      <alignment horizontal="center" vertical="center" shrinkToFit="1"/>
    </xf>
    <xf numFmtId="0" fontId="20" fillId="54" borderId="207" xfId="0" applyFont="1" applyFill="1" applyBorder="1" applyAlignment="1">
      <alignment horizontal="right" vertical="center" shrinkToFit="1"/>
    </xf>
    <xf numFmtId="0" fontId="30" fillId="54" borderId="207" xfId="0" applyFont="1" applyFill="1" applyBorder="1" applyAlignment="1">
      <alignment horizontal="center" vertical="center" shrinkToFit="1"/>
    </xf>
    <xf numFmtId="0" fontId="20" fillId="54" borderId="207" xfId="0" applyFont="1" applyFill="1" applyBorder="1" applyAlignment="1">
      <alignment horizontal="left" vertical="center" shrinkToFit="1"/>
    </xf>
    <xf numFmtId="0" fontId="20" fillId="54" borderId="208" xfId="0" applyFont="1" applyFill="1" applyBorder="1" applyAlignment="1">
      <alignment vertical="center" shrinkToFit="1"/>
    </xf>
    <xf numFmtId="0" fontId="55" fillId="56" borderId="0" xfId="0" applyFont="1" applyFill="1" applyAlignment="1">
      <alignment horizontal="left" vertical="center" shrinkToFit="1"/>
    </xf>
    <xf numFmtId="0" fontId="41" fillId="56" borderId="0" xfId="0" applyFont="1" applyFill="1" applyAlignment="1">
      <alignment horizontal="left" vertical="center" shrinkToFit="1"/>
    </xf>
    <xf numFmtId="0" fontId="20" fillId="56" borderId="0" xfId="0" applyFont="1" applyFill="1" applyAlignment="1">
      <alignment horizontal="center" vertical="center" shrinkToFit="1"/>
    </xf>
    <xf numFmtId="0" fontId="20" fillId="56" borderId="0" xfId="0" applyFont="1" applyFill="1" applyAlignment="1">
      <alignment horizontal="right" vertical="center" shrinkToFit="1"/>
    </xf>
    <xf numFmtId="0" fontId="30" fillId="56" borderId="0" xfId="0" applyFont="1" applyFill="1" applyAlignment="1">
      <alignment horizontal="center" vertical="center" shrinkToFit="1"/>
    </xf>
    <xf numFmtId="0" fontId="20" fillId="56" borderId="0" xfId="0" applyFont="1" applyFill="1" applyAlignment="1">
      <alignment horizontal="left" vertical="center" shrinkToFit="1"/>
    </xf>
    <xf numFmtId="0" fontId="20" fillId="56" borderId="0" xfId="0" applyFont="1" applyFill="1" applyAlignment="1">
      <alignment vertical="center" shrinkToFit="1"/>
    </xf>
    <xf numFmtId="0" fontId="21" fillId="56" borderId="151" xfId="1" applyFont="1" applyFill="1" applyBorder="1" applyAlignment="1">
      <alignment vertical="center" shrinkToFit="1"/>
    </xf>
    <xf numFmtId="0" fontId="20" fillId="56" borderId="152" xfId="0" applyFont="1" applyFill="1" applyBorder="1" applyAlignment="1">
      <alignment vertical="center" shrinkToFit="1"/>
    </xf>
    <xf numFmtId="0" fontId="20" fillId="56" borderId="153" xfId="0" applyFont="1" applyFill="1" applyBorder="1" applyAlignment="1">
      <alignment horizontal="center" vertical="center" shrinkToFit="1"/>
    </xf>
    <xf numFmtId="0" fontId="20" fillId="56" borderId="151" xfId="0" applyFont="1" applyFill="1" applyBorder="1" applyAlignment="1">
      <alignment horizontal="center" vertical="center" shrinkToFit="1"/>
    </xf>
    <xf numFmtId="0" fontId="20" fillId="56" borderId="152" xfId="0" applyFont="1" applyFill="1" applyBorder="1" applyAlignment="1">
      <alignment horizontal="center" vertical="center" shrinkToFit="1"/>
    </xf>
    <xf numFmtId="0" fontId="20" fillId="56" borderId="152" xfId="0" applyFont="1" applyFill="1" applyBorder="1" applyAlignment="1">
      <alignment horizontal="right" vertical="center" shrinkToFit="1"/>
    </xf>
    <xf numFmtId="0" fontId="30" fillId="56" borderId="152" xfId="0" applyFont="1" applyFill="1" applyBorder="1" applyAlignment="1">
      <alignment horizontal="center" vertical="center" shrinkToFit="1"/>
    </xf>
    <xf numFmtId="0" fontId="20" fillId="56" borderId="152" xfId="0" applyFont="1" applyFill="1" applyBorder="1" applyAlignment="1">
      <alignment horizontal="left" vertical="center" shrinkToFit="1"/>
    </xf>
    <xf numFmtId="0" fontId="20" fillId="56" borderId="153" xfId="0" applyFont="1" applyFill="1" applyBorder="1" applyAlignment="1">
      <alignment vertical="center" shrinkToFit="1"/>
    </xf>
    <xf numFmtId="0" fontId="21" fillId="56" borderId="154" xfId="1" applyFont="1" applyFill="1" applyBorder="1" applyAlignment="1">
      <alignment vertical="center" shrinkToFit="1"/>
    </xf>
    <xf numFmtId="0" fontId="20" fillId="56" borderId="155" xfId="0" applyFont="1" applyFill="1" applyBorder="1" applyAlignment="1">
      <alignment horizontal="center" vertical="center" shrinkToFit="1"/>
    </xf>
    <xf numFmtId="0" fontId="20" fillId="56" borderId="154" xfId="0" applyFont="1" applyFill="1" applyBorder="1" applyAlignment="1">
      <alignment horizontal="center" vertical="center" shrinkToFit="1"/>
    </xf>
    <xf numFmtId="0" fontId="20" fillId="56" borderId="155" xfId="0" applyFont="1" applyFill="1" applyBorder="1" applyAlignment="1">
      <alignment vertical="center" shrinkToFit="1"/>
    </xf>
    <xf numFmtId="0" fontId="51" fillId="56" borderId="154" xfId="1" applyFont="1" applyFill="1" applyBorder="1" applyAlignment="1">
      <alignment vertical="center" shrinkToFit="1"/>
    </xf>
    <xf numFmtId="0" fontId="21" fillId="56" borderId="156" xfId="1" applyFont="1" applyFill="1" applyBorder="1" applyAlignment="1">
      <alignment vertical="center" shrinkToFit="1"/>
    </xf>
    <xf numFmtId="0" fontId="20" fillId="56" borderId="157" xfId="0" applyFont="1" applyFill="1" applyBorder="1" applyAlignment="1">
      <alignment vertical="center" shrinkToFit="1"/>
    </xf>
    <xf numFmtId="0" fontId="20" fillId="56" borderId="158" xfId="0" applyFont="1" applyFill="1" applyBorder="1" applyAlignment="1">
      <alignment horizontal="center" vertical="center" shrinkToFit="1"/>
    </xf>
    <xf numFmtId="0" fontId="20" fillId="56" borderId="156" xfId="0" applyFont="1" applyFill="1" applyBorder="1" applyAlignment="1">
      <alignment horizontal="center" vertical="center" shrinkToFit="1"/>
    </xf>
    <xf numFmtId="0" fontId="20" fillId="56" borderId="157" xfId="0" applyFont="1" applyFill="1" applyBorder="1" applyAlignment="1">
      <alignment horizontal="center" vertical="center" shrinkToFit="1"/>
    </xf>
    <xf numFmtId="0" fontId="20" fillId="56" borderId="157" xfId="0" applyFont="1" applyFill="1" applyBorder="1" applyAlignment="1">
      <alignment horizontal="right" vertical="center" shrinkToFit="1"/>
    </xf>
    <xf numFmtId="0" fontId="30" fillId="56" borderId="157" xfId="0" applyFont="1" applyFill="1" applyBorder="1" applyAlignment="1">
      <alignment horizontal="center" vertical="center" shrinkToFit="1"/>
    </xf>
    <xf numFmtId="0" fontId="20" fillId="56" borderId="157" xfId="0" applyFont="1" applyFill="1" applyBorder="1" applyAlignment="1">
      <alignment horizontal="left" vertical="center" shrinkToFit="1"/>
    </xf>
    <xf numFmtId="0" fontId="20" fillId="56" borderId="158" xfId="0" applyFont="1" applyFill="1" applyBorder="1" applyAlignment="1">
      <alignment vertical="center" shrinkToFit="1"/>
    </xf>
    <xf numFmtId="0" fontId="41" fillId="59" borderId="0" xfId="0" applyFont="1" applyFill="1" applyAlignment="1">
      <alignment horizontal="left" vertical="center" shrinkToFit="1"/>
    </xf>
    <xf numFmtId="0" fontId="20" fillId="59" borderId="0" xfId="0" applyFont="1" applyFill="1" applyAlignment="1">
      <alignment horizontal="center" vertical="center" shrinkToFit="1"/>
    </xf>
    <xf numFmtId="0" fontId="20" fillId="59" borderId="0" xfId="0" applyFont="1" applyFill="1" applyAlignment="1">
      <alignment horizontal="right" vertical="center" shrinkToFit="1"/>
    </xf>
    <xf numFmtId="0" fontId="30" fillId="59" borderId="0" xfId="0" applyFont="1" applyFill="1" applyAlignment="1">
      <alignment horizontal="center" vertical="center" shrinkToFit="1"/>
    </xf>
    <xf numFmtId="0" fontId="20" fillId="59" borderId="0" xfId="0" applyFont="1" applyFill="1" applyAlignment="1">
      <alignment horizontal="left" vertical="center" shrinkToFit="1"/>
    </xf>
    <xf numFmtId="0" fontId="20" fillId="59" borderId="0" xfId="0" applyFont="1" applyFill="1" applyAlignment="1">
      <alignment vertical="center" shrinkToFit="1"/>
    </xf>
    <xf numFmtId="0" fontId="21" fillId="59" borderId="114" xfId="1" applyFont="1" applyFill="1" applyBorder="1" applyAlignment="1">
      <alignment vertical="center" shrinkToFit="1"/>
    </xf>
    <xf numFmtId="0" fontId="20" fillId="59" borderId="123" xfId="0" applyFont="1" applyFill="1" applyBorder="1" applyAlignment="1">
      <alignment vertical="center" shrinkToFit="1"/>
    </xf>
    <xf numFmtId="0" fontId="20" fillId="59" borderId="115" xfId="0" applyFont="1" applyFill="1" applyBorder="1" applyAlignment="1">
      <alignment horizontal="center" vertical="center" shrinkToFit="1"/>
    </xf>
    <xf numFmtId="0" fontId="20" fillId="59" borderId="114" xfId="0" applyFont="1" applyFill="1" applyBorder="1" applyAlignment="1">
      <alignment horizontal="center" vertical="center" shrinkToFit="1"/>
    </xf>
    <xf numFmtId="0" fontId="20" fillId="59" borderId="123" xfId="0" applyFont="1" applyFill="1" applyBorder="1" applyAlignment="1">
      <alignment horizontal="center" vertical="center" shrinkToFit="1"/>
    </xf>
    <xf numFmtId="0" fontId="20" fillId="59" borderId="123" xfId="0" applyFont="1" applyFill="1" applyBorder="1" applyAlignment="1">
      <alignment horizontal="right" vertical="center" shrinkToFit="1"/>
    </xf>
    <xf numFmtId="0" fontId="30" fillId="59" borderId="123" xfId="0" applyFont="1" applyFill="1" applyBorder="1" applyAlignment="1">
      <alignment horizontal="center" vertical="center" shrinkToFit="1"/>
    </xf>
    <xf numFmtId="0" fontId="20" fillId="59" borderId="123" xfId="0" applyFont="1" applyFill="1" applyBorder="1" applyAlignment="1">
      <alignment horizontal="left" vertical="center" shrinkToFit="1"/>
    </xf>
    <xf numFmtId="0" fontId="20" fillId="59" borderId="115" xfId="0" applyFont="1" applyFill="1" applyBorder="1" applyAlignment="1">
      <alignment vertical="center" shrinkToFit="1"/>
    </xf>
    <xf numFmtId="0" fontId="21" fillId="59" borderId="83" xfId="1" applyFont="1" applyFill="1" applyBorder="1" applyAlignment="1">
      <alignment vertical="center" shrinkToFit="1"/>
    </xf>
    <xf numFmtId="0" fontId="20" fillId="59" borderId="84" xfId="0" applyFont="1" applyFill="1" applyBorder="1" applyAlignment="1">
      <alignment horizontal="center" vertical="center" shrinkToFit="1"/>
    </xf>
    <xf numFmtId="0" fontId="20" fillId="59" borderId="83" xfId="0" applyFont="1" applyFill="1" applyBorder="1" applyAlignment="1">
      <alignment horizontal="center" vertical="center" shrinkToFit="1"/>
    </xf>
    <xf numFmtId="0" fontId="20" fillId="59" borderId="84" xfId="0" applyFont="1" applyFill="1" applyBorder="1" applyAlignment="1">
      <alignment vertical="center" shrinkToFit="1"/>
    </xf>
    <xf numFmtId="0" fontId="51" fillId="59" borderId="83" xfId="1" applyFont="1" applyFill="1" applyBorder="1" applyAlignment="1">
      <alignment vertical="center" shrinkToFit="1"/>
    </xf>
    <xf numFmtId="0" fontId="21" fillId="59" borderId="91" xfId="1" applyFont="1" applyFill="1" applyBorder="1" applyAlignment="1">
      <alignment vertical="center" shrinkToFit="1"/>
    </xf>
    <xf numFmtId="0" fontId="20" fillId="59" borderId="124" xfId="0" applyFont="1" applyFill="1" applyBorder="1" applyAlignment="1">
      <alignment vertical="center" shrinkToFit="1"/>
    </xf>
    <xf numFmtId="0" fontId="20" fillId="59" borderId="116" xfId="0" applyFont="1" applyFill="1" applyBorder="1" applyAlignment="1">
      <alignment horizontal="center" vertical="center" shrinkToFit="1"/>
    </xf>
    <xf numFmtId="0" fontId="20" fillId="59" borderId="91" xfId="0" applyFont="1" applyFill="1" applyBorder="1" applyAlignment="1">
      <alignment horizontal="center" vertical="center" shrinkToFit="1"/>
    </xf>
    <xf numFmtId="0" fontId="20" fillId="59" borderId="124" xfId="0" applyFont="1" applyFill="1" applyBorder="1" applyAlignment="1">
      <alignment horizontal="center" vertical="center" shrinkToFit="1"/>
    </xf>
    <xf numFmtId="0" fontId="20" fillId="59" borderId="124" xfId="0" applyFont="1" applyFill="1" applyBorder="1" applyAlignment="1">
      <alignment horizontal="right" vertical="center" shrinkToFit="1"/>
    </xf>
    <xf numFmtId="0" fontId="30" fillId="59" borderId="124" xfId="0" applyFont="1" applyFill="1" applyBorder="1" applyAlignment="1">
      <alignment horizontal="center" vertical="center" shrinkToFit="1"/>
    </xf>
    <xf numFmtId="0" fontId="20" fillId="59" borderId="124" xfId="0" applyFont="1" applyFill="1" applyBorder="1" applyAlignment="1">
      <alignment horizontal="left" vertical="center" shrinkToFit="1"/>
    </xf>
    <xf numFmtId="0" fontId="20" fillId="59" borderId="116" xfId="0" applyFont="1" applyFill="1" applyBorder="1" applyAlignment="1">
      <alignment vertical="center" shrinkToFit="1"/>
    </xf>
    <xf numFmtId="0" fontId="42" fillId="59" borderId="0" xfId="0" applyFont="1" applyFill="1" applyAlignment="1">
      <alignment vertical="center" shrinkToFit="1"/>
    </xf>
    <xf numFmtId="0" fontId="21" fillId="59" borderId="159" xfId="1" applyFont="1" applyFill="1" applyBorder="1" applyAlignment="1">
      <alignment vertical="center" shrinkToFit="1"/>
    </xf>
    <xf numFmtId="0" fontId="20" fillId="59" borderId="160" xfId="0" applyFont="1" applyFill="1" applyBorder="1" applyAlignment="1">
      <alignment vertical="center" shrinkToFit="1"/>
    </xf>
    <xf numFmtId="0" fontId="20" fillId="59" borderId="160" xfId="0" applyFont="1" applyFill="1" applyBorder="1" applyAlignment="1">
      <alignment horizontal="center" vertical="center" shrinkToFit="1"/>
    </xf>
    <xf numFmtId="0" fontId="20" fillId="59" borderId="166" xfId="0" applyFont="1" applyFill="1" applyBorder="1" applyAlignment="1">
      <alignment vertical="center" shrinkToFit="1"/>
    </xf>
    <xf numFmtId="0" fontId="20" fillId="59" borderId="160" xfId="0" applyFont="1" applyFill="1" applyBorder="1" applyAlignment="1">
      <alignment horizontal="right" vertical="center" shrinkToFit="1"/>
    </xf>
    <xf numFmtId="0" fontId="30" fillId="59" borderId="160" xfId="0" applyFont="1" applyFill="1" applyBorder="1" applyAlignment="1">
      <alignment horizontal="center" vertical="center" shrinkToFit="1"/>
    </xf>
    <xf numFmtId="0" fontId="20" fillId="59" borderId="160" xfId="0" applyFont="1" applyFill="1" applyBorder="1" applyAlignment="1">
      <alignment horizontal="left" vertical="center" shrinkToFit="1"/>
    </xf>
    <xf numFmtId="0" fontId="20" fillId="59" borderId="167" xfId="0" applyFont="1" applyFill="1" applyBorder="1" applyAlignment="1">
      <alignment vertical="center" shrinkToFit="1"/>
    </xf>
    <xf numFmtId="0" fontId="21" fillId="59" borderId="161" xfId="1" applyFont="1" applyFill="1" applyBorder="1" applyAlignment="1">
      <alignment vertical="center" shrinkToFit="1"/>
    </xf>
    <xf numFmtId="0" fontId="20" fillId="59" borderId="162" xfId="0" applyFont="1" applyFill="1" applyBorder="1" applyAlignment="1">
      <alignment horizontal="center" vertical="center" shrinkToFit="1"/>
    </xf>
    <xf numFmtId="0" fontId="20" fillId="59" borderId="161" xfId="0" applyFont="1" applyFill="1" applyBorder="1" applyAlignment="1">
      <alignment horizontal="center" vertical="center" shrinkToFit="1"/>
    </xf>
    <xf numFmtId="0" fontId="20" fillId="59" borderId="162" xfId="0" applyFont="1" applyFill="1" applyBorder="1" applyAlignment="1">
      <alignment vertical="center" shrinkToFit="1"/>
    </xf>
    <xf numFmtId="0" fontId="51" fillId="59" borderId="163" xfId="1" applyFont="1" applyFill="1" applyBorder="1" applyAlignment="1">
      <alignment vertical="center" shrinkToFit="1"/>
    </xf>
    <xf numFmtId="0" fontId="20" fillId="59" borderId="164" xfId="0" applyFont="1" applyFill="1" applyBorder="1" applyAlignment="1">
      <alignment vertical="center" shrinkToFit="1"/>
    </xf>
    <xf numFmtId="0" fontId="20" fillId="59" borderId="165" xfId="0" applyFont="1" applyFill="1" applyBorder="1" applyAlignment="1">
      <alignment horizontal="center" vertical="center" shrinkToFit="1"/>
    </xf>
    <xf numFmtId="0" fontId="20" fillId="59" borderId="163" xfId="0" applyFont="1" applyFill="1" applyBorder="1" applyAlignment="1">
      <alignment horizontal="center" vertical="center" shrinkToFit="1"/>
    </xf>
    <xf numFmtId="0" fontId="20" fillId="59" borderId="164" xfId="0" applyFont="1" applyFill="1" applyBorder="1" applyAlignment="1">
      <alignment horizontal="center" vertical="center" shrinkToFit="1"/>
    </xf>
    <xf numFmtId="0" fontId="20" fillId="59" borderId="164" xfId="0" applyFont="1" applyFill="1" applyBorder="1" applyAlignment="1">
      <alignment horizontal="right" vertical="center" shrinkToFit="1"/>
    </xf>
    <xf numFmtId="0" fontId="20" fillId="59" borderId="164" xfId="0" applyFont="1" applyFill="1" applyBorder="1" applyAlignment="1">
      <alignment horizontal="left" vertical="center" shrinkToFit="1"/>
    </xf>
    <xf numFmtId="0" fontId="20" fillId="59" borderId="165" xfId="0" applyFont="1" applyFill="1" applyBorder="1" applyAlignment="1">
      <alignment vertical="center" shrinkToFit="1"/>
    </xf>
    <xf numFmtId="0" fontId="43" fillId="59" borderId="0" xfId="0" applyFont="1" applyFill="1" applyAlignment="1">
      <alignment vertical="center" shrinkToFit="1"/>
    </xf>
    <xf numFmtId="0" fontId="21" fillId="59" borderId="120" xfId="1" applyFont="1" applyFill="1" applyBorder="1" applyAlignment="1">
      <alignment vertical="center" shrinkToFit="1"/>
    </xf>
    <xf numFmtId="0" fontId="20" fillId="59" borderId="127" xfId="0" applyFont="1" applyFill="1" applyBorder="1" applyAlignment="1">
      <alignment vertical="center" shrinkToFit="1"/>
    </xf>
    <xf numFmtId="0" fontId="20" fillId="59" borderId="121" xfId="0" applyFont="1" applyFill="1" applyBorder="1" applyAlignment="1">
      <alignment horizontal="center" vertical="center" shrinkToFit="1"/>
    </xf>
    <xf numFmtId="0" fontId="20" fillId="59" borderId="120" xfId="0" applyFont="1" applyFill="1" applyBorder="1" applyAlignment="1">
      <alignment horizontal="center" vertical="center" shrinkToFit="1"/>
    </xf>
    <xf numFmtId="0" fontId="20" fillId="59" borderId="127" xfId="0" applyFont="1" applyFill="1" applyBorder="1" applyAlignment="1">
      <alignment horizontal="center" vertical="center" shrinkToFit="1"/>
    </xf>
    <xf numFmtId="0" fontId="20" fillId="59" borderId="127" xfId="0" applyFont="1" applyFill="1" applyBorder="1" applyAlignment="1">
      <alignment horizontal="right" vertical="center" shrinkToFit="1"/>
    </xf>
    <xf numFmtId="0" fontId="30" fillId="59" borderId="127" xfId="0" applyFont="1" applyFill="1" applyBorder="1" applyAlignment="1">
      <alignment horizontal="center" vertical="center" shrinkToFit="1"/>
    </xf>
    <xf numFmtId="0" fontId="20" fillId="59" borderId="127" xfId="0" applyFont="1" applyFill="1" applyBorder="1" applyAlignment="1">
      <alignment horizontal="left" vertical="center" shrinkToFit="1"/>
    </xf>
    <xf numFmtId="0" fontId="20" fillId="59" borderId="121" xfId="0" applyFont="1" applyFill="1" applyBorder="1" applyAlignment="1">
      <alignment vertical="center" shrinkToFit="1"/>
    </xf>
    <xf numFmtId="0" fontId="21" fillId="59" borderId="51" xfId="1" applyFont="1" applyFill="1" applyBorder="1" applyAlignment="1">
      <alignment vertical="center" shrinkToFit="1"/>
    </xf>
    <xf numFmtId="0" fontId="20" fillId="59" borderId="52" xfId="0" applyFont="1" applyFill="1" applyBorder="1" applyAlignment="1">
      <alignment horizontal="center" vertical="center" shrinkToFit="1"/>
    </xf>
    <xf numFmtId="0" fontId="20" fillId="59" borderId="51" xfId="0" applyFont="1" applyFill="1" applyBorder="1" applyAlignment="1">
      <alignment horizontal="center" vertical="center" shrinkToFit="1"/>
    </xf>
    <xf numFmtId="0" fontId="20" fillId="59" borderId="52" xfId="0" applyFont="1" applyFill="1" applyBorder="1" applyAlignment="1">
      <alignment vertical="center" shrinkToFit="1"/>
    </xf>
    <xf numFmtId="0" fontId="51" fillId="59" borderId="51" xfId="1" applyFont="1" applyFill="1" applyBorder="1" applyAlignment="1">
      <alignment vertical="center" shrinkToFit="1"/>
    </xf>
    <xf numFmtId="0" fontId="21" fillId="59" borderId="59" xfId="1" applyFont="1" applyFill="1" applyBorder="1" applyAlignment="1">
      <alignment vertical="center" shrinkToFit="1"/>
    </xf>
    <xf numFmtId="0" fontId="20" fillId="59" borderId="128" xfId="0" applyFont="1" applyFill="1" applyBorder="1" applyAlignment="1">
      <alignment vertical="center" shrinkToFit="1"/>
    </xf>
    <xf numFmtId="0" fontId="20" fillId="59" borderId="122" xfId="0" applyFont="1" applyFill="1" applyBorder="1" applyAlignment="1">
      <alignment horizontal="center" vertical="center" shrinkToFit="1"/>
    </xf>
    <xf numFmtId="0" fontId="20" fillId="59" borderId="59" xfId="0" applyFont="1" applyFill="1" applyBorder="1" applyAlignment="1">
      <alignment horizontal="center" vertical="center" shrinkToFit="1"/>
    </xf>
    <xf numFmtId="0" fontId="20" fillId="59" borderId="128" xfId="0" applyFont="1" applyFill="1" applyBorder="1" applyAlignment="1">
      <alignment horizontal="center" vertical="center" shrinkToFit="1"/>
    </xf>
    <xf numFmtId="0" fontId="20" fillId="59" borderId="128" xfId="0" applyFont="1" applyFill="1" applyBorder="1" applyAlignment="1">
      <alignment horizontal="right" vertical="center" shrinkToFit="1"/>
    </xf>
    <xf numFmtId="0" fontId="30" fillId="59" borderId="128" xfId="0" applyFont="1" applyFill="1" applyBorder="1" applyAlignment="1">
      <alignment horizontal="center" vertical="center" shrinkToFit="1"/>
    </xf>
    <xf numFmtId="0" fontId="20" fillId="59" borderId="128" xfId="0" applyFont="1" applyFill="1" applyBorder="1" applyAlignment="1">
      <alignment horizontal="left" vertical="center" shrinkToFit="1"/>
    </xf>
    <xf numFmtId="0" fontId="20" fillId="59" borderId="122" xfId="0" applyFont="1" applyFill="1" applyBorder="1" applyAlignment="1">
      <alignment vertical="center" shrinkToFit="1"/>
    </xf>
    <xf numFmtId="0" fontId="45" fillId="59" borderId="0" xfId="0" applyFont="1" applyFill="1" applyAlignment="1">
      <alignment vertical="center" shrinkToFit="1"/>
    </xf>
    <xf numFmtId="0" fontId="21" fillId="59" borderId="129" xfId="1" applyFont="1" applyFill="1" applyBorder="1" applyAlignment="1">
      <alignment vertical="center" shrinkToFit="1"/>
    </xf>
    <xf numFmtId="0" fontId="20" fillId="59" borderId="141" xfId="0" applyFont="1" applyFill="1" applyBorder="1" applyAlignment="1">
      <alignment vertical="center" shrinkToFit="1"/>
    </xf>
    <xf numFmtId="0" fontId="20" fillId="59" borderId="130" xfId="0" applyFont="1" applyFill="1" applyBorder="1" applyAlignment="1">
      <alignment horizontal="center" vertical="center" shrinkToFit="1"/>
    </xf>
    <xf numFmtId="0" fontId="20" fillId="59" borderId="129" xfId="0" applyFont="1" applyFill="1" applyBorder="1" applyAlignment="1">
      <alignment horizontal="center" vertical="center" shrinkToFit="1"/>
    </xf>
    <xf numFmtId="0" fontId="20" fillId="59" borderId="141" xfId="0" applyFont="1" applyFill="1" applyBorder="1" applyAlignment="1">
      <alignment horizontal="center" vertical="center" shrinkToFit="1"/>
    </xf>
    <xf numFmtId="0" fontId="20" fillId="59" borderId="141" xfId="0" applyFont="1" applyFill="1" applyBorder="1" applyAlignment="1">
      <alignment horizontal="right" vertical="center" shrinkToFit="1"/>
    </xf>
    <xf numFmtId="0" fontId="30" fillId="59" borderId="141" xfId="0" applyFont="1" applyFill="1" applyBorder="1" applyAlignment="1">
      <alignment horizontal="center" vertical="center" shrinkToFit="1"/>
    </xf>
    <xf numFmtId="0" fontId="20" fillId="59" borderId="141" xfId="0" applyFont="1" applyFill="1" applyBorder="1" applyAlignment="1">
      <alignment horizontal="left" vertical="center" shrinkToFit="1"/>
    </xf>
    <xf numFmtId="0" fontId="20" fillId="59" borderId="130" xfId="0" applyFont="1" applyFill="1" applyBorder="1" applyAlignment="1">
      <alignment vertical="center" shrinkToFit="1"/>
    </xf>
    <xf numFmtId="0" fontId="21" fillId="59" borderId="131" xfId="1" applyFont="1" applyFill="1" applyBorder="1" applyAlignment="1">
      <alignment vertical="center" shrinkToFit="1"/>
    </xf>
    <xf numFmtId="0" fontId="20" fillId="59" borderId="132" xfId="0" applyFont="1" applyFill="1" applyBorder="1" applyAlignment="1">
      <alignment horizontal="center" vertical="center" shrinkToFit="1"/>
    </xf>
    <xf numFmtId="0" fontId="20" fillId="59" borderId="131" xfId="0" applyFont="1" applyFill="1" applyBorder="1" applyAlignment="1">
      <alignment horizontal="center" vertical="center" shrinkToFit="1"/>
    </xf>
    <xf numFmtId="0" fontId="20" fillId="59" borderId="132" xfId="0" applyFont="1" applyFill="1" applyBorder="1" applyAlignment="1">
      <alignment vertical="center" shrinkToFit="1"/>
    </xf>
    <xf numFmtId="0" fontId="21" fillId="59" borderId="133" xfId="1" applyFont="1" applyFill="1" applyBorder="1" applyAlignment="1">
      <alignment vertical="center" shrinkToFit="1"/>
    </xf>
    <xf numFmtId="0" fontId="20" fillId="59" borderId="142" xfId="0" applyFont="1" applyFill="1" applyBorder="1" applyAlignment="1">
      <alignment vertical="center" shrinkToFit="1"/>
    </xf>
    <xf numFmtId="0" fontId="20" fillId="59" borderId="134" xfId="0" applyFont="1" applyFill="1" applyBorder="1" applyAlignment="1">
      <alignment horizontal="center" vertical="center" shrinkToFit="1"/>
    </xf>
    <xf numFmtId="0" fontId="20" fillId="59" borderId="133" xfId="0" applyFont="1" applyFill="1" applyBorder="1" applyAlignment="1">
      <alignment horizontal="center" vertical="center" shrinkToFit="1"/>
    </xf>
    <xf numFmtId="0" fontId="20" fillId="59" borderId="142" xfId="0" applyFont="1" applyFill="1" applyBorder="1" applyAlignment="1">
      <alignment horizontal="center" vertical="center" shrinkToFit="1"/>
    </xf>
    <xf numFmtId="0" fontId="20" fillId="59" borderId="142" xfId="0" applyFont="1" applyFill="1" applyBorder="1" applyAlignment="1">
      <alignment horizontal="right" vertical="center" shrinkToFit="1"/>
    </xf>
    <xf numFmtId="0" fontId="30" fillId="59" borderId="142" xfId="0" applyFont="1" applyFill="1" applyBorder="1" applyAlignment="1">
      <alignment horizontal="center" vertical="center" shrinkToFit="1"/>
    </xf>
    <xf numFmtId="0" fontId="20" fillId="59" borderId="142" xfId="0" applyFont="1" applyFill="1" applyBorder="1" applyAlignment="1">
      <alignment horizontal="left" vertical="center" shrinkToFit="1"/>
    </xf>
    <xf numFmtId="0" fontId="20" fillId="59" borderId="134" xfId="0" applyFont="1" applyFill="1" applyBorder="1" applyAlignment="1">
      <alignment vertical="center" shrinkToFit="1"/>
    </xf>
    <xf numFmtId="0" fontId="46" fillId="59" borderId="0" xfId="0" applyFont="1" applyFill="1" applyAlignment="1">
      <alignment vertical="center" shrinkToFit="1"/>
    </xf>
    <xf numFmtId="0" fontId="21" fillId="59" borderId="135" xfId="1" applyFont="1" applyFill="1" applyBorder="1" applyAlignment="1">
      <alignment vertical="center" shrinkToFit="1"/>
    </xf>
    <xf numFmtId="0" fontId="20" fillId="59" borderId="143" xfId="0" applyFont="1" applyFill="1" applyBorder="1" applyAlignment="1">
      <alignment vertical="center" shrinkToFit="1"/>
    </xf>
    <xf numFmtId="0" fontId="20" fillId="59" borderId="136" xfId="0" applyFont="1" applyFill="1" applyBorder="1" applyAlignment="1">
      <alignment horizontal="center" vertical="center" shrinkToFit="1"/>
    </xf>
    <xf numFmtId="0" fontId="20" fillId="59" borderId="135" xfId="0" applyFont="1" applyFill="1" applyBorder="1" applyAlignment="1">
      <alignment horizontal="center" vertical="center" shrinkToFit="1"/>
    </xf>
    <xf numFmtId="0" fontId="20" fillId="59" borderId="143" xfId="0" applyFont="1" applyFill="1" applyBorder="1" applyAlignment="1">
      <alignment horizontal="center" vertical="center" shrinkToFit="1"/>
    </xf>
    <xf numFmtId="0" fontId="20" fillId="59" borderId="143" xfId="0" applyFont="1" applyFill="1" applyBorder="1" applyAlignment="1">
      <alignment horizontal="right" vertical="center" shrinkToFit="1"/>
    </xf>
    <xf numFmtId="0" fontId="30" fillId="59" borderId="143" xfId="0" applyFont="1" applyFill="1" applyBorder="1" applyAlignment="1">
      <alignment horizontal="center" vertical="center" shrinkToFit="1"/>
    </xf>
    <xf numFmtId="0" fontId="20" fillId="59" borderId="143" xfId="0" applyFont="1" applyFill="1" applyBorder="1" applyAlignment="1">
      <alignment horizontal="left" vertical="center" shrinkToFit="1"/>
    </xf>
    <xf numFmtId="0" fontId="20" fillId="59" borderId="136" xfId="0" applyFont="1" applyFill="1" applyBorder="1" applyAlignment="1">
      <alignment vertical="center" shrinkToFit="1"/>
    </xf>
    <xf numFmtId="0" fontId="21" fillId="59" borderId="137" xfId="1" applyFont="1" applyFill="1" applyBorder="1" applyAlignment="1">
      <alignment vertical="center" shrinkToFit="1"/>
    </xf>
    <xf numFmtId="0" fontId="20" fillId="59" borderId="138" xfId="0" applyFont="1" applyFill="1" applyBorder="1" applyAlignment="1">
      <alignment horizontal="center" vertical="center" shrinkToFit="1"/>
    </xf>
    <xf numFmtId="0" fontId="20" fillId="59" borderId="137" xfId="0" applyFont="1" applyFill="1" applyBorder="1" applyAlignment="1">
      <alignment horizontal="center" vertical="center" shrinkToFit="1"/>
    </xf>
    <xf numFmtId="0" fontId="20" fillId="59" borderId="138" xfId="0" applyFont="1" applyFill="1" applyBorder="1" applyAlignment="1">
      <alignment vertical="center" shrinkToFit="1"/>
    </xf>
    <xf numFmtId="0" fontId="51" fillId="59" borderId="137" xfId="1" applyFont="1" applyFill="1" applyBorder="1" applyAlignment="1">
      <alignment vertical="center" shrinkToFit="1"/>
    </xf>
    <xf numFmtId="0" fontId="21" fillId="59" borderId="139" xfId="1" applyFont="1" applyFill="1" applyBorder="1" applyAlignment="1">
      <alignment vertical="center" shrinkToFit="1"/>
    </xf>
    <xf numFmtId="0" fontId="20" fillId="59" borderId="144" xfId="0" applyFont="1" applyFill="1" applyBorder="1" applyAlignment="1">
      <alignment vertical="center" shrinkToFit="1"/>
    </xf>
    <xf numFmtId="0" fontId="20" fillId="59" borderId="140" xfId="0" applyFont="1" applyFill="1" applyBorder="1" applyAlignment="1">
      <alignment horizontal="center" vertical="center" shrinkToFit="1"/>
    </xf>
    <xf numFmtId="0" fontId="20" fillId="59" borderId="139" xfId="0" applyFont="1" applyFill="1" applyBorder="1" applyAlignment="1">
      <alignment horizontal="center" vertical="center" shrinkToFit="1"/>
    </xf>
    <xf numFmtId="0" fontId="20" fillId="59" borderId="144" xfId="0" applyFont="1" applyFill="1" applyBorder="1" applyAlignment="1">
      <alignment horizontal="center" vertical="center" shrinkToFit="1"/>
    </xf>
    <xf numFmtId="0" fontId="20" fillId="59" borderId="144" xfId="0" applyFont="1" applyFill="1" applyBorder="1" applyAlignment="1">
      <alignment horizontal="right" vertical="center" shrinkToFit="1"/>
    </xf>
    <xf numFmtId="0" fontId="30" fillId="59" borderId="144" xfId="0" applyFont="1" applyFill="1" applyBorder="1" applyAlignment="1">
      <alignment horizontal="center" vertical="center" shrinkToFit="1"/>
    </xf>
    <xf numFmtId="0" fontId="20" fillId="59" borderId="144" xfId="0" applyFont="1" applyFill="1" applyBorder="1" applyAlignment="1">
      <alignment horizontal="left" vertical="center" shrinkToFit="1"/>
    </xf>
    <xf numFmtId="0" fontId="20" fillId="59" borderId="140" xfId="0" applyFont="1" applyFill="1" applyBorder="1" applyAlignment="1">
      <alignment vertical="center" shrinkToFit="1"/>
    </xf>
    <xf numFmtId="0" fontId="41" fillId="56" borderId="0" xfId="0" applyFont="1" applyFill="1" applyAlignment="1">
      <alignment vertical="center" shrinkToFit="1"/>
    </xf>
    <xf numFmtId="0" fontId="41" fillId="56" borderId="0" xfId="0" applyFont="1" applyFill="1" applyAlignment="1">
      <alignment horizontal="center" vertical="center" shrinkToFit="1"/>
    </xf>
    <xf numFmtId="0" fontId="51" fillId="56" borderId="114" xfId="1" applyFont="1" applyFill="1" applyBorder="1" applyAlignment="1">
      <alignment vertical="center" shrinkToFit="1"/>
    </xf>
    <xf numFmtId="0" fontId="20" fillId="56" borderId="123" xfId="0" applyFont="1" applyFill="1" applyBorder="1" applyAlignment="1">
      <alignment vertical="center" shrinkToFit="1"/>
    </xf>
    <xf numFmtId="0" fontId="20" fillId="56" borderId="115" xfId="0" applyFont="1" applyFill="1" applyBorder="1" applyAlignment="1">
      <alignment horizontal="center" vertical="center" shrinkToFit="1"/>
    </xf>
    <xf numFmtId="0" fontId="20" fillId="56" borderId="114" xfId="0" applyFont="1" applyFill="1" applyBorder="1" applyAlignment="1">
      <alignment horizontal="center" vertical="center" shrinkToFit="1"/>
    </xf>
    <xf numFmtId="0" fontId="20" fillId="56" borderId="123" xfId="0" applyFont="1" applyFill="1" applyBorder="1" applyAlignment="1">
      <alignment horizontal="center" vertical="center" shrinkToFit="1"/>
    </xf>
    <xf numFmtId="0" fontId="20" fillId="56" borderId="123" xfId="0" applyFont="1" applyFill="1" applyBorder="1" applyAlignment="1">
      <alignment horizontal="right" vertical="center" shrinkToFit="1"/>
    </xf>
    <xf numFmtId="0" fontId="20" fillId="56" borderId="123" xfId="0" applyFont="1" applyFill="1" applyBorder="1" applyAlignment="1">
      <alignment horizontal="left" vertical="center" shrinkToFit="1"/>
    </xf>
    <xf numFmtId="0" fontId="20" fillId="56" borderId="115" xfId="0" applyFont="1" applyFill="1" applyBorder="1" applyAlignment="1">
      <alignment vertical="center" shrinkToFit="1"/>
    </xf>
    <xf numFmtId="0" fontId="51" fillId="56" borderId="83" xfId="1" applyFont="1" applyFill="1" applyBorder="1" applyAlignment="1">
      <alignment vertical="center" shrinkToFit="1"/>
    </xf>
    <xf numFmtId="0" fontId="20" fillId="56" borderId="84" xfId="0" applyFont="1" applyFill="1" applyBorder="1" applyAlignment="1">
      <alignment horizontal="center" vertical="center" shrinkToFit="1"/>
    </xf>
    <xf numFmtId="0" fontId="20" fillId="56" borderId="83" xfId="0" applyFont="1" applyFill="1" applyBorder="1" applyAlignment="1">
      <alignment horizontal="center" vertical="center" shrinkToFit="1"/>
    </xf>
    <xf numFmtId="0" fontId="20" fillId="56" borderId="84" xfId="0" applyFont="1" applyFill="1" applyBorder="1" applyAlignment="1">
      <alignment vertical="center" shrinkToFit="1"/>
    </xf>
    <xf numFmtId="0" fontId="21" fillId="56" borderId="83" xfId="1" applyFont="1" applyFill="1" applyBorder="1" applyAlignment="1">
      <alignment vertical="center" shrinkToFit="1"/>
    </xf>
    <xf numFmtId="0" fontId="21" fillId="56" borderId="91" xfId="1" applyFont="1" applyFill="1" applyBorder="1" applyAlignment="1">
      <alignment vertical="center" shrinkToFit="1"/>
    </xf>
    <xf numFmtId="0" fontId="20" fillId="56" borderId="124" xfId="0" applyFont="1" applyFill="1" applyBorder="1" applyAlignment="1">
      <alignment vertical="center" shrinkToFit="1"/>
    </xf>
    <xf numFmtId="0" fontId="20" fillId="56" borderId="116" xfId="0" applyFont="1" applyFill="1" applyBorder="1" applyAlignment="1">
      <alignment horizontal="center" vertical="center" shrinkToFit="1"/>
    </xf>
    <xf numFmtId="0" fontId="20" fillId="56" borderId="91" xfId="0" applyFont="1" applyFill="1" applyBorder="1" applyAlignment="1">
      <alignment horizontal="center" vertical="center" shrinkToFit="1"/>
    </xf>
    <xf numFmtId="0" fontId="20" fillId="56" borderId="124" xfId="0" applyFont="1" applyFill="1" applyBorder="1" applyAlignment="1">
      <alignment horizontal="center" vertical="center" shrinkToFit="1"/>
    </xf>
    <xf numFmtId="0" fontId="20" fillId="56" borderId="124" xfId="0" applyFont="1" applyFill="1" applyBorder="1" applyAlignment="1">
      <alignment horizontal="right" vertical="center" shrinkToFit="1"/>
    </xf>
    <xf numFmtId="0" fontId="20" fillId="56" borderId="124" xfId="0" applyFont="1" applyFill="1" applyBorder="1" applyAlignment="1">
      <alignment horizontal="left" vertical="center" shrinkToFit="1"/>
    </xf>
    <xf numFmtId="0" fontId="20" fillId="56" borderId="116" xfId="0" applyFont="1" applyFill="1" applyBorder="1" applyAlignment="1">
      <alignment vertical="center" shrinkToFit="1"/>
    </xf>
    <xf numFmtId="0" fontId="42" fillId="56" borderId="0" xfId="0" applyFont="1" applyFill="1" applyAlignment="1">
      <alignment vertical="center" shrinkToFit="1"/>
    </xf>
    <xf numFmtId="0" fontId="42" fillId="56" borderId="0" xfId="0" applyFont="1" applyFill="1" applyAlignment="1">
      <alignment horizontal="center" vertical="center" shrinkToFit="1"/>
    </xf>
    <xf numFmtId="0" fontId="21" fillId="56" borderId="117" xfId="1" applyFont="1" applyFill="1" applyBorder="1" applyAlignment="1">
      <alignment vertical="center" shrinkToFit="1"/>
    </xf>
    <xf numFmtId="0" fontId="20" fillId="56" borderId="125" xfId="0" applyFont="1" applyFill="1" applyBorder="1" applyAlignment="1">
      <alignment vertical="center" shrinkToFit="1"/>
    </xf>
    <xf numFmtId="0" fontId="20" fillId="56" borderId="118" xfId="0" applyFont="1" applyFill="1" applyBorder="1" applyAlignment="1">
      <alignment horizontal="center" vertical="center" shrinkToFit="1"/>
    </xf>
    <xf numFmtId="0" fontId="20" fillId="56" borderId="117" xfId="0" applyFont="1" applyFill="1" applyBorder="1" applyAlignment="1">
      <alignment horizontal="center" vertical="center" shrinkToFit="1"/>
    </xf>
    <xf numFmtId="0" fontId="20" fillId="56" borderId="125" xfId="0" applyFont="1" applyFill="1" applyBorder="1" applyAlignment="1">
      <alignment horizontal="center" vertical="center" shrinkToFit="1"/>
    </xf>
    <xf numFmtId="0" fontId="20" fillId="56" borderId="125" xfId="0" applyFont="1" applyFill="1" applyBorder="1" applyAlignment="1">
      <alignment horizontal="right" vertical="center" shrinkToFit="1"/>
    </xf>
    <xf numFmtId="0" fontId="20" fillId="56" borderId="125" xfId="0" applyFont="1" applyFill="1" applyBorder="1" applyAlignment="1">
      <alignment horizontal="left" vertical="center" shrinkToFit="1"/>
    </xf>
    <xf numFmtId="0" fontId="20" fillId="56" borderId="118" xfId="0" applyFont="1" applyFill="1" applyBorder="1" applyAlignment="1">
      <alignment vertical="center" shrinkToFit="1"/>
    </xf>
    <xf numFmtId="0" fontId="21" fillId="56" borderId="67" xfId="1" applyFont="1" applyFill="1" applyBorder="1" applyAlignment="1">
      <alignment vertical="center" shrinkToFit="1"/>
    </xf>
    <xf numFmtId="0" fontId="20" fillId="56" borderId="68" xfId="0" applyFont="1" applyFill="1" applyBorder="1" applyAlignment="1">
      <alignment horizontal="center" vertical="center" shrinkToFit="1"/>
    </xf>
    <xf numFmtId="0" fontId="20" fillId="56" borderId="67" xfId="0" applyFont="1" applyFill="1" applyBorder="1" applyAlignment="1">
      <alignment horizontal="center" vertical="center" shrinkToFit="1"/>
    </xf>
    <xf numFmtId="0" fontId="20" fillId="56" borderId="68" xfId="0" applyFont="1" applyFill="1" applyBorder="1" applyAlignment="1">
      <alignment vertical="center" shrinkToFit="1"/>
    </xf>
    <xf numFmtId="0" fontId="51" fillId="56" borderId="67" xfId="1" applyFont="1" applyFill="1" applyBorder="1" applyAlignment="1">
      <alignment vertical="center" shrinkToFit="1"/>
    </xf>
    <xf numFmtId="0" fontId="21" fillId="56" borderId="75" xfId="1" applyFont="1" applyFill="1" applyBorder="1" applyAlignment="1">
      <alignment vertical="center" shrinkToFit="1"/>
    </xf>
    <xf numFmtId="0" fontId="20" fillId="56" borderId="126" xfId="0" applyFont="1" applyFill="1" applyBorder="1" applyAlignment="1">
      <alignment vertical="center" shrinkToFit="1"/>
    </xf>
    <xf numFmtId="0" fontId="20" fillId="56" borderId="119" xfId="0" applyFont="1" applyFill="1" applyBorder="1" applyAlignment="1">
      <alignment horizontal="center" vertical="center" shrinkToFit="1"/>
    </xf>
    <xf numFmtId="0" fontId="20" fillId="56" borderId="75" xfId="0" applyFont="1" applyFill="1" applyBorder="1" applyAlignment="1">
      <alignment horizontal="center" vertical="center" shrinkToFit="1"/>
    </xf>
    <xf numFmtId="0" fontId="20" fillId="56" borderId="126" xfId="0" applyFont="1" applyFill="1" applyBorder="1" applyAlignment="1">
      <alignment horizontal="center" vertical="center" shrinkToFit="1"/>
    </xf>
    <xf numFmtId="0" fontId="20" fillId="56" borderId="126" xfId="0" applyFont="1" applyFill="1" applyBorder="1" applyAlignment="1">
      <alignment horizontal="right" vertical="center" shrinkToFit="1"/>
    </xf>
    <xf numFmtId="0" fontId="20" fillId="56" borderId="126" xfId="0" applyFont="1" applyFill="1" applyBorder="1" applyAlignment="1">
      <alignment horizontal="left" vertical="center" shrinkToFit="1"/>
    </xf>
    <xf numFmtId="0" fontId="20" fillId="56" borderId="119" xfId="0" applyFont="1" applyFill="1" applyBorder="1" applyAlignment="1">
      <alignment vertical="center" shrinkToFit="1"/>
    </xf>
    <xf numFmtId="0" fontId="43" fillId="56" borderId="0" xfId="0" applyFont="1" applyFill="1" applyAlignment="1">
      <alignment vertical="center" shrinkToFit="1"/>
    </xf>
    <xf numFmtId="0" fontId="43" fillId="56" borderId="0" xfId="0" applyFont="1" applyFill="1" applyAlignment="1">
      <alignment horizontal="center" vertical="center" shrinkToFit="1"/>
    </xf>
    <xf numFmtId="0" fontId="21" fillId="56" borderId="120" xfId="1" applyFont="1" applyFill="1" applyBorder="1" applyAlignment="1">
      <alignment vertical="center" shrinkToFit="1"/>
    </xf>
    <xf numFmtId="0" fontId="20" fillId="56" borderId="127" xfId="0" applyFont="1" applyFill="1" applyBorder="1" applyAlignment="1">
      <alignment vertical="center" shrinkToFit="1"/>
    </xf>
    <xf numFmtId="0" fontId="20" fillId="56" borderId="121" xfId="0" applyFont="1" applyFill="1" applyBorder="1" applyAlignment="1">
      <alignment horizontal="center" vertical="center" shrinkToFit="1"/>
    </xf>
    <xf numFmtId="0" fontId="20" fillId="56" borderId="120" xfId="0" applyFont="1" applyFill="1" applyBorder="1" applyAlignment="1">
      <alignment horizontal="center" vertical="center" shrinkToFit="1"/>
    </xf>
    <xf numFmtId="0" fontId="20" fillId="56" borderId="127" xfId="0" applyFont="1" applyFill="1" applyBorder="1" applyAlignment="1">
      <alignment horizontal="center" vertical="center" shrinkToFit="1"/>
    </xf>
    <xf numFmtId="0" fontId="20" fillId="56" borderId="127" xfId="0" applyFont="1" applyFill="1" applyBorder="1" applyAlignment="1">
      <alignment horizontal="right" vertical="center" shrinkToFit="1"/>
    </xf>
    <xf numFmtId="0" fontId="20" fillId="56" borderId="127" xfId="0" applyFont="1" applyFill="1" applyBorder="1" applyAlignment="1">
      <alignment horizontal="left" vertical="center" shrinkToFit="1"/>
    </xf>
    <xf numFmtId="0" fontId="20" fillId="56" borderId="121" xfId="0" applyFont="1" applyFill="1" applyBorder="1" applyAlignment="1">
      <alignment vertical="center" shrinkToFit="1"/>
    </xf>
    <xf numFmtId="0" fontId="51" fillId="56" borderId="51" xfId="1" applyFont="1" applyFill="1" applyBorder="1" applyAlignment="1">
      <alignment vertical="center" shrinkToFit="1"/>
    </xf>
    <xf numFmtId="0" fontId="20" fillId="56" borderId="52" xfId="0" applyFont="1" applyFill="1" applyBorder="1" applyAlignment="1">
      <alignment horizontal="center" vertical="center" shrinkToFit="1"/>
    </xf>
    <xf numFmtId="0" fontId="20" fillId="56" borderId="51" xfId="0" applyFont="1" applyFill="1" applyBorder="1" applyAlignment="1">
      <alignment horizontal="center" vertical="center" shrinkToFit="1"/>
    </xf>
    <xf numFmtId="0" fontId="20" fillId="56" borderId="52" xfId="0" applyFont="1" applyFill="1" applyBorder="1" applyAlignment="1">
      <alignment vertical="center" shrinkToFit="1"/>
    </xf>
    <xf numFmtId="0" fontId="21" fillId="56" borderId="51" xfId="1" applyFont="1" applyFill="1" applyBorder="1" applyAlignment="1">
      <alignment vertical="center" shrinkToFit="1"/>
    </xf>
    <xf numFmtId="0" fontId="51" fillId="56" borderId="59" xfId="1" applyFont="1" applyFill="1" applyBorder="1" applyAlignment="1">
      <alignment vertical="center" shrinkToFit="1"/>
    </xf>
    <xf numFmtId="0" fontId="20" fillId="56" borderId="128" xfId="0" applyFont="1" applyFill="1" applyBorder="1" applyAlignment="1">
      <alignment vertical="center" shrinkToFit="1"/>
    </xf>
    <xf numFmtId="0" fontId="20" fillId="56" borderId="122" xfId="0" applyFont="1" applyFill="1" applyBorder="1" applyAlignment="1">
      <alignment horizontal="center" vertical="center" shrinkToFit="1"/>
    </xf>
    <xf numFmtId="0" fontId="20" fillId="56" borderId="59" xfId="0" applyFont="1" applyFill="1" applyBorder="1" applyAlignment="1">
      <alignment horizontal="center" vertical="center" shrinkToFit="1"/>
    </xf>
    <xf numFmtId="0" fontId="20" fillId="56" borderId="128" xfId="0" applyFont="1" applyFill="1" applyBorder="1" applyAlignment="1">
      <alignment horizontal="center" vertical="center" shrinkToFit="1"/>
    </xf>
    <xf numFmtId="0" fontId="20" fillId="56" borderId="128" xfId="0" applyFont="1" applyFill="1" applyBorder="1" applyAlignment="1">
      <alignment horizontal="right" vertical="center" shrinkToFit="1"/>
    </xf>
    <xf numFmtId="0" fontId="20" fillId="56" borderId="128" xfId="0" applyFont="1" applyFill="1" applyBorder="1" applyAlignment="1">
      <alignment horizontal="left" vertical="center" shrinkToFit="1"/>
    </xf>
    <xf numFmtId="0" fontId="20" fillId="56" borderId="122" xfId="0" applyFont="1" applyFill="1" applyBorder="1" applyAlignment="1">
      <alignment vertical="center" shrinkToFit="1"/>
    </xf>
    <xf numFmtId="0" fontId="45" fillId="56" borderId="0" xfId="0" applyFont="1" applyFill="1" applyAlignment="1">
      <alignment vertical="center" shrinkToFit="1"/>
    </xf>
    <xf numFmtId="0" fontId="45" fillId="56" borderId="0" xfId="0" applyFont="1" applyFill="1" applyAlignment="1">
      <alignment horizontal="center" vertical="center" shrinkToFit="1"/>
    </xf>
    <xf numFmtId="0" fontId="21" fillId="56" borderId="129" xfId="1" applyFont="1" applyFill="1" applyBorder="1" applyAlignment="1">
      <alignment vertical="center" shrinkToFit="1"/>
    </xf>
    <xf numFmtId="0" fontId="20" fillId="56" borderId="141" xfId="0" applyFont="1" applyFill="1" applyBorder="1" applyAlignment="1">
      <alignment vertical="center" shrinkToFit="1"/>
    </xf>
    <xf numFmtId="0" fontId="20" fillId="56" borderId="130" xfId="0" applyFont="1" applyFill="1" applyBorder="1" applyAlignment="1">
      <alignment horizontal="center" vertical="center" shrinkToFit="1"/>
    </xf>
    <xf numFmtId="0" fontId="20" fillId="56" borderId="129" xfId="0" applyFont="1" applyFill="1" applyBorder="1" applyAlignment="1">
      <alignment horizontal="center" vertical="center" shrinkToFit="1"/>
    </xf>
    <xf numFmtId="0" fontId="20" fillId="56" borderId="141" xfId="0" applyFont="1" applyFill="1" applyBorder="1" applyAlignment="1">
      <alignment horizontal="center" vertical="center" shrinkToFit="1"/>
    </xf>
    <xf numFmtId="0" fontId="20" fillId="56" borderId="141" xfId="0" applyFont="1" applyFill="1" applyBorder="1" applyAlignment="1">
      <alignment horizontal="right" vertical="center" shrinkToFit="1"/>
    </xf>
    <xf numFmtId="0" fontId="20" fillId="56" borderId="141" xfId="0" applyFont="1" applyFill="1" applyBorder="1" applyAlignment="1">
      <alignment horizontal="left" vertical="center" shrinkToFit="1"/>
    </xf>
    <xf numFmtId="0" fontId="20" fillId="56" borderId="130" xfId="0" applyFont="1" applyFill="1" applyBorder="1" applyAlignment="1">
      <alignment vertical="center" shrinkToFit="1"/>
    </xf>
    <xf numFmtId="0" fontId="21" fillId="56" borderId="131" xfId="1" applyFont="1" applyFill="1" applyBorder="1" applyAlignment="1">
      <alignment vertical="center" shrinkToFit="1"/>
    </xf>
    <xf numFmtId="0" fontId="20" fillId="56" borderId="132" xfId="0" applyFont="1" applyFill="1" applyBorder="1" applyAlignment="1">
      <alignment horizontal="center" vertical="center" shrinkToFit="1"/>
    </xf>
    <xf numFmtId="0" fontId="20" fillId="56" borderId="131" xfId="0" applyFont="1" applyFill="1" applyBorder="1" applyAlignment="1">
      <alignment horizontal="center" vertical="center" shrinkToFit="1"/>
    </xf>
    <xf numFmtId="0" fontId="20" fillId="56" borderId="132" xfId="0" applyFont="1" applyFill="1" applyBorder="1" applyAlignment="1">
      <alignment vertical="center" shrinkToFit="1"/>
    </xf>
    <xf numFmtId="0" fontId="51" fillId="56" borderId="133" xfId="1" applyFont="1" applyFill="1" applyBorder="1" applyAlignment="1">
      <alignment vertical="center" shrinkToFit="1"/>
    </xf>
    <xf numFmtId="0" fontId="20" fillId="56" borderId="142" xfId="0" applyFont="1" applyFill="1" applyBorder="1" applyAlignment="1">
      <alignment vertical="center" shrinkToFit="1"/>
    </xf>
    <xf numFmtId="0" fontId="20" fillId="56" borderId="134" xfId="0" applyFont="1" applyFill="1" applyBorder="1" applyAlignment="1">
      <alignment horizontal="center" vertical="center" shrinkToFit="1"/>
    </xf>
    <xf numFmtId="0" fontId="20" fillId="56" borderId="133" xfId="0" applyFont="1" applyFill="1" applyBorder="1" applyAlignment="1">
      <alignment horizontal="center" vertical="center" shrinkToFit="1"/>
    </xf>
    <xf numFmtId="0" fontId="20" fillId="56" borderId="142" xfId="0" applyFont="1" applyFill="1" applyBorder="1" applyAlignment="1">
      <alignment horizontal="center" vertical="center" shrinkToFit="1"/>
    </xf>
    <xf numFmtId="0" fontId="20" fillId="56" borderId="142" xfId="0" applyFont="1" applyFill="1" applyBorder="1" applyAlignment="1">
      <alignment horizontal="right" vertical="center" shrinkToFit="1"/>
    </xf>
    <xf numFmtId="0" fontId="20" fillId="56" borderId="142" xfId="0" applyFont="1" applyFill="1" applyBorder="1" applyAlignment="1">
      <alignment horizontal="left" vertical="center" shrinkToFit="1"/>
    </xf>
    <xf numFmtId="0" fontId="20" fillId="56" borderId="134" xfId="0" applyFont="1" applyFill="1" applyBorder="1" applyAlignment="1">
      <alignment vertical="center" shrinkToFit="1"/>
    </xf>
    <xf numFmtId="0" fontId="46" fillId="56" borderId="0" xfId="0" applyFont="1" applyFill="1" applyAlignment="1">
      <alignment vertical="center" shrinkToFit="1"/>
    </xf>
    <xf numFmtId="0" fontId="46" fillId="56" borderId="0" xfId="0" applyFont="1" applyFill="1" applyAlignment="1">
      <alignment horizontal="center" vertical="center" shrinkToFit="1"/>
    </xf>
    <xf numFmtId="0" fontId="21" fillId="56" borderId="135" xfId="1" applyFont="1" applyFill="1" applyBorder="1" applyAlignment="1">
      <alignment vertical="center" shrinkToFit="1"/>
    </xf>
    <xf numFmtId="0" fontId="20" fillId="56" borderId="143" xfId="0" applyFont="1" applyFill="1" applyBorder="1" applyAlignment="1">
      <alignment vertical="center" shrinkToFit="1"/>
    </xf>
    <xf numFmtId="0" fontId="20" fillId="56" borderId="136" xfId="0" applyFont="1" applyFill="1" applyBorder="1" applyAlignment="1">
      <alignment horizontal="center" vertical="center" shrinkToFit="1"/>
    </xf>
    <xf numFmtId="0" fontId="20" fillId="56" borderId="135" xfId="0" applyFont="1" applyFill="1" applyBorder="1" applyAlignment="1">
      <alignment horizontal="center" vertical="center" shrinkToFit="1"/>
    </xf>
    <xf numFmtId="0" fontId="20" fillId="56" borderId="143" xfId="0" applyFont="1" applyFill="1" applyBorder="1" applyAlignment="1">
      <alignment horizontal="center" vertical="center" shrinkToFit="1"/>
    </xf>
    <xf numFmtId="0" fontId="20" fillId="56" borderId="143" xfId="0" applyFont="1" applyFill="1" applyBorder="1" applyAlignment="1">
      <alignment horizontal="right" vertical="center" shrinkToFit="1"/>
    </xf>
    <xf numFmtId="0" fontId="20" fillId="56" borderId="143" xfId="0" applyFont="1" applyFill="1" applyBorder="1" applyAlignment="1">
      <alignment horizontal="left" vertical="center" shrinkToFit="1"/>
    </xf>
    <xf numFmtId="0" fontId="20" fillId="56" borderId="136" xfId="0" applyFont="1" applyFill="1" applyBorder="1" applyAlignment="1">
      <alignment vertical="center" shrinkToFit="1"/>
    </xf>
    <xf numFmtId="0" fontId="21" fillId="56" borderId="137" xfId="1" applyFont="1" applyFill="1" applyBorder="1" applyAlignment="1">
      <alignment vertical="center" shrinkToFit="1"/>
    </xf>
    <xf numFmtId="0" fontId="20" fillId="56" borderId="138" xfId="0" applyFont="1" applyFill="1" applyBorder="1" applyAlignment="1">
      <alignment horizontal="center" vertical="center" shrinkToFit="1"/>
    </xf>
    <xf numFmtId="0" fontId="20" fillId="56" borderId="137" xfId="0" applyFont="1" applyFill="1" applyBorder="1" applyAlignment="1">
      <alignment horizontal="center" vertical="center" shrinkToFit="1"/>
    </xf>
    <xf numFmtId="0" fontId="20" fillId="56" borderId="138" xfId="0" applyFont="1" applyFill="1" applyBorder="1" applyAlignment="1">
      <alignment vertical="center" shrinkToFit="1"/>
    </xf>
    <xf numFmtId="0" fontId="51" fillId="56" borderId="137" xfId="1" applyFont="1" applyFill="1" applyBorder="1" applyAlignment="1">
      <alignment vertical="center" shrinkToFit="1"/>
    </xf>
    <xf numFmtId="0" fontId="21" fillId="56" borderId="139" xfId="1" applyFont="1" applyFill="1" applyBorder="1" applyAlignment="1">
      <alignment vertical="center" shrinkToFit="1"/>
    </xf>
    <xf numFmtId="0" fontId="20" fillId="56" borderId="144" xfId="0" applyFont="1" applyFill="1" applyBorder="1" applyAlignment="1">
      <alignment vertical="center" shrinkToFit="1"/>
    </xf>
    <xf numFmtId="0" fontId="20" fillId="56" borderId="140" xfId="0" applyFont="1" applyFill="1" applyBorder="1" applyAlignment="1">
      <alignment horizontal="center" vertical="center" shrinkToFit="1"/>
    </xf>
    <xf numFmtId="0" fontId="20" fillId="56" borderId="139" xfId="0" applyFont="1" applyFill="1" applyBorder="1" applyAlignment="1">
      <alignment horizontal="center" vertical="center" shrinkToFit="1"/>
    </xf>
    <xf numFmtId="0" fontId="20" fillId="56" borderId="144" xfId="0" applyFont="1" applyFill="1" applyBorder="1" applyAlignment="1">
      <alignment horizontal="center" vertical="center" shrinkToFit="1"/>
    </xf>
    <xf numFmtId="0" fontId="20" fillId="56" borderId="144" xfId="0" applyFont="1" applyFill="1" applyBorder="1" applyAlignment="1">
      <alignment horizontal="right" vertical="center" shrinkToFit="1"/>
    </xf>
    <xf numFmtId="0" fontId="20" fillId="56" borderId="144" xfId="0" applyFont="1" applyFill="1" applyBorder="1" applyAlignment="1">
      <alignment horizontal="left" vertical="center" shrinkToFit="1"/>
    </xf>
    <xf numFmtId="0" fontId="20" fillId="56" borderId="140" xfId="0" applyFont="1" applyFill="1" applyBorder="1" applyAlignment="1">
      <alignment vertical="center" shrinkToFit="1"/>
    </xf>
    <xf numFmtId="0" fontId="41" fillId="59" borderId="0" xfId="0" applyFont="1" applyFill="1" applyAlignment="1">
      <alignment vertical="center" shrinkToFit="1"/>
    </xf>
    <xf numFmtId="0" fontId="41" fillId="59" borderId="0" xfId="0" applyFont="1" applyFill="1" applyAlignment="1">
      <alignment horizontal="center" vertical="center" shrinkToFit="1"/>
    </xf>
    <xf numFmtId="0" fontId="42" fillId="59" borderId="0" xfId="0" applyFont="1" applyFill="1" applyAlignment="1">
      <alignment horizontal="center" vertical="center" shrinkToFit="1"/>
    </xf>
    <xf numFmtId="0" fontId="21" fillId="59" borderId="117" xfId="1" applyFont="1" applyFill="1" applyBorder="1" applyAlignment="1">
      <alignment vertical="center" shrinkToFit="1"/>
    </xf>
    <xf numFmtId="0" fontId="20" fillId="59" borderId="125" xfId="0" applyFont="1" applyFill="1" applyBorder="1" applyAlignment="1">
      <alignment vertical="center" shrinkToFit="1"/>
    </xf>
    <xf numFmtId="0" fontId="20" fillId="59" borderId="118" xfId="0" applyFont="1" applyFill="1" applyBorder="1" applyAlignment="1">
      <alignment horizontal="center" vertical="center" shrinkToFit="1"/>
    </xf>
    <xf numFmtId="0" fontId="20" fillId="59" borderId="117" xfId="0" applyFont="1" applyFill="1" applyBorder="1" applyAlignment="1">
      <alignment horizontal="center" vertical="center" shrinkToFit="1"/>
    </xf>
    <xf numFmtId="0" fontId="20" fillId="59" borderId="125" xfId="0" applyFont="1" applyFill="1" applyBorder="1" applyAlignment="1">
      <alignment horizontal="center" vertical="center" shrinkToFit="1"/>
    </xf>
    <xf numFmtId="0" fontId="20" fillId="59" borderId="125" xfId="0" applyFont="1" applyFill="1" applyBorder="1" applyAlignment="1">
      <alignment horizontal="right" vertical="center" shrinkToFit="1"/>
    </xf>
    <xf numFmtId="0" fontId="20" fillId="59" borderId="125" xfId="0" applyFont="1" applyFill="1" applyBorder="1" applyAlignment="1">
      <alignment horizontal="left" vertical="center" shrinkToFit="1"/>
    </xf>
    <xf numFmtId="0" fontId="20" fillId="59" borderId="118" xfId="0" applyFont="1" applyFill="1" applyBorder="1" applyAlignment="1">
      <alignment vertical="center" shrinkToFit="1"/>
    </xf>
    <xf numFmtId="0" fontId="21" fillId="59" borderId="67" xfId="1" applyFont="1" applyFill="1" applyBorder="1" applyAlignment="1">
      <alignment vertical="center" shrinkToFit="1"/>
    </xf>
    <xf numFmtId="0" fontId="20" fillId="59" borderId="68" xfId="0" applyFont="1" applyFill="1" applyBorder="1" applyAlignment="1">
      <alignment horizontal="center" vertical="center" shrinkToFit="1"/>
    </xf>
    <xf numFmtId="0" fontId="20" fillId="59" borderId="67" xfId="0" applyFont="1" applyFill="1" applyBorder="1" applyAlignment="1">
      <alignment horizontal="center" vertical="center" shrinkToFit="1"/>
    </xf>
    <xf numFmtId="0" fontId="20" fillId="59" borderId="68" xfId="0" applyFont="1" applyFill="1" applyBorder="1" applyAlignment="1">
      <alignment vertical="center" shrinkToFit="1"/>
    </xf>
    <xf numFmtId="0" fontId="51" fillId="59" borderId="67" xfId="1" applyFont="1" applyFill="1" applyBorder="1" applyAlignment="1">
      <alignment vertical="center" shrinkToFit="1"/>
    </xf>
    <xf numFmtId="0" fontId="21" fillId="59" borderId="75" xfId="1" applyFont="1" applyFill="1" applyBorder="1" applyAlignment="1">
      <alignment vertical="center" shrinkToFit="1"/>
    </xf>
    <xf numFmtId="0" fontId="20" fillId="59" borderId="126" xfId="0" applyFont="1" applyFill="1" applyBorder="1" applyAlignment="1">
      <alignment vertical="center" shrinkToFit="1"/>
    </xf>
    <xf numFmtId="0" fontId="20" fillId="59" borderId="119" xfId="0" applyFont="1" applyFill="1" applyBorder="1" applyAlignment="1">
      <alignment horizontal="center" vertical="center" shrinkToFit="1"/>
    </xf>
    <xf numFmtId="0" fontId="20" fillId="59" borderId="75" xfId="0" applyFont="1" applyFill="1" applyBorder="1" applyAlignment="1">
      <alignment horizontal="center" vertical="center" shrinkToFit="1"/>
    </xf>
    <xf numFmtId="0" fontId="20" fillId="59" borderId="126" xfId="0" applyFont="1" applyFill="1" applyBorder="1" applyAlignment="1">
      <alignment horizontal="center" vertical="center" shrinkToFit="1"/>
    </xf>
    <xf numFmtId="0" fontId="20" fillId="59" borderId="126" xfId="0" applyFont="1" applyFill="1" applyBorder="1" applyAlignment="1">
      <alignment horizontal="right" vertical="center" shrinkToFit="1"/>
    </xf>
    <xf numFmtId="0" fontId="20" fillId="59" borderId="126" xfId="0" applyFont="1" applyFill="1" applyBorder="1" applyAlignment="1">
      <alignment horizontal="left" vertical="center" shrinkToFit="1"/>
    </xf>
    <xf numFmtId="0" fontId="20" fillId="59" borderId="119" xfId="0" applyFont="1" applyFill="1" applyBorder="1" applyAlignment="1">
      <alignment vertical="center" shrinkToFit="1"/>
    </xf>
    <xf numFmtId="0" fontId="43" fillId="59" borderId="0" xfId="0" applyFont="1" applyFill="1" applyAlignment="1">
      <alignment horizontal="center" vertical="center" shrinkToFit="1"/>
    </xf>
    <xf numFmtId="0" fontId="45" fillId="59" borderId="0" xfId="0" applyFont="1" applyFill="1" applyAlignment="1">
      <alignment horizontal="center" vertical="center" shrinkToFit="1"/>
    </xf>
    <xf numFmtId="0" fontId="51" fillId="59" borderId="129" xfId="1" applyFont="1" applyFill="1" applyBorder="1" applyAlignment="1">
      <alignment vertical="center" shrinkToFit="1"/>
    </xf>
    <xf numFmtId="0" fontId="46" fillId="59" borderId="0" xfId="0" applyFont="1" applyFill="1" applyAlignment="1">
      <alignment horizontal="center" vertical="center" shrinkToFit="1"/>
    </xf>
    <xf numFmtId="0" fontId="51" fillId="59" borderId="135" xfId="1" applyFont="1" applyFill="1" applyBorder="1" applyAlignment="1">
      <alignment vertical="center" shrinkToFit="1"/>
    </xf>
    <xf numFmtId="0" fontId="21" fillId="56" borderId="114" xfId="1" applyFont="1" applyFill="1" applyBorder="1" applyAlignment="1">
      <alignment vertical="center" shrinkToFit="1"/>
    </xf>
    <xf numFmtId="0" fontId="30" fillId="56" borderId="125" xfId="0" applyFont="1" applyFill="1" applyBorder="1" applyAlignment="1">
      <alignment vertical="center" shrinkToFit="1"/>
    </xf>
    <xf numFmtId="0" fontId="44" fillId="56" borderId="0" xfId="0" applyFont="1" applyFill="1" applyAlignment="1">
      <alignment vertical="center" shrinkToFit="1"/>
    </xf>
    <xf numFmtId="0" fontId="30" fillId="56" borderId="117" xfId="0" applyFont="1" applyFill="1" applyBorder="1" applyAlignment="1">
      <alignment horizontal="center" vertical="center" shrinkToFit="1"/>
    </xf>
    <xf numFmtId="0" fontId="30" fillId="56" borderId="125" xfId="0" applyFont="1" applyFill="1" applyBorder="1" applyAlignment="1">
      <alignment horizontal="center" vertical="center" shrinkToFit="1"/>
    </xf>
    <xf numFmtId="0" fontId="30" fillId="56" borderId="125" xfId="0" applyFont="1" applyFill="1" applyBorder="1" applyAlignment="1">
      <alignment horizontal="right" vertical="center" shrinkToFit="1"/>
    </xf>
    <xf numFmtId="0" fontId="30" fillId="56" borderId="125" xfId="0" applyFont="1" applyFill="1" applyBorder="1" applyAlignment="1">
      <alignment horizontal="left" vertical="center" shrinkToFit="1"/>
    </xf>
    <xf numFmtId="0" fontId="30" fillId="56" borderId="118" xfId="0" applyFont="1" applyFill="1" applyBorder="1" applyAlignment="1">
      <alignment vertical="center" shrinkToFit="1"/>
    </xf>
    <xf numFmtId="0" fontId="30" fillId="56" borderId="0" xfId="0" applyFont="1" applyFill="1" applyAlignment="1">
      <alignment vertical="center" shrinkToFit="1"/>
    </xf>
    <xf numFmtId="0" fontId="30" fillId="56" borderId="67" xfId="0" applyFont="1" applyFill="1" applyBorder="1" applyAlignment="1">
      <alignment horizontal="center" vertical="center" shrinkToFit="1"/>
    </xf>
    <xf numFmtId="0" fontId="30" fillId="56" borderId="0" xfId="0" applyFont="1" applyFill="1" applyAlignment="1">
      <alignment horizontal="right" vertical="center" shrinkToFit="1"/>
    </xf>
    <xf numFmtId="0" fontId="30" fillId="56" borderId="0" xfId="0" applyFont="1" applyFill="1" applyAlignment="1">
      <alignment horizontal="left" vertical="center" shrinkToFit="1"/>
    </xf>
    <xf numFmtId="0" fontId="30" fillId="56" borderId="68" xfId="0" applyFont="1" applyFill="1" applyBorder="1" applyAlignment="1">
      <alignment vertical="center" shrinkToFit="1"/>
    </xf>
    <xf numFmtId="0" fontId="30" fillId="56" borderId="126" xfId="0" applyFont="1" applyFill="1" applyBorder="1" applyAlignment="1">
      <alignment vertical="center" shrinkToFit="1"/>
    </xf>
    <xf numFmtId="0" fontId="30" fillId="56" borderId="75" xfId="0" applyFont="1" applyFill="1" applyBorder="1" applyAlignment="1">
      <alignment horizontal="center" vertical="center" shrinkToFit="1"/>
    </xf>
    <xf numFmtId="0" fontId="30" fillId="56" borderId="126" xfId="0" applyFont="1" applyFill="1" applyBorder="1" applyAlignment="1">
      <alignment horizontal="center" vertical="center" shrinkToFit="1"/>
    </xf>
    <xf numFmtId="0" fontId="30" fillId="56" borderId="126" xfId="0" applyFont="1" applyFill="1" applyBorder="1" applyAlignment="1">
      <alignment horizontal="right" vertical="center" shrinkToFit="1"/>
    </xf>
    <xf numFmtId="0" fontId="30" fillId="56" borderId="126" xfId="0" applyFont="1" applyFill="1" applyBorder="1" applyAlignment="1">
      <alignment horizontal="left" vertical="center" shrinkToFit="1"/>
    </xf>
    <xf numFmtId="0" fontId="30" fillId="56" borderId="119" xfId="0" applyFont="1" applyFill="1" applyBorder="1" applyAlignment="1">
      <alignment vertical="center" shrinkToFit="1"/>
    </xf>
    <xf numFmtId="0" fontId="51" fillId="56" borderId="120" xfId="1" applyFont="1" applyFill="1" applyBorder="1" applyAlignment="1">
      <alignment vertical="center" shrinkToFit="1"/>
    </xf>
    <xf numFmtId="0" fontId="21" fillId="56" borderId="59" xfId="1" applyFont="1" applyFill="1" applyBorder="1" applyAlignment="1">
      <alignment vertical="center" shrinkToFit="1"/>
    </xf>
    <xf numFmtId="0" fontId="51" fillId="56" borderId="131" xfId="1" applyFont="1" applyFill="1" applyBorder="1" applyAlignment="1">
      <alignment vertical="center" shrinkToFit="1"/>
    </xf>
    <xf numFmtId="0" fontId="21" fillId="56" borderId="133" xfId="1" applyFont="1" applyFill="1" applyBorder="1" applyAlignment="1">
      <alignment vertical="center" shrinkToFit="1"/>
    </xf>
    <xf numFmtId="0" fontId="51" fillId="59" borderId="75" xfId="1" applyFont="1" applyFill="1" applyBorder="1" applyAlignment="1">
      <alignment vertical="center" shrinkToFit="1"/>
    </xf>
    <xf numFmtId="0" fontId="21" fillId="59" borderId="147" xfId="1" applyFont="1" applyFill="1" applyBorder="1" applyAlignment="1">
      <alignment vertical="center" shrinkToFit="1"/>
    </xf>
    <xf numFmtId="0" fontId="20" fillId="59" borderId="150" xfId="0" applyFont="1" applyFill="1" applyBorder="1" applyAlignment="1">
      <alignment vertical="center" shrinkToFit="1"/>
    </xf>
    <xf numFmtId="0" fontId="20" fillId="59" borderId="148" xfId="0" applyFont="1" applyFill="1" applyBorder="1" applyAlignment="1">
      <alignment horizontal="center" vertical="center" shrinkToFit="1"/>
    </xf>
    <xf numFmtId="0" fontId="20" fillId="59" borderId="147" xfId="0" applyFont="1" applyFill="1" applyBorder="1" applyAlignment="1">
      <alignment horizontal="center" vertical="center" shrinkToFit="1"/>
    </xf>
    <xf numFmtId="0" fontId="20" fillId="59" borderId="150" xfId="0" applyFont="1" applyFill="1" applyBorder="1" applyAlignment="1">
      <alignment horizontal="center" vertical="center" shrinkToFit="1"/>
    </xf>
    <xf numFmtId="0" fontId="20" fillId="59" borderId="150" xfId="0" applyFont="1" applyFill="1" applyBorder="1" applyAlignment="1">
      <alignment horizontal="right" vertical="center" shrinkToFit="1"/>
    </xf>
    <xf numFmtId="0" fontId="20" fillId="59" borderId="150" xfId="0" applyFont="1" applyFill="1" applyBorder="1" applyAlignment="1">
      <alignment horizontal="left" vertical="center" shrinkToFit="1"/>
    </xf>
    <xf numFmtId="0" fontId="20" fillId="59" borderId="148" xfId="0" applyFont="1" applyFill="1" applyBorder="1" applyAlignment="1">
      <alignment vertical="center" shrinkToFit="1"/>
    </xf>
    <xf numFmtId="0" fontId="21" fillId="59" borderId="168" xfId="1" applyFont="1" applyFill="1" applyBorder="1" applyAlignment="1">
      <alignment vertical="center" shrinkToFit="1"/>
    </xf>
    <xf numFmtId="0" fontId="20" fillId="59" borderId="169" xfId="0" applyFont="1" applyFill="1" applyBorder="1" applyAlignment="1">
      <alignment vertical="center" shrinkToFit="1"/>
    </xf>
    <xf numFmtId="0" fontId="20" fillId="59" borderId="170" xfId="0" applyFont="1" applyFill="1" applyBorder="1" applyAlignment="1">
      <alignment horizontal="center" vertical="center" shrinkToFit="1"/>
    </xf>
    <xf numFmtId="0" fontId="20" fillId="59" borderId="168" xfId="0" applyFont="1" applyFill="1" applyBorder="1" applyAlignment="1">
      <alignment horizontal="center" vertical="center" shrinkToFit="1"/>
    </xf>
    <xf numFmtId="0" fontId="20" fillId="59" borderId="169" xfId="0" applyFont="1" applyFill="1" applyBorder="1" applyAlignment="1">
      <alignment horizontal="center" vertical="center" shrinkToFit="1"/>
    </xf>
    <xf numFmtId="0" fontId="20" fillId="59" borderId="169" xfId="0" applyFont="1" applyFill="1" applyBorder="1" applyAlignment="1">
      <alignment horizontal="right" vertical="center" shrinkToFit="1"/>
    </xf>
    <xf numFmtId="0" fontId="20" fillId="59" borderId="169" xfId="0" applyFont="1" applyFill="1" applyBorder="1" applyAlignment="1">
      <alignment horizontal="left" vertical="center" shrinkToFit="1"/>
    </xf>
    <xf numFmtId="0" fontId="20" fillId="59" borderId="170" xfId="0" applyFont="1" applyFill="1" applyBorder="1" applyAlignment="1">
      <alignment vertical="center" shrinkToFit="1"/>
    </xf>
    <xf numFmtId="0" fontId="47" fillId="56" borderId="0" xfId="0" applyFont="1" applyFill="1" applyAlignment="1">
      <alignment vertical="center" shrinkToFit="1"/>
    </xf>
    <xf numFmtId="0" fontId="47" fillId="56" borderId="0" xfId="0" applyFont="1" applyFill="1" applyAlignment="1">
      <alignment horizontal="center" vertical="center" shrinkToFit="1"/>
    </xf>
    <xf numFmtId="0" fontId="51" fillId="59" borderId="117" xfId="1" applyFont="1" applyFill="1" applyBorder="1" applyAlignment="1">
      <alignment vertical="center" shrinkToFit="1"/>
    </xf>
    <xf numFmtId="0" fontId="51" fillId="60" borderId="120" xfId="1" applyFont="1" applyFill="1" applyBorder="1" applyAlignment="1">
      <alignment vertical="center" shrinkToFit="1"/>
    </xf>
    <xf numFmtId="0" fontId="20" fillId="60" borderId="127" xfId="0" applyFont="1" applyFill="1" applyBorder="1" applyAlignment="1">
      <alignment vertical="center" shrinkToFit="1"/>
    </xf>
    <xf numFmtId="0" fontId="20" fillId="60" borderId="121" xfId="0" applyFont="1" applyFill="1" applyBorder="1" applyAlignment="1">
      <alignment horizontal="center" vertical="center" shrinkToFit="1"/>
    </xf>
    <xf numFmtId="0" fontId="20" fillId="60" borderId="0" xfId="0" applyFont="1" applyFill="1" applyAlignment="1">
      <alignment vertical="center" shrinkToFit="1"/>
    </xf>
    <xf numFmtId="0" fontId="20" fillId="60" borderId="120" xfId="0" applyFont="1" applyFill="1" applyBorder="1" applyAlignment="1">
      <alignment horizontal="center" vertical="center" shrinkToFit="1"/>
    </xf>
    <xf numFmtId="0" fontId="20" fillId="60" borderId="127" xfId="0" applyFont="1" applyFill="1" applyBorder="1" applyAlignment="1">
      <alignment horizontal="center" vertical="center" shrinkToFit="1"/>
    </xf>
    <xf numFmtId="0" fontId="20" fillId="60" borderId="127" xfId="0" applyFont="1" applyFill="1" applyBorder="1" applyAlignment="1">
      <alignment horizontal="right" vertical="center" shrinkToFit="1"/>
    </xf>
    <xf numFmtId="0" fontId="20" fillId="60" borderId="127" xfId="0" applyFont="1" applyFill="1" applyBorder="1" applyAlignment="1">
      <alignment horizontal="left" vertical="center" shrinkToFit="1"/>
    </xf>
    <xf numFmtId="0" fontId="20" fillId="60" borderId="121" xfId="0" applyFont="1" applyFill="1" applyBorder="1" applyAlignment="1">
      <alignment vertical="center" shrinkToFit="1"/>
    </xf>
    <xf numFmtId="0" fontId="51" fillId="60" borderId="59" xfId="1" applyFont="1" applyFill="1" applyBorder="1" applyAlignment="1">
      <alignment vertical="center" shrinkToFit="1"/>
    </xf>
    <xf numFmtId="0" fontId="20" fillId="60" borderId="128" xfId="0" applyFont="1" applyFill="1" applyBorder="1" applyAlignment="1">
      <alignment vertical="center" shrinkToFit="1"/>
    </xf>
    <xf numFmtId="0" fontId="20" fillId="60" borderId="122" xfId="0" applyFont="1" applyFill="1" applyBorder="1" applyAlignment="1">
      <alignment horizontal="center" vertical="center" shrinkToFit="1"/>
    </xf>
    <xf numFmtId="0" fontId="20" fillId="60" borderId="59" xfId="0" applyFont="1" applyFill="1" applyBorder="1" applyAlignment="1">
      <alignment horizontal="center" vertical="center" shrinkToFit="1"/>
    </xf>
    <xf numFmtId="0" fontId="20" fillId="60" borderId="128" xfId="0" applyFont="1" applyFill="1" applyBorder="1" applyAlignment="1">
      <alignment horizontal="center" vertical="center" shrinkToFit="1"/>
    </xf>
    <xf numFmtId="0" fontId="20" fillId="60" borderId="128" xfId="0" applyFont="1" applyFill="1" applyBorder="1" applyAlignment="1">
      <alignment horizontal="right" vertical="center" shrinkToFit="1"/>
    </xf>
    <xf numFmtId="0" fontId="20" fillId="60" borderId="128" xfId="0" applyFont="1" applyFill="1" applyBorder="1" applyAlignment="1">
      <alignment horizontal="left" vertical="center" shrinkToFit="1"/>
    </xf>
    <xf numFmtId="0" fontId="20" fillId="60" borderId="122" xfId="0" applyFont="1" applyFill="1" applyBorder="1" applyAlignment="1">
      <alignment vertical="center" shrinkToFit="1"/>
    </xf>
    <xf numFmtId="0" fontId="51" fillId="59" borderId="131" xfId="1" applyFont="1" applyFill="1" applyBorder="1" applyAlignment="1">
      <alignment vertical="center" shrinkToFit="1"/>
    </xf>
    <xf numFmtId="0" fontId="51" fillId="59" borderId="139" xfId="1" applyFont="1" applyFill="1" applyBorder="1" applyAlignment="1">
      <alignment vertical="center" shrinkToFit="1"/>
    </xf>
    <xf numFmtId="0" fontId="20" fillId="56" borderId="171" xfId="0" applyFont="1" applyFill="1" applyBorder="1" applyAlignment="1">
      <alignment vertical="center" shrinkToFit="1"/>
    </xf>
    <xf numFmtId="0" fontId="51" fillId="59" borderId="114" xfId="1" applyFont="1" applyFill="1" applyBorder="1" applyAlignment="1">
      <alignment vertical="center" shrinkToFit="1"/>
    </xf>
    <xf numFmtId="0" fontId="30" fillId="59" borderId="0" xfId="0" applyFont="1" applyFill="1" applyAlignment="1">
      <alignment vertical="center" shrinkToFit="1"/>
    </xf>
    <xf numFmtId="0" fontId="30" fillId="59" borderId="83" xfId="0" applyFont="1" applyFill="1" applyBorder="1" applyAlignment="1">
      <alignment horizontal="center" vertical="center" shrinkToFit="1"/>
    </xf>
    <xf numFmtId="0" fontId="30" fillId="59" borderId="124" xfId="0" applyFont="1" applyFill="1" applyBorder="1" applyAlignment="1">
      <alignment vertical="center" shrinkToFit="1"/>
    </xf>
    <xf numFmtId="0" fontId="30" fillId="59" borderId="91" xfId="0" applyFont="1" applyFill="1" applyBorder="1" applyAlignment="1">
      <alignment horizontal="center" vertical="center" shrinkToFit="1"/>
    </xf>
    <xf numFmtId="0" fontId="30" fillId="59" borderId="125" xfId="0" applyFont="1" applyFill="1" applyBorder="1" applyAlignment="1">
      <alignment vertical="center" shrinkToFit="1"/>
    </xf>
    <xf numFmtId="0" fontId="30" fillId="59" borderId="117" xfId="0" applyFont="1" applyFill="1" applyBorder="1" applyAlignment="1">
      <alignment horizontal="center" vertical="center" shrinkToFit="1"/>
    </xf>
    <xf numFmtId="0" fontId="30" fillId="59" borderId="125" xfId="0" applyFont="1" applyFill="1" applyBorder="1" applyAlignment="1">
      <alignment horizontal="center" vertical="center" shrinkToFit="1"/>
    </xf>
    <xf numFmtId="0" fontId="30" fillId="59" borderId="67" xfId="0" applyFont="1" applyFill="1" applyBorder="1" applyAlignment="1">
      <alignment horizontal="center" vertical="center" shrinkToFit="1"/>
    </xf>
    <xf numFmtId="0" fontId="30" fillId="59" borderId="126" xfId="0" applyFont="1" applyFill="1" applyBorder="1" applyAlignment="1">
      <alignment vertical="center" shrinkToFit="1"/>
    </xf>
    <xf numFmtId="0" fontId="30" fillId="59" borderId="75" xfId="0" applyFont="1" applyFill="1" applyBorder="1" applyAlignment="1">
      <alignment horizontal="center" vertical="center" shrinkToFit="1"/>
    </xf>
    <xf numFmtId="0" fontId="30" fillId="59" borderId="126" xfId="0" applyFont="1" applyFill="1" applyBorder="1" applyAlignment="1">
      <alignment horizontal="center" vertical="center" shrinkToFit="1"/>
    </xf>
    <xf numFmtId="0" fontId="55" fillId="59" borderId="0" xfId="0" applyFont="1" applyFill="1" applyAlignment="1">
      <alignment horizontal="left" vertical="center" shrinkToFit="1"/>
    </xf>
    <xf numFmtId="0" fontId="21" fillId="59" borderId="151" xfId="1" applyFont="1" applyFill="1" applyBorder="1" applyAlignment="1">
      <alignment vertical="center" shrinkToFit="1"/>
    </xf>
    <xf numFmtId="0" fontId="20" fillId="59" borderId="152" xfId="0" applyFont="1" applyFill="1" applyBorder="1" applyAlignment="1">
      <alignment vertical="center" shrinkToFit="1"/>
    </xf>
    <xf numFmtId="0" fontId="20" fillId="59" borderId="153" xfId="0" applyFont="1" applyFill="1" applyBorder="1" applyAlignment="1">
      <alignment horizontal="center" vertical="center" shrinkToFit="1"/>
    </xf>
    <xf numFmtId="0" fontId="20" fillId="59" borderId="151" xfId="0" applyFont="1" applyFill="1" applyBorder="1" applyAlignment="1">
      <alignment horizontal="center" vertical="center" shrinkToFit="1"/>
    </xf>
    <xf numFmtId="0" fontId="20" fillId="59" borderId="152" xfId="0" applyFont="1" applyFill="1" applyBorder="1" applyAlignment="1">
      <alignment horizontal="center" vertical="center" shrinkToFit="1"/>
    </xf>
    <xf numFmtId="0" fontId="20" fillId="59" borderId="152" xfId="0" applyFont="1" applyFill="1" applyBorder="1" applyAlignment="1">
      <alignment horizontal="right" vertical="center" shrinkToFit="1"/>
    </xf>
    <xf numFmtId="0" fontId="30" fillId="59" borderId="152" xfId="0" applyFont="1" applyFill="1" applyBorder="1" applyAlignment="1">
      <alignment horizontal="center" vertical="center" shrinkToFit="1"/>
    </xf>
    <xf numFmtId="0" fontId="20" fillId="59" borderId="152" xfId="0" applyFont="1" applyFill="1" applyBorder="1" applyAlignment="1">
      <alignment horizontal="left" vertical="center" shrinkToFit="1"/>
    </xf>
    <xf numFmtId="0" fontId="20" fillId="59" borderId="153" xfId="0" applyFont="1" applyFill="1" applyBorder="1" applyAlignment="1">
      <alignment vertical="center" shrinkToFit="1"/>
    </xf>
    <xf numFmtId="0" fontId="21" fillId="59" borderId="154" xfId="1" applyFont="1" applyFill="1" applyBorder="1" applyAlignment="1">
      <alignment vertical="center" shrinkToFit="1"/>
    </xf>
    <xf numFmtId="0" fontId="20" fillId="59" borderId="155" xfId="0" applyFont="1" applyFill="1" applyBorder="1" applyAlignment="1">
      <alignment horizontal="center" vertical="center" shrinkToFit="1"/>
    </xf>
    <xf numFmtId="0" fontId="20" fillId="59" borderId="154" xfId="0" applyFont="1" applyFill="1" applyBorder="1" applyAlignment="1">
      <alignment horizontal="center" vertical="center" shrinkToFit="1"/>
    </xf>
    <xf numFmtId="0" fontId="20" fillId="59" borderId="155" xfId="0" applyFont="1" applyFill="1" applyBorder="1" applyAlignment="1">
      <alignment vertical="center" shrinkToFit="1"/>
    </xf>
    <xf numFmtId="0" fontId="21" fillId="59" borderId="156" xfId="1" applyFont="1" applyFill="1" applyBorder="1" applyAlignment="1">
      <alignment vertical="center" shrinkToFit="1"/>
    </xf>
    <xf numFmtId="0" fontId="20" fillId="59" borderId="157" xfId="0" applyFont="1" applyFill="1" applyBorder="1" applyAlignment="1">
      <alignment vertical="center" shrinkToFit="1"/>
    </xf>
    <xf numFmtId="0" fontId="20" fillId="59" borderId="158" xfId="0" applyFont="1" applyFill="1" applyBorder="1" applyAlignment="1">
      <alignment horizontal="center" vertical="center" shrinkToFit="1"/>
    </xf>
    <xf numFmtId="0" fontId="20" fillId="59" borderId="156" xfId="0" applyFont="1" applyFill="1" applyBorder="1" applyAlignment="1">
      <alignment horizontal="center" vertical="center" shrinkToFit="1"/>
    </xf>
    <xf numFmtId="0" fontId="20" fillId="59" borderId="157" xfId="0" applyFont="1" applyFill="1" applyBorder="1" applyAlignment="1">
      <alignment horizontal="center" vertical="center" shrinkToFit="1"/>
    </xf>
    <xf numFmtId="0" fontId="20" fillId="59" borderId="157" xfId="0" applyFont="1" applyFill="1" applyBorder="1" applyAlignment="1">
      <alignment horizontal="right" vertical="center" shrinkToFit="1"/>
    </xf>
    <xf numFmtId="0" fontId="30" fillId="59" borderId="157" xfId="0" applyFont="1" applyFill="1" applyBorder="1" applyAlignment="1">
      <alignment horizontal="center" vertical="center" shrinkToFit="1"/>
    </xf>
    <xf numFmtId="0" fontId="20" fillId="59" borderId="157" xfId="0" applyFont="1" applyFill="1" applyBorder="1" applyAlignment="1">
      <alignment horizontal="left" vertical="center" shrinkToFit="1"/>
    </xf>
    <xf numFmtId="0" fontId="20" fillId="59" borderId="158" xfId="0" applyFont="1" applyFill="1" applyBorder="1" applyAlignment="1">
      <alignment vertical="center" shrinkToFit="1"/>
    </xf>
    <xf numFmtId="0" fontId="18" fillId="19" borderId="209" xfId="3" applyFont="1" applyFill="1" applyBorder="1" applyAlignment="1">
      <alignment horizontal="right" vertical="center" shrinkToFit="1"/>
    </xf>
    <xf numFmtId="0" fontId="57" fillId="0" borderId="46" xfId="3" applyFont="1" applyBorder="1" applyAlignment="1">
      <alignment horizontal="center" vertical="center"/>
    </xf>
    <xf numFmtId="0" fontId="57" fillId="0" borderId="46" xfId="3" applyFont="1" applyBorder="1" applyAlignment="1">
      <alignment horizontal="center" vertical="center" shrinkToFit="1"/>
    </xf>
    <xf numFmtId="0" fontId="18" fillId="0" borderId="210" xfId="3" applyFont="1" applyBorder="1" applyAlignment="1">
      <alignment horizontal="center" vertical="center" shrinkToFit="1"/>
    </xf>
    <xf numFmtId="0" fontId="18" fillId="7" borderId="211" xfId="3" applyFont="1" applyFill="1" applyBorder="1" applyAlignment="1">
      <alignment horizontal="right" vertical="center" shrinkToFit="1"/>
    </xf>
    <xf numFmtId="0" fontId="18" fillId="0" borderId="212" xfId="3" applyFont="1" applyBorder="1" applyAlignment="1">
      <alignment horizontal="center" vertical="center" shrinkToFit="1"/>
    </xf>
    <xf numFmtId="0" fontId="18" fillId="4" borderId="213" xfId="3" applyFont="1" applyFill="1" applyBorder="1" applyAlignment="1">
      <alignment horizontal="right" vertical="center" shrinkToFit="1"/>
    </xf>
    <xf numFmtId="0" fontId="18" fillId="0" borderId="214" xfId="3" applyFont="1" applyBorder="1" applyAlignment="1">
      <alignment horizontal="center" vertical="center" shrinkToFit="1"/>
    </xf>
    <xf numFmtId="0" fontId="18" fillId="6" borderId="215" xfId="3" applyFont="1" applyFill="1" applyBorder="1" applyAlignment="1">
      <alignment horizontal="right" vertical="center" shrinkToFit="1"/>
    </xf>
    <xf numFmtId="0" fontId="18" fillId="0" borderId="216" xfId="3" applyFont="1" applyBorder="1" applyAlignment="1">
      <alignment horizontal="center" vertical="center" shrinkToFit="1"/>
    </xf>
    <xf numFmtId="0" fontId="18" fillId="50" borderId="217" xfId="3" applyFont="1" applyFill="1" applyBorder="1" applyAlignment="1">
      <alignment horizontal="right" vertical="center" shrinkToFit="1"/>
    </xf>
    <xf numFmtId="0" fontId="18" fillId="0" borderId="218" xfId="3" applyFont="1" applyBorder="1" applyAlignment="1">
      <alignment horizontal="center" vertical="center" shrinkToFit="1"/>
    </xf>
    <xf numFmtId="183" fontId="18" fillId="0" borderId="17" xfId="3" applyNumberFormat="1" applyFont="1" applyBorder="1" applyAlignment="1">
      <alignment horizontal="center" vertical="center"/>
    </xf>
    <xf numFmtId="0" fontId="18" fillId="0" borderId="17" xfId="3" applyFont="1" applyBorder="1">
      <alignment vertical="center"/>
    </xf>
    <xf numFmtId="0" fontId="18" fillId="0" borderId="32" xfId="3" applyFont="1" applyBorder="1">
      <alignment vertical="center"/>
    </xf>
    <xf numFmtId="0" fontId="18" fillId="10" borderId="29" xfId="3" applyFont="1" applyFill="1" applyBorder="1" applyAlignment="1">
      <alignment horizontal="right" vertical="center" shrinkToFit="1"/>
    </xf>
    <xf numFmtId="0" fontId="18" fillId="10" borderId="30" xfId="3" applyFont="1" applyFill="1" applyBorder="1" applyAlignment="1">
      <alignment horizontal="right" vertical="center" shrinkToFit="1"/>
    </xf>
    <xf numFmtId="0" fontId="18" fillId="10" borderId="31" xfId="3" applyFont="1" applyFill="1" applyBorder="1" applyAlignment="1">
      <alignment horizontal="right" vertical="center" shrinkToFit="1"/>
    </xf>
    <xf numFmtId="0" fontId="18" fillId="11" borderId="55" xfId="3" applyFont="1" applyFill="1" applyBorder="1" applyAlignment="1">
      <alignment horizontal="right" vertical="center" shrinkToFit="1"/>
    </xf>
    <xf numFmtId="0" fontId="18" fillId="11" borderId="56" xfId="3" applyFont="1" applyFill="1" applyBorder="1" applyAlignment="1">
      <alignment horizontal="right" vertical="center" shrinkToFit="1"/>
    </xf>
    <xf numFmtId="0" fontId="18" fillId="11" borderId="57" xfId="3" applyFont="1" applyFill="1" applyBorder="1" applyAlignment="1">
      <alignment horizontal="right" vertical="center" shrinkToFit="1"/>
    </xf>
    <xf numFmtId="0" fontId="18" fillId="9" borderId="71" xfId="3" applyFont="1" applyFill="1" applyBorder="1" applyAlignment="1">
      <alignment horizontal="right" vertical="center" shrinkToFit="1"/>
    </xf>
    <xf numFmtId="0" fontId="18" fillId="9" borderId="72" xfId="3" applyFont="1" applyFill="1" applyBorder="1" applyAlignment="1">
      <alignment horizontal="right" vertical="center" shrinkToFit="1"/>
    </xf>
    <xf numFmtId="0" fontId="18" fillId="9" borderId="73" xfId="3" applyFont="1" applyFill="1" applyBorder="1" applyAlignment="1">
      <alignment horizontal="right" vertical="center" shrinkToFit="1"/>
    </xf>
    <xf numFmtId="0" fontId="18" fillId="23" borderId="87" xfId="3" applyFont="1" applyFill="1" applyBorder="1" applyAlignment="1">
      <alignment horizontal="right" vertical="center" shrinkToFit="1"/>
    </xf>
    <xf numFmtId="0" fontId="18" fillId="23" borderId="88" xfId="3" applyFont="1" applyFill="1" applyBorder="1" applyAlignment="1">
      <alignment horizontal="right" vertical="center" shrinkToFit="1"/>
    </xf>
    <xf numFmtId="0" fontId="18" fillId="23" borderId="89" xfId="3" applyFont="1" applyFill="1" applyBorder="1" applyAlignment="1">
      <alignment horizontal="right" vertical="center" shrinkToFit="1"/>
    </xf>
    <xf numFmtId="0" fontId="18" fillId="32" borderId="103" xfId="3" applyFont="1" applyFill="1" applyBorder="1" applyAlignment="1">
      <alignment horizontal="right" vertical="center" shrinkToFit="1"/>
    </xf>
    <xf numFmtId="0" fontId="18" fillId="32" borderId="104" xfId="3" applyFont="1" applyFill="1" applyBorder="1" applyAlignment="1">
      <alignment horizontal="right" vertical="center" shrinkToFit="1"/>
    </xf>
    <xf numFmtId="0" fontId="18" fillId="32" borderId="105" xfId="3" applyFont="1" applyFill="1" applyBorder="1" applyAlignment="1">
      <alignment horizontal="right" vertical="center" shrinkToFit="1"/>
    </xf>
    <xf numFmtId="183" fontId="18" fillId="0" borderId="25" xfId="3" applyNumberFormat="1" applyFont="1" applyBorder="1" applyAlignment="1">
      <alignment horizontal="center" vertical="center"/>
    </xf>
    <xf numFmtId="183" fontId="18" fillId="0" borderId="28" xfId="3" applyNumberFormat="1" applyFont="1" applyBorder="1" applyAlignment="1">
      <alignment horizontal="center" vertical="center"/>
    </xf>
    <xf numFmtId="0" fontId="18" fillId="0" borderId="174" xfId="3" applyFont="1" applyBorder="1">
      <alignment vertical="center"/>
    </xf>
    <xf numFmtId="0" fontId="18" fillId="0" borderId="25" xfId="3" applyFont="1" applyBorder="1" applyAlignment="1">
      <alignment horizontal="center" vertical="center" shrinkToFit="1"/>
    </xf>
    <xf numFmtId="0" fontId="18" fillId="0" borderId="102" xfId="3" applyFont="1" applyBorder="1" applyAlignment="1">
      <alignment horizontal="center" vertical="center" shrinkToFit="1"/>
    </xf>
    <xf numFmtId="0" fontId="36" fillId="0" borderId="17" xfId="3" applyFont="1" applyBorder="1" applyAlignment="1">
      <alignment horizontal="center" vertical="center"/>
    </xf>
    <xf numFmtId="0" fontId="37" fillId="0" borderId="17" xfId="3" applyFont="1" applyBorder="1">
      <alignment vertical="center"/>
    </xf>
    <xf numFmtId="0" fontId="18" fillId="0" borderId="25" xfId="3" applyFont="1" applyBorder="1" applyAlignment="1">
      <alignment horizontal="left" vertical="center" shrinkToFit="1"/>
    </xf>
    <xf numFmtId="0" fontId="18" fillId="0" borderId="26" xfId="3" applyFont="1" applyBorder="1" applyAlignment="1">
      <alignment horizontal="left" vertical="center" shrinkToFit="1"/>
    </xf>
    <xf numFmtId="0" fontId="18" fillId="0" borderId="28" xfId="3" applyFont="1" applyBorder="1" applyAlignment="1">
      <alignment horizontal="left" vertical="center" shrinkToFit="1"/>
    </xf>
    <xf numFmtId="0" fontId="18" fillId="0" borderId="27" xfId="3" applyFont="1" applyBorder="1" applyAlignment="1">
      <alignment horizontal="center" vertical="center" shrinkToFit="1"/>
    </xf>
    <xf numFmtId="0" fontId="18" fillId="0" borderId="54" xfId="3" applyFont="1" applyBorder="1" applyAlignment="1">
      <alignment horizontal="center" vertical="center" shrinkToFit="1"/>
    </xf>
    <xf numFmtId="0" fontId="18" fillId="0" borderId="70" xfId="3" applyFont="1" applyBorder="1" applyAlignment="1">
      <alignment horizontal="center" vertical="center" shrinkToFit="1"/>
    </xf>
    <xf numFmtId="0" fontId="18" fillId="0" borderId="86" xfId="3" applyFont="1" applyBorder="1" applyAlignment="1">
      <alignment horizontal="center" vertical="center" shrinkToFit="1"/>
    </xf>
    <xf numFmtId="0" fontId="36" fillId="0" borderId="25" xfId="3" applyFont="1" applyBorder="1" applyAlignment="1">
      <alignment horizontal="center" vertical="center"/>
    </xf>
    <xf numFmtId="0" fontId="36" fillId="0" borderId="28" xfId="3" applyFont="1" applyBorder="1" applyAlignment="1">
      <alignment horizontal="center" vertical="center"/>
    </xf>
    <xf numFmtId="0" fontId="18" fillId="0" borderId="19" xfId="3" applyFont="1" applyBorder="1" applyAlignment="1">
      <alignment vertical="center" shrinkToFit="1"/>
    </xf>
    <xf numFmtId="0" fontId="18" fillId="0" borderId="20" xfId="3" applyFont="1" applyBorder="1" applyAlignment="1">
      <alignment vertical="center" shrinkToFit="1"/>
    </xf>
    <xf numFmtId="0" fontId="18" fillId="0" borderId="21" xfId="3" applyFont="1" applyBorder="1" applyAlignment="1">
      <alignment vertical="center" shrinkToFit="1"/>
    </xf>
    <xf numFmtId="0" fontId="18" fillId="0" borderId="48" xfId="3" applyFont="1" applyBorder="1" applyAlignment="1">
      <alignment vertical="center" shrinkToFit="1"/>
    </xf>
    <xf numFmtId="0" fontId="18" fillId="0" borderId="49" xfId="3" applyFont="1" applyBorder="1" applyAlignment="1">
      <alignment vertical="center" shrinkToFit="1"/>
    </xf>
    <xf numFmtId="0" fontId="18" fillId="0" borderId="50" xfId="3" applyFont="1" applyBorder="1" applyAlignment="1">
      <alignment vertical="center" shrinkToFit="1"/>
    </xf>
    <xf numFmtId="0" fontId="18" fillId="0" borderId="64" xfId="3" applyFont="1" applyBorder="1" applyAlignment="1">
      <alignment vertical="center" shrinkToFit="1"/>
    </xf>
    <xf numFmtId="0" fontId="18" fillId="0" borderId="65" xfId="3" applyFont="1" applyBorder="1" applyAlignment="1">
      <alignment vertical="center" shrinkToFit="1"/>
    </xf>
    <xf numFmtId="0" fontId="18" fillId="0" borderId="66" xfId="3" applyFont="1" applyBorder="1" applyAlignment="1">
      <alignment vertical="center" shrinkToFit="1"/>
    </xf>
    <xf numFmtId="0" fontId="18" fillId="0" borderId="80" xfId="3" applyFont="1" applyBorder="1" applyAlignment="1">
      <alignment vertical="center" shrinkToFit="1"/>
    </xf>
    <xf numFmtId="0" fontId="18" fillId="0" borderId="81" xfId="3" applyFont="1" applyBorder="1" applyAlignment="1">
      <alignment vertical="center" shrinkToFit="1"/>
    </xf>
    <xf numFmtId="0" fontId="18" fillId="0" borderId="82" xfId="3" applyFont="1" applyBorder="1" applyAlignment="1">
      <alignment vertical="center" shrinkToFit="1"/>
    </xf>
    <xf numFmtId="0" fontId="18" fillId="0" borderId="96" xfId="3" applyFont="1" applyBorder="1" applyAlignment="1">
      <alignment vertical="center" shrinkToFit="1"/>
    </xf>
    <xf numFmtId="0" fontId="18" fillId="0" borderId="97" xfId="3" applyFont="1" applyBorder="1" applyAlignment="1">
      <alignment vertical="center" shrinkToFit="1"/>
    </xf>
    <xf numFmtId="0" fontId="18" fillId="0" borderId="98" xfId="3" applyFont="1" applyBorder="1" applyAlignment="1">
      <alignment vertical="center" shrinkToFit="1"/>
    </xf>
    <xf numFmtId="0" fontId="34" fillId="0" borderId="0" xfId="3" applyFont="1" applyAlignment="1">
      <alignment horizontal="center" vertical="center"/>
    </xf>
    <xf numFmtId="0" fontId="35" fillId="0" borderId="0" xfId="3" applyFont="1" applyAlignment="1">
      <alignment horizontal="center" vertical="center"/>
    </xf>
    <xf numFmtId="0" fontId="30" fillId="0" borderId="0" xfId="3" applyFont="1" applyAlignment="1">
      <alignment vertical="center" wrapText="1"/>
    </xf>
    <xf numFmtId="0" fontId="30" fillId="0" borderId="0" xfId="3" applyFont="1">
      <alignment vertical="center"/>
    </xf>
    <xf numFmtId="0" fontId="57" fillId="0" borderId="0" xfId="3" applyFont="1" applyAlignment="1">
      <alignment vertical="center" wrapText="1"/>
    </xf>
    <xf numFmtId="0" fontId="0" fillId="0" borderId="0" xfId="0">
      <alignment vertical="center"/>
    </xf>
    <xf numFmtId="0" fontId="60" fillId="0" borderId="0" xfId="3" applyFont="1" applyAlignment="1">
      <alignment horizontal="center" vertical="center"/>
    </xf>
    <xf numFmtId="0" fontId="61" fillId="0" borderId="26" xfId="3" applyFont="1" applyBorder="1">
      <alignment vertical="center"/>
    </xf>
    <xf numFmtId="0" fontId="61" fillId="0" borderId="86" xfId="3" applyFont="1" applyBorder="1">
      <alignment vertical="center"/>
    </xf>
    <xf numFmtId="0" fontId="61" fillId="0" borderId="186" xfId="3" applyFont="1" applyBorder="1">
      <alignment vertical="center"/>
    </xf>
    <xf numFmtId="0" fontId="61" fillId="0" borderId="27" xfId="3" applyFont="1" applyBorder="1">
      <alignment vertical="center"/>
    </xf>
    <xf numFmtId="0" fontId="18" fillId="0" borderId="182" xfId="3" applyFont="1" applyBorder="1" applyAlignment="1">
      <alignment vertical="center" shrinkToFit="1"/>
    </xf>
    <xf numFmtId="0" fontId="18" fillId="0" borderId="183" xfId="3" applyFont="1" applyBorder="1" applyAlignment="1">
      <alignment vertical="center" shrinkToFit="1"/>
    </xf>
    <xf numFmtId="0" fontId="18" fillId="0" borderId="184" xfId="3" applyFont="1" applyBorder="1" applyAlignment="1">
      <alignment vertical="center" shrinkToFit="1"/>
    </xf>
    <xf numFmtId="0" fontId="61" fillId="0" borderId="54" xfId="3" applyFont="1" applyBorder="1">
      <alignment vertical="center"/>
    </xf>
    <xf numFmtId="0" fontId="61" fillId="0" borderId="70" xfId="3" applyFont="1" applyBorder="1">
      <alignment vertical="center"/>
    </xf>
    <xf numFmtId="0" fontId="11" fillId="0" borderId="15" xfId="4" applyFont="1" applyBorder="1" applyAlignment="1">
      <alignment vertical="center" shrinkToFit="1"/>
    </xf>
    <xf numFmtId="0" fontId="1" fillId="0" borderId="0" xfId="4" applyFont="1">
      <alignment vertical="center"/>
    </xf>
    <xf numFmtId="0" fontId="50" fillId="0" borderId="15" xfId="4" applyBorder="1" applyAlignment="1"/>
    <xf numFmtId="0" fontId="16" fillId="0" borderId="0" xfId="4" applyFont="1">
      <alignment vertical="center"/>
    </xf>
    <xf numFmtId="0" fontId="50" fillId="0" borderId="0" xfId="4">
      <alignment vertical="center"/>
    </xf>
    <xf numFmtId="0" fontId="2" fillId="0" borderId="191" xfId="4" applyFont="1" applyBorder="1" applyAlignment="1">
      <alignment horizontal="center" vertical="center"/>
    </xf>
    <xf numFmtId="0" fontId="50" fillId="0" borderId="8" xfId="4" applyBorder="1" applyAlignment="1"/>
    <xf numFmtId="0" fontId="50" fillId="0" borderId="10" xfId="4" applyBorder="1" applyAlignment="1"/>
    <xf numFmtId="0" fontId="3" fillId="0" borderId="6" xfId="4" applyFont="1" applyBorder="1" applyAlignment="1">
      <alignment horizontal="center" vertical="center"/>
    </xf>
    <xf numFmtId="0" fontId="50" fillId="0" borderId="6" xfId="4" applyBorder="1" applyAlignment="1"/>
    <xf numFmtId="0" fontId="4" fillId="0" borderId="192" xfId="4" applyFont="1" applyBorder="1" applyAlignment="1">
      <alignment horizontal="center" vertical="center"/>
    </xf>
    <xf numFmtId="0" fontId="50" fillId="0" borderId="9" xfId="4" applyBorder="1" applyAlignment="1"/>
    <xf numFmtId="0" fontId="50" fillId="0" borderId="11" xfId="4" applyBorder="1" applyAlignment="1"/>
    <xf numFmtId="0" fontId="12" fillId="0" borderId="0" xfId="4" applyFont="1" applyAlignment="1">
      <alignment horizontal="center" vertical="center" wrapText="1"/>
    </xf>
    <xf numFmtId="0" fontId="50" fillId="0" borderId="0" xfId="4" applyAlignment="1"/>
    <xf numFmtId="0" fontId="5" fillId="0" borderId="0" xfId="4" applyFont="1" applyAlignment="1">
      <alignment horizontal="left" vertical="center" shrinkToFit="1"/>
    </xf>
    <xf numFmtId="0" fontId="6" fillId="0" borderId="0" xfId="4" applyFont="1" applyAlignment="1">
      <alignment horizontal="left" vertical="center"/>
    </xf>
    <xf numFmtId="0" fontId="9" fillId="0" borderId="0" xfId="4" applyFont="1" applyAlignment="1">
      <alignment horizontal="left" vertical="center"/>
    </xf>
    <xf numFmtId="0" fontId="16" fillId="0" borderId="0" xfId="0" applyFont="1">
      <alignment vertical="center"/>
    </xf>
    <xf numFmtId="0" fontId="12" fillId="0" borderId="0" xfId="0" applyFont="1" applyAlignment="1">
      <alignment horizontal="center" vertical="center" wrapText="1"/>
    </xf>
    <xf numFmtId="0" fontId="12" fillId="0" borderId="0" xfId="0" applyFont="1" applyAlignment="1">
      <alignment horizontal="center" vertical="center"/>
    </xf>
    <xf numFmtId="0" fontId="5" fillId="0" borderId="0" xfId="0" applyFont="1" applyAlignment="1">
      <alignment horizontal="left" vertical="center" shrinkToFit="1"/>
    </xf>
    <xf numFmtId="0" fontId="4" fillId="0" borderId="7" xfId="0" applyFont="1" applyBorder="1" applyAlignment="1">
      <alignment horizontal="center" vertical="center"/>
    </xf>
    <xf numFmtId="0" fontId="4" fillId="0" borderId="9" xfId="0" applyFont="1" applyBorder="1" applyAlignment="1">
      <alignment horizontal="center" vertical="center"/>
    </xf>
    <xf numFmtId="0" fontId="4" fillId="0" borderId="11" xfId="0" applyFont="1" applyBorder="1" applyAlignment="1">
      <alignment horizontal="center" vertical="center"/>
    </xf>
    <xf numFmtId="0" fontId="3" fillId="0" borderId="6" xfId="0" applyFont="1" applyBorder="1" applyAlignment="1">
      <alignment horizontal="center" vertical="center"/>
    </xf>
    <xf numFmtId="0" fontId="2" fillId="0" borderId="5" xfId="0" applyFont="1" applyBorder="1" applyAlignment="1">
      <alignment horizontal="center" vertical="center"/>
    </xf>
    <xf numFmtId="0" fontId="2" fillId="0" borderId="8" xfId="0" applyFont="1" applyBorder="1" applyAlignment="1">
      <alignment horizontal="center" vertical="center"/>
    </xf>
    <xf numFmtId="0" fontId="2" fillId="0" borderId="10" xfId="0" applyFont="1" applyBorder="1" applyAlignment="1">
      <alignment horizontal="center" vertical="center"/>
    </xf>
    <xf numFmtId="0" fontId="6" fillId="0" borderId="0" xfId="0" applyFont="1" applyAlignment="1">
      <alignment horizontal="left" vertical="center"/>
    </xf>
    <xf numFmtId="0" fontId="9" fillId="0" borderId="0" xfId="0" applyFont="1" applyAlignment="1">
      <alignment horizontal="left" vertical="center"/>
    </xf>
    <xf numFmtId="0" fontId="10" fillId="0" borderId="0" xfId="0" applyFont="1" applyAlignment="1">
      <alignment horizontal="left" vertical="center"/>
    </xf>
    <xf numFmtId="0" fontId="11" fillId="0" borderId="0" xfId="0" applyFont="1" applyAlignment="1">
      <alignment vertical="center" shrinkToFit="1"/>
    </xf>
    <xf numFmtId="0" fontId="11" fillId="0" borderId="15" xfId="0" applyFont="1" applyBorder="1" applyAlignment="1">
      <alignment vertical="center" shrinkToFit="1"/>
    </xf>
  </cellXfs>
  <cellStyles count="5">
    <cellStyle name="ハイパーリンク" xfId="1" builtinId="8"/>
    <cellStyle name="ハイパーリンク 2" xfId="2" xr:uid="{00000000-0005-0000-0000-000031000000}"/>
    <cellStyle name="標準" xfId="0" builtinId="0"/>
    <cellStyle name="標準 2" xfId="3" xr:uid="{00000000-0005-0000-0000-000032000000}"/>
    <cellStyle name="標準 3" xfId="4" xr:uid="{D2A4B1F9-08AD-47E8-A37F-6DA7C2695A7B}"/>
  </cellStyles>
  <dxfs count="68">
    <dxf>
      <font>
        <strike val="0"/>
        <color theme="0" tint="-0.24994659260841701"/>
      </font>
    </dxf>
    <dxf>
      <fill>
        <patternFill patternType="solid">
          <bgColor theme="9" tint="0.79964598529007846"/>
        </patternFill>
      </fill>
    </dxf>
    <dxf>
      <fill>
        <patternFill patternType="solid">
          <bgColor theme="8" tint="0.79964598529007846"/>
        </patternFill>
      </fill>
    </dxf>
    <dxf>
      <fill>
        <patternFill patternType="solid">
          <bgColor theme="5" tint="0.79964598529007846"/>
        </patternFill>
      </fill>
    </dxf>
    <dxf>
      <fill>
        <patternFill patternType="solid">
          <bgColor theme="9" tint="0.79967650379955446"/>
        </patternFill>
      </fill>
    </dxf>
    <dxf>
      <fill>
        <patternFill patternType="solid">
          <bgColor rgb="FFCCECFF"/>
        </patternFill>
      </fill>
    </dxf>
    <dxf>
      <fill>
        <patternFill patternType="solid">
          <bgColor rgb="FF99CCFF"/>
        </patternFill>
      </fill>
    </dxf>
    <dxf>
      <fill>
        <patternFill patternType="solid">
          <bgColor rgb="FFFFCCFF"/>
        </patternFill>
      </fill>
    </dxf>
    <dxf>
      <fill>
        <patternFill patternType="solid">
          <bgColor rgb="FFFF99CC"/>
        </patternFill>
      </fill>
    </dxf>
    <dxf>
      <fill>
        <patternFill patternType="solid">
          <bgColor rgb="FFFF99FF"/>
        </patternFill>
      </fill>
    </dxf>
    <dxf>
      <fill>
        <patternFill patternType="solid">
          <bgColor rgb="FFFF66FF"/>
        </patternFill>
      </fill>
    </dxf>
    <dxf>
      <fill>
        <patternFill patternType="solid">
          <bgColor theme="5" tint="0.79964598529007846"/>
        </patternFill>
      </fill>
    </dxf>
    <dxf>
      <fill>
        <patternFill patternType="solid">
          <bgColor theme="8" tint="0.79964598529007846"/>
        </patternFill>
      </fill>
    </dxf>
    <dxf>
      <fill>
        <patternFill patternType="solid">
          <bgColor theme="9" tint="0.79964598529007846"/>
        </patternFill>
      </fill>
    </dxf>
    <dxf>
      <font>
        <color theme="0"/>
      </font>
      <fill>
        <patternFill patternType="none"/>
      </fill>
    </dxf>
    <dxf>
      <fill>
        <patternFill patternType="solid">
          <bgColor theme="9" tint="0.79964598529007846"/>
        </patternFill>
      </fill>
    </dxf>
    <dxf>
      <fill>
        <patternFill patternType="solid">
          <bgColor theme="8" tint="0.79964598529007846"/>
        </patternFill>
      </fill>
    </dxf>
    <dxf>
      <fill>
        <patternFill patternType="solid">
          <bgColor theme="5" tint="0.79964598529007846"/>
        </patternFill>
      </fill>
    </dxf>
    <dxf>
      <fill>
        <patternFill patternType="solid">
          <bgColor theme="9" tint="0.79964598529007846"/>
        </patternFill>
      </fill>
    </dxf>
    <dxf>
      <fill>
        <patternFill patternType="solid">
          <bgColor theme="8" tint="0.79964598529007846"/>
        </patternFill>
      </fill>
    </dxf>
    <dxf>
      <fill>
        <patternFill patternType="solid">
          <bgColor theme="5" tint="0.79964598529007846"/>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ill>
        <patternFill patternType="solid">
          <bgColor theme="9" tint="0.79940183721427049"/>
        </patternFill>
      </fill>
    </dxf>
    <dxf>
      <fill>
        <patternFill patternType="solid">
          <bgColor rgb="FFCCECFF"/>
        </patternFill>
      </fill>
    </dxf>
    <dxf>
      <fill>
        <patternFill patternType="solid">
          <bgColor rgb="FF99CCFF"/>
        </patternFill>
      </fill>
    </dxf>
    <dxf>
      <fill>
        <patternFill patternType="solid">
          <bgColor rgb="FFFFCCFF"/>
        </patternFill>
      </fill>
    </dxf>
    <dxf>
      <fill>
        <patternFill patternType="solid">
          <bgColor rgb="FFFF99CC"/>
        </patternFill>
      </fill>
    </dxf>
    <dxf>
      <fill>
        <patternFill patternType="solid">
          <bgColor rgb="FFFF99FF"/>
        </patternFill>
      </fill>
    </dxf>
    <dxf>
      <fill>
        <patternFill patternType="solid">
          <bgColor rgb="FFFF66FF"/>
        </patternFill>
      </fill>
    </dxf>
    <dxf>
      <font>
        <color theme="0" tint="-0.24994659260841701"/>
      </font>
    </dxf>
    <dxf>
      <fill>
        <patternFill patternType="solid">
          <bgColor theme="9" tint="0.79940183721427049"/>
        </patternFill>
      </fill>
    </dxf>
    <dxf>
      <fill>
        <patternFill patternType="solid">
          <bgColor rgb="FFCCECFF"/>
        </patternFill>
      </fill>
    </dxf>
    <dxf>
      <fill>
        <patternFill patternType="solid">
          <bgColor rgb="FF99CCFF"/>
        </patternFill>
      </fill>
    </dxf>
    <dxf>
      <fill>
        <patternFill patternType="solid">
          <bgColor rgb="FFFFCCFF"/>
        </patternFill>
      </fill>
    </dxf>
    <dxf>
      <fill>
        <patternFill patternType="solid">
          <bgColor rgb="FFFF99CC"/>
        </patternFill>
      </fill>
    </dxf>
    <dxf>
      <fill>
        <patternFill patternType="solid">
          <bgColor rgb="FFFF99FF"/>
        </patternFill>
      </fill>
    </dxf>
    <dxf>
      <fill>
        <patternFill patternType="solid">
          <bgColor rgb="FFFF66FF"/>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ill>
        <patternFill patternType="solid">
          <bgColor theme="9" tint="0.79940183721427049"/>
        </patternFill>
      </fill>
    </dxf>
    <dxf>
      <fill>
        <patternFill patternType="solid">
          <bgColor rgb="FF99CCFF"/>
        </patternFill>
      </fill>
    </dxf>
    <dxf>
      <fill>
        <patternFill patternType="solid">
          <bgColor rgb="FFCCECFF"/>
        </patternFill>
      </fill>
    </dxf>
    <dxf>
      <fill>
        <patternFill patternType="solid">
          <bgColor rgb="FFFFCCFF"/>
        </patternFill>
      </fill>
    </dxf>
    <dxf>
      <fill>
        <patternFill patternType="solid">
          <bgColor rgb="FFFF99CC"/>
        </patternFill>
      </fill>
    </dxf>
    <dxf>
      <fill>
        <patternFill patternType="solid">
          <bgColor rgb="FFFF99FF"/>
        </patternFill>
      </fill>
    </dxf>
    <dxf>
      <fill>
        <patternFill patternType="solid">
          <bgColor rgb="FFFF66FF"/>
        </patternFill>
      </fill>
    </dxf>
    <dxf>
      <fill>
        <patternFill patternType="solid">
          <bgColor rgb="FFFFCCFF"/>
        </patternFill>
      </fill>
    </dxf>
    <dxf>
      <fill>
        <patternFill patternType="solid">
          <bgColor rgb="FFCCFFCC"/>
        </patternFill>
      </fill>
    </dxf>
    <dxf>
      <fill>
        <patternFill patternType="solid">
          <bgColor rgb="FFCCECFF"/>
        </patternFill>
      </fill>
    </dxf>
    <dxf>
      <fill>
        <patternFill patternType="solid">
          <bgColor theme="7" tint="0.7993408001953185"/>
        </patternFill>
      </fill>
    </dxf>
    <dxf>
      <fill>
        <patternFill patternType="solid">
          <bgColor theme="5" tint="0.7993408001953185"/>
        </patternFill>
      </fill>
    </dxf>
    <dxf>
      <fill>
        <patternFill>
          <bgColor rgb="FFFFFF00"/>
        </patternFill>
      </fill>
    </dxf>
  </dxfs>
  <tableStyles count="0" defaultTableStyle="TableStyleMedium2" defaultPivotStyle="PivotStyleLight16"/>
  <colors>
    <mruColors>
      <color rgb="FFFFFF00"/>
      <color rgb="FF0000FF"/>
      <color rgb="FFFF66FF"/>
      <color rgb="FFFF99FF"/>
      <color rgb="FFFF99CC"/>
      <color rgb="FFFFCCFF"/>
      <color rgb="FF99CCFF"/>
      <color rgb="FFCCECFF"/>
      <color rgb="FF66CCFF"/>
      <color rgb="FF44B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71282203693115"/>
          <c:y val="0.140958296710857"/>
          <c:w val="0.65743610680334497"/>
          <c:h val="0.71808340657828595"/>
        </c:manualLayout>
      </c:layout>
      <c:pieChart>
        <c:varyColors val="1"/>
        <c:ser>
          <c:idx val="0"/>
          <c:order val="0"/>
          <c:spPr>
            <a:solidFill>
              <a:schemeClr val="lt1"/>
            </a:solidFill>
            <a:ln w="19050">
              <a:solidFill>
                <a:schemeClr val="dk1">
                  <a:tint val="88500"/>
                </a:schemeClr>
              </a:solidFill>
            </a:ln>
            <a:effectLst/>
          </c:spPr>
          <c:explosion val="1"/>
          <c:dPt>
            <c:idx val="0"/>
            <c:bubble3D val="0"/>
            <c:spPr>
              <a:solidFill>
                <a:schemeClr val="accent5">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1-C9FB-43F5-AABD-55C118AD5E52}"/>
              </c:ext>
            </c:extLst>
          </c:dPt>
          <c:dPt>
            <c:idx val="1"/>
            <c:bubble3D val="0"/>
            <c:spPr>
              <a:solidFill>
                <a:schemeClr val="accent6">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3-C9FB-43F5-AABD-55C118AD5E52}"/>
              </c:ext>
            </c:extLst>
          </c:dPt>
          <c:dPt>
            <c:idx val="2"/>
            <c:bubble3D val="0"/>
            <c:spPr>
              <a:solidFill>
                <a:schemeClr val="accent2">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5-C9FB-43F5-AABD-55C118AD5E52}"/>
              </c:ext>
            </c:extLst>
          </c:dPt>
          <c:dPt>
            <c:idx val="3"/>
            <c:bubble3D val="0"/>
            <c:spPr>
              <a:solidFill>
                <a:schemeClr val="accent4">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7-C9FB-43F5-AABD-55C118AD5E52}"/>
              </c:ext>
            </c:extLst>
          </c:dPt>
          <c:dLbls>
            <c:dLbl>
              <c:idx val="0"/>
              <c:layout>
                <c:manualLayout>
                  <c:x val="-8.48926989193792E-2"/>
                  <c:y val="7.6675530944003395E-2"/>
                </c:manualLayout>
              </c:layout>
              <c:tx>
                <c:rich>
                  <a:bodyPr rot="0" spcFirstLastPara="0" vertOverflow="ellipsis" vert="horz" wrap="square" lIns="38100" tIns="19050" rIns="38100" bIns="19050" anchor="ctr" anchorCtr="1">
                    <a:spAutoFit/>
                  </a:bodyPr>
                  <a:lstStyle/>
                  <a:p>
                    <a:fld id="{79357931-1330-423D-81AF-220D46FEF628}" type="CATEGORYNAME">
                      <a:rPr lang="ja-JP" altLang="en-US"/>
                      <a:pPr/>
                      <a:t>[分類名]</a:t>
                    </a:fld>
                    <a:endParaRPr lang="ja-JP" altLang="en-US"/>
                  </a:p>
                </c:rich>
              </c:tx>
              <c:spPr>
                <a:noFill/>
                <a:ln>
                  <a:noFill/>
                </a:ln>
                <a:effectLst/>
              </c:spPr>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220394506809927"/>
                      <c:h val="0.30491897189359501"/>
                    </c:manualLayout>
                  </c15:layout>
                  <c15:dlblFieldTable/>
                  <c15:showDataLabelsRange val="0"/>
                </c:ext>
                <c:ext xmlns:c16="http://schemas.microsoft.com/office/drawing/2014/chart" uri="{C3380CC4-5D6E-409C-BE32-E72D297353CC}">
                  <c16:uniqueId val="{00000001-C9FB-43F5-AABD-55C118AD5E52}"/>
                </c:ext>
              </c:extLst>
            </c:dLbl>
            <c:dLbl>
              <c:idx val="1"/>
              <c:layout>
                <c:manualLayout>
                  <c:x val="-0.176315605447941"/>
                  <c:y val="-5.6929159728287E-2"/>
                </c:manualLayout>
              </c:layout>
              <c:spPr>
                <a:noFill/>
                <a:ln>
                  <a:noFill/>
                </a:ln>
                <a:effectLst/>
              </c:spPr>
              <c:txPr>
                <a:bodyPr rot="0" spcFirstLastPara="0" vertOverflow="ellipsis" vert="horz" wrap="square" lIns="38100" tIns="19050" rIns="38100" bIns="19050" anchor="ctr" anchorCtr="1">
                  <a:noAutofit/>
                </a:bodyPr>
                <a:lstStyle/>
                <a:p>
                  <a:pPr>
                    <a:defRPr lang="ja-JP" sz="800" b="1" i="0" u="none" strike="noStrike" kern="1200" baseline="0">
                      <a:solidFill>
                        <a:schemeClr val="accent6">
                          <a:lumMod val="75000"/>
                        </a:schemeClr>
                      </a:solidFill>
                      <a:latin typeface="Meiryo UI" panose="020B0604030504040204" charset="-128"/>
                      <a:ea typeface="Meiryo UI" panose="020B0604030504040204" charset="-128"/>
                      <a:cs typeface="+mn-cs"/>
                    </a:defRPr>
                  </a:pPr>
                  <a:endParaRPr lang="ja-JP"/>
                </a:p>
              </c:txPr>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28732913480405298"/>
                      <c:h val="0.25499071918587202"/>
                    </c:manualLayout>
                  </c15:layout>
                </c:ext>
                <c:ext xmlns:c16="http://schemas.microsoft.com/office/drawing/2014/chart" uri="{C3380CC4-5D6E-409C-BE32-E72D297353CC}">
                  <c16:uniqueId val="{00000003-C9FB-43F5-AABD-55C118AD5E52}"/>
                </c:ext>
              </c:extLst>
            </c:dLbl>
            <c:dLbl>
              <c:idx val="2"/>
              <c:layout>
                <c:manualLayout>
                  <c:x val="0.20896664349385599"/>
                  <c:y val="-8.9076720460755196E-2"/>
                </c:manualLayout>
              </c:layout>
              <c:spPr>
                <a:noFill/>
                <a:ln>
                  <a:noFill/>
                </a:ln>
                <a:effectLst/>
              </c:spPr>
              <c:txPr>
                <a:bodyPr rot="0" spcFirstLastPara="0" vertOverflow="ellipsis" vert="horz" wrap="square" lIns="38100" tIns="19050" rIns="38100" bIns="19050" anchor="ctr" anchorCtr="1">
                  <a:spAutoFit/>
                </a:bodyPr>
                <a:lstStyle/>
                <a:p>
                  <a:pPr>
                    <a:defRPr lang="ja-JP" sz="800" b="1" i="0" u="none" strike="noStrike" kern="1200" baseline="0">
                      <a:solidFill>
                        <a:schemeClr val="accent2">
                          <a:lumMod val="75000"/>
                        </a:schemeClr>
                      </a:solidFill>
                      <a:latin typeface="Meiryo UI" panose="020B0604030504040204" charset="-128"/>
                      <a:ea typeface="Meiryo UI" panose="020B0604030504040204" charset="-128"/>
                      <a:cs typeface="+mn-cs"/>
                    </a:defRPr>
                  </a:pPr>
                  <a:endParaRPr lang="ja-JP"/>
                </a:p>
              </c:txPr>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26284085626961601"/>
                      <c:h val="0.29956951624633898"/>
                    </c:manualLayout>
                  </c15:layout>
                </c:ext>
                <c:ext xmlns:c16="http://schemas.microsoft.com/office/drawing/2014/chart" uri="{C3380CC4-5D6E-409C-BE32-E72D297353CC}">
                  <c16:uniqueId val="{00000005-C9FB-43F5-AABD-55C118AD5E52}"/>
                </c:ext>
              </c:extLst>
            </c:dLbl>
            <c:dLbl>
              <c:idx val="3"/>
              <c:layout>
                <c:manualLayout>
                  <c:x val="0.222027058712222"/>
                  <c:y val="0.14800188705207101"/>
                </c:manualLayout>
              </c:layout>
              <c:tx>
                <c:rich>
                  <a:bodyPr rot="0" spcFirstLastPara="0" vertOverflow="ellipsis" vert="horz" wrap="square" lIns="38100" tIns="19050" rIns="38100" bIns="19050" anchor="ctr" anchorCtr="1">
                    <a:noAutofit/>
                  </a:bodyPr>
                  <a:lstStyle/>
                  <a:p>
                    <a:fld id="{4B507E1B-3352-4503-A448-A6C4BA2D1F5E}" type="CATEGORYNAME">
                      <a:rPr lang="ja-JP" altLang="en-US"/>
                      <a:pPr/>
                      <a:t>[分類名]</a:t>
                    </a:fld>
                    <a:endParaRPr lang="ja-JP" altLang="en-US"/>
                  </a:p>
                </c:rich>
              </c:tx>
              <c:spPr>
                <a:noFill/>
                <a:ln>
                  <a:noFill/>
                </a:ln>
                <a:effectLst/>
              </c:spPr>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360793970407362"/>
                      <c:h val="0.25320756730345301"/>
                    </c:manualLayout>
                  </c15:layout>
                  <c15:dlblFieldTable/>
                  <c15:showDataLabelsRange val="0"/>
                </c:ext>
                <c:ext xmlns:c16="http://schemas.microsoft.com/office/drawing/2014/chart" uri="{C3380CC4-5D6E-409C-BE32-E72D297353CC}">
                  <c16:uniqueId val="{00000007-C9FB-43F5-AABD-55C118AD5E52}"/>
                </c:ext>
              </c:extLst>
            </c:dLbl>
            <c:spPr>
              <a:noFill/>
              <a:ln>
                <a:noFill/>
              </a:ln>
              <a:effectLst/>
            </c:spPr>
            <c:txPr>
              <a:bodyPr rot="0" spcFirstLastPara="0" vertOverflow="ellipsis" vert="horz" wrap="square" lIns="38100" tIns="19050" rIns="38100" bIns="19050" anchor="ctr" anchorCtr="1">
                <a:spAutoFit/>
              </a:bodyPr>
              <a:lstStyle/>
              <a:p>
                <a:pPr>
                  <a:defRPr lang="ja-JP" sz="800" b="1" i="0" u="none" strike="noStrike" kern="1200" baseline="0">
                    <a:solidFill>
                      <a:schemeClr val="tx1"/>
                    </a:solidFill>
                    <a:latin typeface="Meiryo UI" panose="020B0604030504040204" charset="-128"/>
                    <a:ea typeface="Meiryo UI" panose="020B0604030504040204" charset="-128"/>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dk1">
                      <a:tint val="88500"/>
                      <a:lumMod val="60000"/>
                      <a:lumOff val="40000"/>
                    </a:schemeClr>
                  </a:solidFill>
                  <a:prstDash val="solid"/>
                  <a:round/>
                </a:ln>
                <a:effectLst/>
              </c:spPr>
            </c:leaderLines>
            <c:extLst>
              <c:ext xmlns:c15="http://schemas.microsoft.com/office/drawing/2012/chart" uri="{CE6537A1-D6FC-4f65-9D91-7224C49458BB}"/>
            </c:extLst>
          </c:dLbls>
          <c:cat>
            <c:strRef>
              <c:f>所持リスト!$S$4:$S$7</c:f>
              <c:strCache>
                <c:ptCount val="4"/>
                <c:pt idx="0">
                  <c:v>100均</c:v>
                </c:pt>
                <c:pt idx="1">
                  <c:v>多肉屋さん</c:v>
                </c:pt>
                <c:pt idx="2">
                  <c:v>メルカリ</c:v>
                </c:pt>
                <c:pt idx="3">
                  <c:v>ホームセンター</c:v>
                </c:pt>
              </c:strCache>
            </c:strRef>
          </c:cat>
          <c:val>
            <c:numRef>
              <c:f>所持リスト!$T$4:$T$7</c:f>
              <c:numCache>
                <c:formatCode>General</c:formatCode>
                <c:ptCount val="4"/>
                <c:pt idx="0">
                  <c:v>30</c:v>
                </c:pt>
                <c:pt idx="1">
                  <c:v>221</c:v>
                </c:pt>
                <c:pt idx="2">
                  <c:v>173</c:v>
                </c:pt>
                <c:pt idx="3">
                  <c:v>46</c:v>
                </c:pt>
              </c:numCache>
            </c:numRef>
          </c:val>
          <c:extLst>
            <c:ext xmlns:c16="http://schemas.microsoft.com/office/drawing/2014/chart" uri="{C3380CC4-5D6E-409C-BE32-E72D297353CC}">
              <c16:uniqueId val="{00000008-C9FB-43F5-AABD-55C118AD5E52}"/>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uri="{0b15fc19-7d7d-44ad-8c2d-2c3a37ce22c3}">
        <chartProps xmlns="https://web.wps.cn/et/2018/main" chartId="{3ae883ad-c14c-445a-9ad7-537213b4604d}"/>
      </c:ext>
    </c:extLst>
  </c:chart>
  <c:spPr>
    <a:solidFill>
      <a:schemeClr val="bg1"/>
    </a:solidFill>
    <a:ln w="9525" cap="flat" cmpd="sng" algn="ctr">
      <a:noFill/>
      <a:prstDash val="solid"/>
      <a:round/>
    </a:ln>
    <a:effectLst/>
  </c:spPr>
  <c:txPr>
    <a:bodyPr/>
    <a:lstStyle/>
    <a:p>
      <a:pPr>
        <a:defRPr lang="ja-JP"/>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doughnutChart>
        <c:varyColors val="1"/>
        <c:ser>
          <c:idx val="0"/>
          <c:order val="0"/>
          <c:spPr>
            <a:solidFill>
              <a:schemeClr val="lt1"/>
            </a:solidFill>
            <a:ln w="19050">
              <a:solidFill>
                <a:schemeClr val="dk1">
                  <a:tint val="88500"/>
                </a:schemeClr>
              </a:solidFill>
            </a:ln>
            <a:effectLst/>
          </c:spPr>
          <c:dPt>
            <c:idx val="0"/>
            <c:bubble3D val="0"/>
            <c:spPr>
              <a:solidFill>
                <a:schemeClr val="accent5">
                  <a:lumMod val="40000"/>
                  <a:lumOff val="60000"/>
                </a:schemeClr>
              </a:solidFill>
              <a:ln w="19050">
                <a:solidFill>
                  <a:schemeClr val="dk1">
                    <a:tint val="88500"/>
                  </a:schemeClr>
                </a:solidFill>
              </a:ln>
              <a:effectLst/>
            </c:spPr>
            <c:extLst>
              <c:ext xmlns:c16="http://schemas.microsoft.com/office/drawing/2014/chart" uri="{C3380CC4-5D6E-409C-BE32-E72D297353CC}">
                <c16:uniqueId val="{00000001-D5FB-4CF1-A74F-82F91F725F8D}"/>
              </c:ext>
            </c:extLst>
          </c:dPt>
          <c:dPt>
            <c:idx val="1"/>
            <c:bubble3D val="0"/>
            <c:spPr>
              <a:solidFill>
                <a:schemeClr val="accent5">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3-D5FB-4CF1-A74F-82F91F725F8D}"/>
              </c:ext>
            </c:extLst>
          </c:dPt>
          <c:dPt>
            <c:idx val="2"/>
            <c:bubble3D val="0"/>
            <c:spPr>
              <a:solidFill>
                <a:schemeClr val="accent6">
                  <a:lumMod val="60000"/>
                  <a:lumOff val="40000"/>
                </a:schemeClr>
              </a:solidFill>
              <a:ln w="19050">
                <a:solidFill>
                  <a:schemeClr val="dk1">
                    <a:tint val="88500"/>
                  </a:schemeClr>
                </a:solidFill>
              </a:ln>
              <a:effectLst/>
            </c:spPr>
            <c:extLst>
              <c:ext xmlns:c16="http://schemas.microsoft.com/office/drawing/2014/chart" uri="{C3380CC4-5D6E-409C-BE32-E72D297353CC}">
                <c16:uniqueId val="{00000005-D5FB-4CF1-A74F-82F91F725F8D}"/>
              </c:ext>
            </c:extLst>
          </c:dPt>
          <c:dPt>
            <c:idx val="3"/>
            <c:bubble3D val="0"/>
            <c:spPr>
              <a:solidFill>
                <a:schemeClr val="accent6">
                  <a:lumMod val="40000"/>
                  <a:lumOff val="60000"/>
                </a:schemeClr>
              </a:solidFill>
              <a:ln w="19050">
                <a:solidFill>
                  <a:schemeClr val="dk1">
                    <a:tint val="88500"/>
                  </a:schemeClr>
                </a:solidFill>
              </a:ln>
              <a:effectLst/>
            </c:spPr>
            <c:extLst>
              <c:ext xmlns:c16="http://schemas.microsoft.com/office/drawing/2014/chart" uri="{C3380CC4-5D6E-409C-BE32-E72D297353CC}">
                <c16:uniqueId val="{00000007-D5FB-4CF1-A74F-82F91F725F8D}"/>
              </c:ext>
            </c:extLst>
          </c:dPt>
          <c:dPt>
            <c:idx val="4"/>
            <c:bubble3D val="0"/>
            <c:spPr>
              <a:solidFill>
                <a:schemeClr val="accent6">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9-D5FB-4CF1-A74F-82F91F725F8D}"/>
              </c:ext>
            </c:extLst>
          </c:dPt>
          <c:dPt>
            <c:idx val="5"/>
            <c:bubble3D val="0"/>
            <c:spPr>
              <a:solidFill>
                <a:schemeClr val="accent6">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B-D5FB-4CF1-A74F-82F91F725F8D}"/>
              </c:ext>
            </c:extLst>
          </c:dPt>
          <c:dPt>
            <c:idx val="6"/>
            <c:bubble3D val="0"/>
            <c:spPr>
              <a:solidFill>
                <a:schemeClr val="accent6">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D-D5FB-4CF1-A74F-82F91F725F8D}"/>
              </c:ext>
            </c:extLst>
          </c:dPt>
          <c:dPt>
            <c:idx val="7"/>
            <c:bubble3D val="0"/>
            <c:spPr>
              <a:solidFill>
                <a:schemeClr val="accent6">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F-D5FB-4CF1-A74F-82F91F725F8D}"/>
              </c:ext>
            </c:extLst>
          </c:dPt>
          <c:dPt>
            <c:idx val="8"/>
            <c:bubble3D val="0"/>
            <c:spPr>
              <a:solidFill>
                <a:schemeClr val="accent6">
                  <a:lumMod val="20000"/>
                  <a:lumOff val="80000"/>
                </a:schemeClr>
              </a:solidFill>
              <a:ln w="19050">
                <a:solidFill>
                  <a:schemeClr val="dk1">
                    <a:tint val="88500"/>
                  </a:schemeClr>
                </a:solidFill>
              </a:ln>
              <a:effectLst/>
            </c:spPr>
            <c:extLst>
              <c:ext xmlns:c16="http://schemas.microsoft.com/office/drawing/2014/chart" uri="{C3380CC4-5D6E-409C-BE32-E72D297353CC}">
                <c16:uniqueId val="{00000011-D5FB-4CF1-A74F-82F91F725F8D}"/>
              </c:ext>
            </c:extLst>
          </c:dPt>
          <c:dPt>
            <c:idx val="9"/>
            <c:bubble3D val="0"/>
            <c:spPr>
              <a:solidFill>
                <a:schemeClr val="accent6">
                  <a:lumMod val="20000"/>
                  <a:lumOff val="80000"/>
                </a:schemeClr>
              </a:solidFill>
              <a:ln w="19050">
                <a:solidFill>
                  <a:schemeClr val="dk1">
                    <a:tint val="88500"/>
                  </a:schemeClr>
                </a:solidFill>
              </a:ln>
              <a:effectLst/>
            </c:spPr>
            <c:extLst>
              <c:ext xmlns:c16="http://schemas.microsoft.com/office/drawing/2014/chart" uri="{C3380CC4-5D6E-409C-BE32-E72D297353CC}">
                <c16:uniqueId val="{00000013-D5FB-4CF1-A74F-82F91F725F8D}"/>
              </c:ext>
            </c:extLst>
          </c:dPt>
          <c:dPt>
            <c:idx val="10"/>
            <c:bubble3D val="0"/>
            <c:spPr>
              <a:solidFill>
                <a:schemeClr val="accent4">
                  <a:lumMod val="40000"/>
                  <a:lumOff val="60000"/>
                </a:schemeClr>
              </a:solidFill>
              <a:ln w="19050">
                <a:solidFill>
                  <a:schemeClr val="dk1">
                    <a:tint val="88500"/>
                  </a:schemeClr>
                </a:solidFill>
              </a:ln>
              <a:effectLst/>
            </c:spPr>
            <c:extLst>
              <c:ext xmlns:c16="http://schemas.microsoft.com/office/drawing/2014/chart" uri="{C3380CC4-5D6E-409C-BE32-E72D297353CC}">
                <c16:uniqueId val="{00000015-D5FB-4CF1-A74F-82F91F725F8D}"/>
              </c:ext>
            </c:extLst>
          </c:dPt>
          <c:dPt>
            <c:idx val="11"/>
            <c:bubble3D val="0"/>
            <c:spPr>
              <a:solidFill>
                <a:schemeClr val="accent4">
                  <a:lumMod val="20000"/>
                  <a:lumOff val="80000"/>
                </a:schemeClr>
              </a:solidFill>
              <a:ln w="19050">
                <a:solidFill>
                  <a:schemeClr val="dk1">
                    <a:tint val="88500"/>
                  </a:schemeClr>
                </a:solidFill>
              </a:ln>
              <a:effectLst/>
            </c:spPr>
            <c:extLst>
              <c:ext xmlns:c16="http://schemas.microsoft.com/office/drawing/2014/chart" uri="{C3380CC4-5D6E-409C-BE32-E72D297353CC}">
                <c16:uniqueId val="{00000017-D5FB-4CF1-A74F-82F91F725F8D}"/>
              </c:ext>
            </c:extLst>
          </c:dPt>
          <c:dPt>
            <c:idx val="12"/>
            <c:bubble3D val="0"/>
            <c:spPr>
              <a:solidFill>
                <a:schemeClr val="accent4">
                  <a:lumMod val="40000"/>
                  <a:lumOff val="60000"/>
                </a:schemeClr>
              </a:solidFill>
              <a:ln w="19050">
                <a:solidFill>
                  <a:schemeClr val="dk1">
                    <a:tint val="88500"/>
                  </a:schemeClr>
                </a:solidFill>
              </a:ln>
              <a:effectLst/>
            </c:spPr>
            <c:extLst>
              <c:ext xmlns:c16="http://schemas.microsoft.com/office/drawing/2014/chart" uri="{C3380CC4-5D6E-409C-BE32-E72D297353CC}">
                <c16:uniqueId val="{00000019-D5FB-4CF1-A74F-82F91F725F8D}"/>
              </c:ext>
            </c:extLst>
          </c:dPt>
          <c:dPt>
            <c:idx val="13"/>
            <c:bubble3D val="0"/>
            <c:spPr>
              <a:solidFill>
                <a:schemeClr val="accent4">
                  <a:lumMod val="20000"/>
                  <a:lumOff val="80000"/>
                </a:schemeClr>
              </a:solidFill>
              <a:ln w="19050">
                <a:solidFill>
                  <a:schemeClr val="dk1">
                    <a:tint val="88500"/>
                  </a:schemeClr>
                </a:solidFill>
              </a:ln>
              <a:effectLst/>
            </c:spPr>
            <c:extLst>
              <c:ext xmlns:c16="http://schemas.microsoft.com/office/drawing/2014/chart" uri="{C3380CC4-5D6E-409C-BE32-E72D297353CC}">
                <c16:uniqueId val="{0000001B-D5FB-4CF1-A74F-82F91F725F8D}"/>
              </c:ext>
            </c:extLst>
          </c:dPt>
          <c:dPt>
            <c:idx val="14"/>
            <c:bubble3D val="0"/>
            <c:spPr>
              <a:solidFill>
                <a:schemeClr val="accent4">
                  <a:lumMod val="40000"/>
                  <a:lumOff val="60000"/>
                </a:schemeClr>
              </a:solidFill>
              <a:ln w="19050">
                <a:solidFill>
                  <a:schemeClr val="dk1">
                    <a:tint val="88500"/>
                  </a:schemeClr>
                </a:solidFill>
              </a:ln>
              <a:effectLst/>
            </c:spPr>
            <c:extLst>
              <c:ext xmlns:c16="http://schemas.microsoft.com/office/drawing/2014/chart" uri="{C3380CC4-5D6E-409C-BE32-E72D297353CC}">
                <c16:uniqueId val="{0000001D-D5FB-4CF1-A74F-82F91F725F8D}"/>
              </c:ext>
            </c:extLst>
          </c:dPt>
          <c:dPt>
            <c:idx val="15"/>
            <c:bubble3D val="0"/>
            <c:spPr>
              <a:solidFill>
                <a:schemeClr val="accent4">
                  <a:lumMod val="20000"/>
                  <a:lumOff val="80000"/>
                </a:schemeClr>
              </a:solidFill>
              <a:ln w="19050">
                <a:solidFill>
                  <a:schemeClr val="dk1">
                    <a:tint val="88500"/>
                  </a:schemeClr>
                </a:solidFill>
              </a:ln>
              <a:effectLst/>
            </c:spPr>
            <c:extLst>
              <c:ext xmlns:c16="http://schemas.microsoft.com/office/drawing/2014/chart" uri="{C3380CC4-5D6E-409C-BE32-E72D297353CC}">
                <c16:uniqueId val="{0000001F-D5FB-4CF1-A74F-82F91F725F8D}"/>
              </c:ext>
            </c:extLst>
          </c:dPt>
          <c:dPt>
            <c:idx val="16"/>
            <c:bubble3D val="0"/>
            <c:spPr>
              <a:solidFill>
                <a:schemeClr val="accent4">
                  <a:lumMod val="40000"/>
                  <a:lumOff val="60000"/>
                </a:schemeClr>
              </a:solidFill>
              <a:ln w="19050">
                <a:solidFill>
                  <a:schemeClr val="dk1">
                    <a:tint val="88500"/>
                  </a:schemeClr>
                </a:solidFill>
              </a:ln>
              <a:effectLst/>
            </c:spPr>
            <c:extLst>
              <c:ext xmlns:c16="http://schemas.microsoft.com/office/drawing/2014/chart" uri="{C3380CC4-5D6E-409C-BE32-E72D297353CC}">
                <c16:uniqueId val="{00000021-D5FB-4CF1-A74F-82F91F725F8D}"/>
              </c:ext>
            </c:extLst>
          </c:dPt>
          <c:dPt>
            <c:idx val="17"/>
            <c:bubble3D val="0"/>
            <c:spPr>
              <a:solidFill>
                <a:schemeClr val="accent4">
                  <a:lumMod val="20000"/>
                  <a:lumOff val="80000"/>
                </a:schemeClr>
              </a:solidFill>
              <a:ln w="19050">
                <a:solidFill>
                  <a:schemeClr val="dk1">
                    <a:tint val="88500"/>
                  </a:schemeClr>
                </a:solidFill>
              </a:ln>
              <a:effectLst/>
            </c:spPr>
            <c:extLst>
              <c:ext xmlns:c16="http://schemas.microsoft.com/office/drawing/2014/chart" uri="{C3380CC4-5D6E-409C-BE32-E72D297353CC}">
                <c16:uniqueId val="{00000023-D5FB-4CF1-A74F-82F91F725F8D}"/>
              </c:ext>
            </c:extLst>
          </c:dPt>
          <c:dPt>
            <c:idx val="18"/>
            <c:bubble3D val="0"/>
            <c:spPr>
              <a:solidFill>
                <a:schemeClr val="accent4">
                  <a:lumMod val="40000"/>
                  <a:lumOff val="60000"/>
                </a:schemeClr>
              </a:solidFill>
              <a:ln w="19050">
                <a:solidFill>
                  <a:schemeClr val="dk1">
                    <a:tint val="88500"/>
                  </a:schemeClr>
                </a:solidFill>
              </a:ln>
              <a:effectLst/>
            </c:spPr>
            <c:extLst>
              <c:ext xmlns:c16="http://schemas.microsoft.com/office/drawing/2014/chart" uri="{C3380CC4-5D6E-409C-BE32-E72D297353CC}">
                <c16:uniqueId val="{00000025-D5FB-4CF1-A74F-82F91F725F8D}"/>
              </c:ext>
            </c:extLst>
          </c:dPt>
          <c:dPt>
            <c:idx val="19"/>
            <c:bubble3D val="0"/>
            <c:spPr>
              <a:solidFill>
                <a:schemeClr val="accent4">
                  <a:lumMod val="20000"/>
                  <a:lumOff val="80000"/>
                </a:schemeClr>
              </a:solidFill>
              <a:ln w="19050">
                <a:solidFill>
                  <a:schemeClr val="dk1">
                    <a:tint val="88500"/>
                  </a:schemeClr>
                </a:solidFill>
              </a:ln>
              <a:effectLst/>
            </c:spPr>
            <c:extLst>
              <c:ext xmlns:c16="http://schemas.microsoft.com/office/drawing/2014/chart" uri="{C3380CC4-5D6E-409C-BE32-E72D297353CC}">
                <c16:uniqueId val="{00000027-D5FB-4CF1-A74F-82F91F725F8D}"/>
              </c:ext>
            </c:extLst>
          </c:dPt>
          <c:dPt>
            <c:idx val="20"/>
            <c:bubble3D val="0"/>
            <c:spPr>
              <a:solidFill>
                <a:schemeClr val="accent4">
                  <a:lumMod val="20000"/>
                  <a:lumOff val="80000"/>
                </a:schemeClr>
              </a:solidFill>
              <a:ln w="19050">
                <a:solidFill>
                  <a:schemeClr val="dk1">
                    <a:tint val="88500"/>
                  </a:schemeClr>
                </a:solidFill>
              </a:ln>
              <a:effectLst/>
            </c:spPr>
            <c:extLst>
              <c:ext xmlns:c16="http://schemas.microsoft.com/office/drawing/2014/chart" uri="{C3380CC4-5D6E-409C-BE32-E72D297353CC}">
                <c16:uniqueId val="{00000029-D5FB-4CF1-A74F-82F91F725F8D}"/>
              </c:ext>
            </c:extLst>
          </c:dPt>
          <c:dLbls>
            <c:dLbl>
              <c:idx val="0"/>
              <c:layout>
                <c:manualLayout>
                  <c:x val="8.4179454689469503E-3"/>
                  <c:y val="-4.97604164376549E-2"/>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5">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D5FB-4CF1-A74F-82F91F725F8D}"/>
                </c:ext>
              </c:extLst>
            </c:dLbl>
            <c:dLbl>
              <c:idx val="1"/>
              <c:layout>
                <c:manualLayout>
                  <c:x val="1.12239272919293E-2"/>
                  <c:y val="-1.38223378993486E-2"/>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5">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D5FB-4CF1-A74F-82F91F725F8D}"/>
                </c:ext>
              </c:extLst>
            </c:dLbl>
            <c:dLbl>
              <c:idx val="2"/>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6">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D5FB-4CF1-A74F-82F91F725F8D}"/>
                </c:ext>
              </c:extLst>
            </c:dLbl>
            <c:dLbl>
              <c:idx val="3"/>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6">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D5FB-4CF1-A74F-82F91F725F8D}"/>
                </c:ext>
              </c:extLst>
            </c:dLbl>
            <c:dLbl>
              <c:idx val="4"/>
              <c:layout>
                <c:manualLayout>
                  <c:x val="4.7701690990699402E-2"/>
                  <c:y val="4.4231481277915402E-2"/>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6">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D5FB-4CF1-A74F-82F91F725F8D}"/>
                </c:ext>
              </c:extLst>
            </c:dLbl>
            <c:dLbl>
              <c:idx val="5"/>
              <c:layout>
                <c:manualLayout>
                  <c:x val="-1.4029909114911599E-2"/>
                  <c:y val="-3.31736109584366E-2"/>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6">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D5FB-4CF1-A74F-82F91F725F8D}"/>
                </c:ext>
              </c:extLst>
            </c:dLbl>
            <c:dLbl>
              <c:idx val="6"/>
              <c:layout>
                <c:manualLayout>
                  <c:x val="4.2089727344733702E-3"/>
                  <c:y val="4.97603076003484E-2"/>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6">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15:layout>
                    <c:manualLayout>
                      <c:w val="0.16274694573297399"/>
                      <c:h val="8.0307783195215199E-2"/>
                    </c:manualLayout>
                  </c15:layout>
                </c:ext>
                <c:ext xmlns:c16="http://schemas.microsoft.com/office/drawing/2014/chart" uri="{C3380CC4-5D6E-409C-BE32-E72D297353CC}">
                  <c16:uniqueId val="{0000000D-D5FB-4CF1-A74F-82F91F725F8D}"/>
                </c:ext>
              </c:extLst>
            </c:dLbl>
            <c:dLbl>
              <c:idx val="7"/>
              <c:delete val="1"/>
              <c:extLst>
                <c:ext xmlns:c15="http://schemas.microsoft.com/office/drawing/2012/chart" uri="{CE6537A1-D6FC-4f65-9D91-7224C49458BB}"/>
                <c:ext xmlns:c16="http://schemas.microsoft.com/office/drawing/2014/chart" uri="{C3380CC4-5D6E-409C-BE32-E72D297353CC}">
                  <c16:uniqueId val="{0000000F-D5FB-4CF1-A74F-82F91F725F8D}"/>
                </c:ext>
              </c:extLst>
            </c:dLbl>
            <c:dLbl>
              <c:idx val="8"/>
              <c:delete val="1"/>
              <c:extLst>
                <c:ext xmlns:c15="http://schemas.microsoft.com/office/drawing/2012/chart" uri="{CE6537A1-D6FC-4f65-9D91-7224C49458BB}"/>
                <c:ext xmlns:c16="http://schemas.microsoft.com/office/drawing/2014/chart" uri="{C3380CC4-5D6E-409C-BE32-E72D297353CC}">
                  <c16:uniqueId val="{00000011-D5FB-4CF1-A74F-82F91F725F8D}"/>
                </c:ext>
              </c:extLst>
            </c:dLbl>
            <c:dLbl>
              <c:idx val="9"/>
              <c:delete val="1"/>
              <c:extLst>
                <c:ext xmlns:c15="http://schemas.microsoft.com/office/drawing/2012/chart" uri="{CE6537A1-D6FC-4f65-9D91-7224C49458BB}"/>
                <c:ext xmlns:c16="http://schemas.microsoft.com/office/drawing/2014/chart" uri="{C3380CC4-5D6E-409C-BE32-E72D297353CC}">
                  <c16:uniqueId val="{00000013-D5FB-4CF1-A74F-82F91F725F8D}"/>
                </c:ext>
              </c:extLst>
            </c:dLbl>
            <c:dLbl>
              <c:idx val="10"/>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5-D5FB-4CF1-A74F-82F91F725F8D}"/>
                </c:ext>
              </c:extLst>
            </c:dLbl>
            <c:dLbl>
              <c:idx val="11"/>
              <c:layout>
                <c:manualLayout>
                  <c:x val="-2.5679954255756501E-17"/>
                  <c:y val="0"/>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7-D5FB-4CF1-A74F-82F91F725F8D}"/>
                </c:ext>
              </c:extLst>
            </c:dLbl>
            <c:dLbl>
              <c:idx val="12"/>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9-D5FB-4CF1-A74F-82F91F725F8D}"/>
                </c:ext>
              </c:extLst>
            </c:dLbl>
            <c:dLbl>
              <c:idx val="13"/>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B-D5FB-4CF1-A74F-82F91F725F8D}"/>
                </c:ext>
              </c:extLst>
            </c:dLbl>
            <c:dLbl>
              <c:idx val="14"/>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D-D5FB-4CF1-A74F-82F91F725F8D}"/>
                </c:ext>
              </c:extLst>
            </c:dLbl>
            <c:dLbl>
              <c:idx val="15"/>
              <c:layout>
                <c:manualLayout>
                  <c:x val="-5.1442405820947301E-17"/>
                  <c:y val="3.3173610958436503E-2"/>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1F-D5FB-4CF1-A74F-82F91F725F8D}"/>
                </c:ext>
              </c:extLst>
            </c:dLbl>
            <c:dLbl>
              <c:idx val="16"/>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21-D5FB-4CF1-A74F-82F91F725F8D}"/>
                </c:ext>
              </c:extLst>
            </c:dLbl>
            <c:dLbl>
              <c:idx val="17"/>
              <c:layout>
                <c:manualLayout>
                  <c:x val="-5.1442405820947301E-17"/>
                  <c:y val="3.3173610958436503E-2"/>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23-D5FB-4CF1-A74F-82F91F725F8D}"/>
                </c:ext>
              </c:extLst>
            </c:dLbl>
            <c:dLbl>
              <c:idx val="18"/>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25-D5FB-4CF1-A74F-82F91F725F8D}"/>
                </c:ext>
              </c:extLst>
            </c:dLbl>
            <c:dLbl>
              <c:idx val="19"/>
              <c:layout>
                <c:manualLayout>
                  <c:x val="-5.1442405820947301E-17"/>
                  <c:y val="3.3173610958436503E-2"/>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27-D5FB-4CF1-A74F-82F91F725F8D}"/>
                </c:ext>
              </c:extLst>
            </c:dLbl>
            <c:dLbl>
              <c:idx val="20"/>
              <c:layout>
                <c:manualLayout>
                  <c:x val="-5.1442405820947301E-17"/>
                  <c:y val="-5.8053819177264002E-2"/>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4">
                          <a:lumMod val="75000"/>
                        </a:schemeClr>
                      </a:solidFill>
                      <a:latin typeface="+mn-lt"/>
                      <a:ea typeface="+mn-ea"/>
                      <a:cs typeface="+mn-cs"/>
                    </a:defRPr>
                  </a:pPr>
                  <a:endParaRPr lang="ja-JP"/>
                </a:p>
              </c:txPr>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29-D5FB-4CF1-A74F-82F91F725F8D}"/>
                </c:ext>
              </c:extLst>
            </c:dLbl>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dk1">
                        <a:tint val="88500"/>
                      </a:schemeClr>
                    </a:solidFill>
                    <a:latin typeface="+mn-lt"/>
                    <a:ea typeface="+mn-ea"/>
                    <a:cs typeface="+mn-cs"/>
                  </a:defRPr>
                </a:pPr>
                <a:endParaRPr lang="ja-JP"/>
              </a:p>
            </c:txPr>
            <c:showLegendKey val="0"/>
            <c:showVal val="0"/>
            <c:showCatName val="1"/>
            <c:showSerName val="0"/>
            <c:showPercent val="1"/>
            <c:showBubbleSize val="0"/>
            <c:showLeaderLines val="1"/>
            <c:leaderLines>
              <c:spPr>
                <a:ln w="9525">
                  <a:solidFill>
                    <a:schemeClr val="dk1">
                      <a:tint val="88500"/>
                      <a:lumMod val="60000"/>
                      <a:lumOff val="40000"/>
                    </a:schemeClr>
                  </a:solidFill>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所持リスト!$S$12:$S$40</c15:sqref>
                  </c15:fullRef>
                </c:ext>
              </c:extLst>
              <c:f>(所持リスト!$S$12:$S$21,所持リスト!$S$24:$S$31,所持リスト!$S$37:$S$39)</c:f>
              <c:strCache>
                <c:ptCount val="21"/>
                <c:pt idx="0">
                  <c:v>Daiso</c:v>
                </c:pt>
                <c:pt idx="1">
                  <c:v>Cando</c:v>
                </c:pt>
                <c:pt idx="2">
                  <c:v>　</c:v>
                </c:pt>
                <c:pt idx="3">
                  <c:v>ミミ</c:v>
                </c:pt>
                <c:pt idx="4">
                  <c:v>多肉屋GPK</c:v>
                </c:pt>
                <c:pt idx="5">
                  <c:v>ビオラ</c:v>
                </c:pt>
                <c:pt idx="6">
                  <c:v>尾野バラ園</c:v>
                </c:pt>
                <c:pt idx="7">
                  <c:v>白峯園</c:v>
                </c:pt>
                <c:pt idx="8">
                  <c:v>FUKUTOPO</c:v>
                </c:pt>
                <c:pt idx="9">
                  <c:v>ふうふう</c:v>
                </c:pt>
                <c:pt idx="10">
                  <c:v>Koharu</c:v>
                </c:pt>
                <c:pt idx="11">
                  <c:v>日本花キ</c:v>
                </c:pt>
                <c:pt idx="12">
                  <c:v>見元園芸</c:v>
                </c:pt>
                <c:pt idx="13">
                  <c:v>サボテン相談室</c:v>
                </c:pt>
                <c:pt idx="14">
                  <c:v>道の駅</c:v>
                </c:pt>
                <c:pt idx="15">
                  <c:v>リバスタ</c:v>
                </c:pt>
                <c:pt idx="16">
                  <c:v>hanahana</c:v>
                </c:pt>
                <c:pt idx="17">
                  <c:v>桜庭生花店</c:v>
                </c:pt>
                <c:pt idx="18">
                  <c:v>Flower＆yu</c:v>
                </c:pt>
                <c:pt idx="19">
                  <c:v>しゅうはく</c:v>
                </c:pt>
                <c:pt idx="20">
                  <c:v>xyz</c:v>
                </c:pt>
              </c:strCache>
            </c:strRef>
          </c:cat>
          <c:val>
            <c:numRef>
              <c:extLst>
                <c:ext xmlns:c15="http://schemas.microsoft.com/office/drawing/2012/chart" uri="{02D57815-91ED-43cb-92C2-25804820EDAC}">
                  <c15:fullRef>
                    <c15:sqref>所持リスト!$T$12:$T$40</c15:sqref>
                  </c15:fullRef>
                </c:ext>
              </c:extLst>
              <c:f>(所持リスト!$T$12:$T$21,所持リスト!$T$24:$T$31,所持リスト!$T$37:$T$39)</c:f>
              <c:numCache>
                <c:formatCode>General</c:formatCode>
                <c:ptCount val="21"/>
                <c:pt idx="0">
                  <c:v>20</c:v>
                </c:pt>
                <c:pt idx="1">
                  <c:v>9</c:v>
                </c:pt>
                <c:pt idx="2">
                  <c:v>0</c:v>
                </c:pt>
                <c:pt idx="3">
                  <c:v>80</c:v>
                </c:pt>
                <c:pt idx="4">
                  <c:v>41</c:v>
                </c:pt>
                <c:pt idx="5">
                  <c:v>25</c:v>
                </c:pt>
                <c:pt idx="6">
                  <c:v>18</c:v>
                </c:pt>
                <c:pt idx="7">
                  <c:v>10</c:v>
                </c:pt>
                <c:pt idx="8">
                  <c:v>10</c:v>
                </c:pt>
                <c:pt idx="9">
                  <c:v>12</c:v>
                </c:pt>
                <c:pt idx="10">
                  <c:v>8</c:v>
                </c:pt>
                <c:pt idx="11">
                  <c:v>6</c:v>
                </c:pt>
                <c:pt idx="12">
                  <c:v>3</c:v>
                </c:pt>
                <c:pt idx="13">
                  <c:v>3</c:v>
                </c:pt>
                <c:pt idx="14">
                  <c:v>2</c:v>
                </c:pt>
                <c:pt idx="15">
                  <c:v>1</c:v>
                </c:pt>
                <c:pt idx="16">
                  <c:v>1</c:v>
                </c:pt>
                <c:pt idx="17">
                  <c:v>1</c:v>
                </c:pt>
                <c:pt idx="18">
                  <c:v>16</c:v>
                </c:pt>
                <c:pt idx="19">
                  <c:v>10</c:v>
                </c:pt>
                <c:pt idx="20">
                  <c:v>10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2A-D5FB-4CF1-A74F-82F91F725F8D}"/>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extLst>
      <c:ext uri="{0b15fc19-7d7d-44ad-8c2d-2c3a37ce22c3}">
        <chartProps xmlns="https://web.wps.cn/et/2018/main" chartId="{933b7491-3b0f-4d1b-8132-ad51f58794d5}"/>
      </c:ext>
    </c:extLst>
  </c:chart>
  <c:spPr>
    <a:solidFill>
      <a:schemeClr val="bg1"/>
    </a:solidFill>
    <a:ln w="9525" cap="flat" cmpd="sng" algn="ctr">
      <a:noFill/>
      <a:round/>
    </a:ln>
    <a:effectLst/>
  </c:spPr>
  <c:txPr>
    <a:bodyPr/>
    <a:lstStyle/>
    <a:p>
      <a:pPr>
        <a:defRPr lang="ja-JP"/>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pieChart>
        <c:varyColors val="1"/>
        <c:ser>
          <c:idx val="0"/>
          <c:order val="0"/>
          <c:spPr>
            <a:solidFill>
              <a:schemeClr val="lt1"/>
            </a:solidFill>
            <a:ln w="19050">
              <a:solidFill>
                <a:schemeClr val="dk1">
                  <a:tint val="88500"/>
                </a:schemeClr>
              </a:solidFill>
            </a:ln>
            <a:effectLst/>
          </c:spPr>
          <c:dPt>
            <c:idx val="0"/>
            <c:bubble3D val="0"/>
            <c:spPr>
              <a:solidFill>
                <a:schemeClr val="accent6">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1-4992-48B4-8A32-66779EBB322F}"/>
              </c:ext>
            </c:extLst>
          </c:dPt>
          <c:dPt>
            <c:idx val="1"/>
            <c:bubble3D val="0"/>
            <c:spPr>
              <a:solidFill>
                <a:schemeClr val="accent2">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3-4992-48B4-8A32-66779EBB322F}"/>
              </c:ext>
            </c:extLst>
          </c:dPt>
          <c:dPt>
            <c:idx val="2"/>
            <c:bubble3D val="0"/>
            <c:spPr>
              <a:solidFill>
                <a:schemeClr val="accent5">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5-4992-48B4-8A32-66779EBB322F}"/>
              </c:ext>
            </c:extLst>
          </c:dPt>
          <c:dPt>
            <c:idx val="3"/>
            <c:bubble3D val="0"/>
            <c:spPr>
              <a:solidFill>
                <a:schemeClr val="accent5">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7-4992-48B4-8A32-66779EBB322F}"/>
              </c:ext>
            </c:extLst>
          </c:dPt>
          <c:dPt>
            <c:idx val="4"/>
            <c:bubble3D val="0"/>
            <c:spPr>
              <a:solidFill>
                <a:schemeClr val="accent5">
                  <a:lumMod val="20000"/>
                  <a:lumOff val="80000"/>
                </a:schemeClr>
              </a:solidFill>
              <a:ln w="19050">
                <a:solidFill>
                  <a:schemeClr val="dk1">
                    <a:tint val="88500"/>
                  </a:schemeClr>
                </a:solidFill>
              </a:ln>
              <a:effectLst/>
            </c:spPr>
            <c:extLst>
              <c:ext xmlns:c16="http://schemas.microsoft.com/office/drawing/2014/chart" uri="{C3380CC4-5D6E-409C-BE32-E72D297353CC}">
                <c16:uniqueId val="{00000009-4992-48B4-8A32-66779EBB322F}"/>
              </c:ext>
            </c:extLst>
          </c:dPt>
          <c:dLbls>
            <c:dLbl>
              <c:idx val="0"/>
              <c:layout>
                <c:manualLayout>
                  <c:x val="-0.251557937912813"/>
                  <c:y val="-8.6176220335794196E-2"/>
                </c:manualLayout>
              </c:layout>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accent6">
                          <a:lumMod val="75000"/>
                        </a:schemeClr>
                      </a:solidFill>
                      <a:latin typeface="Meiryo UI" panose="020B0604030504040204" charset="-128"/>
                      <a:ea typeface="Meiryo UI" panose="020B0604030504040204" charset="-128"/>
                      <a:cs typeface="+mn-cs"/>
                    </a:defRPr>
                  </a:pPr>
                  <a:endParaRPr lang="ja-JP"/>
                </a:p>
              </c:txPr>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351922049625217"/>
                      <c:h val="0.45447432135972299"/>
                    </c:manualLayout>
                  </c15:layout>
                </c:ext>
                <c:ext xmlns:c16="http://schemas.microsoft.com/office/drawing/2014/chart" uri="{C3380CC4-5D6E-409C-BE32-E72D297353CC}">
                  <c16:uniqueId val="{00000001-4992-48B4-8A32-66779EBB322F}"/>
                </c:ext>
              </c:extLst>
            </c:dLbl>
            <c:dLbl>
              <c:idx val="1"/>
              <c:layout>
                <c:manualLayout>
                  <c:x val="0.109448751701197"/>
                  <c:y val="0.11316816422775999"/>
                </c:manualLayout>
              </c:layout>
              <c:spPr>
                <a:noFill/>
                <a:ln>
                  <a:noFill/>
                </a:ln>
                <a:effectLst/>
              </c:spPr>
              <c:txPr>
                <a:bodyPr rot="0" spcFirstLastPara="1" vertOverflow="ellipsis" vert="horz" wrap="square" lIns="38100" tIns="19050" rIns="38100" bIns="19050" anchor="ctr" anchorCtr="1">
                  <a:noAutofit/>
                </a:bodyPr>
                <a:lstStyle/>
                <a:p>
                  <a:pPr>
                    <a:defRPr lang="ja-JP" sz="900" b="1" i="0" u="none" strike="noStrike" kern="1200" baseline="0">
                      <a:solidFill>
                        <a:schemeClr val="accent2">
                          <a:lumMod val="75000"/>
                        </a:schemeClr>
                      </a:solidFill>
                      <a:latin typeface="Meiryo UI" panose="020B0604030504040204" charset="-128"/>
                      <a:ea typeface="Meiryo UI" panose="020B0604030504040204" charset="-128"/>
                      <a:cs typeface="+mn-cs"/>
                    </a:defRPr>
                  </a:pPr>
                  <a:endParaRPr lang="ja-JP"/>
                </a:p>
              </c:txPr>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32577958591061701"/>
                      <c:h val="0.288854317895263"/>
                    </c:manualLayout>
                  </c15:layout>
                </c:ext>
                <c:ext xmlns:c16="http://schemas.microsoft.com/office/drawing/2014/chart" uri="{C3380CC4-5D6E-409C-BE32-E72D297353CC}">
                  <c16:uniqueId val="{00000003-4992-48B4-8A32-66779EBB322F}"/>
                </c:ext>
              </c:extLst>
            </c:dLbl>
            <c:dLbl>
              <c:idx val="2"/>
              <c:layout>
                <c:manualLayout>
                  <c:x val="0.21699958377876499"/>
                  <c:y val="0.23380787617572199"/>
                </c:manualLayout>
              </c:layout>
              <c:spPr>
                <a:noFill/>
                <a:ln>
                  <a:noFill/>
                </a:ln>
                <a:effectLst/>
              </c:spPr>
              <c:txPr>
                <a:bodyPr rot="0" spcFirstLastPara="1" vertOverflow="ellipsis" vert="horz" wrap="square" lIns="38100" tIns="19050" rIns="38100" bIns="19050" anchor="ctr" anchorCtr="1">
                  <a:noAutofit/>
                </a:bodyPr>
                <a:lstStyle/>
                <a:p>
                  <a:pPr>
                    <a:defRPr lang="ja-JP" sz="900" b="1" i="0" u="none" strike="noStrike" kern="1200" baseline="0">
                      <a:solidFill>
                        <a:schemeClr val="accent5">
                          <a:lumMod val="75000"/>
                        </a:schemeClr>
                      </a:solidFill>
                      <a:latin typeface="Meiryo UI" panose="020B0604030504040204" charset="-128"/>
                      <a:ea typeface="Meiryo UI" panose="020B0604030504040204" charset="-128"/>
                      <a:cs typeface="+mn-cs"/>
                    </a:defRPr>
                  </a:pPr>
                  <a:endParaRPr lang="ja-JP"/>
                </a:p>
              </c:txPr>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48879923509725298"/>
                      <c:h val="0.20610376985800299"/>
                    </c:manualLayout>
                  </c15:layout>
                </c:ext>
                <c:ext xmlns:c16="http://schemas.microsoft.com/office/drawing/2014/chart" uri="{C3380CC4-5D6E-409C-BE32-E72D297353CC}">
                  <c16:uniqueId val="{00000005-4992-48B4-8A32-66779EBB322F}"/>
                </c:ext>
              </c:extLst>
            </c:dLbl>
            <c:dLbl>
              <c:idx val="3"/>
              <c:layout>
                <c:manualLayout>
                  <c:x val="0.30420845344814401"/>
                  <c:y val="9.7874877378632597E-2"/>
                </c:manualLayout>
              </c:layout>
              <c:tx>
                <c:rich>
                  <a:bodyPr rot="0" spcFirstLastPara="1" vertOverflow="ellipsis" vert="horz" wrap="square" lIns="38100" tIns="19050" rIns="38100" bIns="19050" anchor="ctr" anchorCtr="1">
                    <a:noAutofit/>
                  </a:bodyPr>
                  <a:lstStyle/>
                  <a:p>
                    <a:fld id="{285DFB0B-7761-49C8-8863-9E0F2E4FF4B5}" type="CATEGORYNAME">
                      <a:rPr lang="ja-JP" altLang="en-US"/>
                      <a:pPr/>
                      <a:t>[分類名]</a:t>
                    </a:fld>
                    <a:endParaRPr lang="ja-JP" altLang="en-US"/>
                  </a:p>
                </c:rich>
              </c:tx>
              <c:spPr>
                <a:noFill/>
                <a:ln>
                  <a:noFill/>
                </a:ln>
                <a:effectLst/>
              </c:spPr>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417114750295486"/>
                      <c:h val="0.184247204676701"/>
                    </c:manualLayout>
                  </c15:layout>
                  <c15:dlblFieldTable/>
                  <c15:showDataLabelsRange val="0"/>
                </c:ext>
                <c:ext xmlns:c16="http://schemas.microsoft.com/office/drawing/2014/chart" uri="{C3380CC4-5D6E-409C-BE32-E72D297353CC}">
                  <c16:uniqueId val="{00000007-4992-48B4-8A32-66779EBB322F}"/>
                </c:ext>
              </c:extLst>
            </c:dLbl>
            <c:dLbl>
              <c:idx val="4"/>
              <c:layout>
                <c:manualLayout>
                  <c:x val="4.4812518140473698E-2"/>
                  <c:y val="2.3038632767235501E-2"/>
                </c:manualLayout>
              </c:layout>
              <c:tx>
                <c:rich>
                  <a:bodyPr rot="0" spcFirstLastPara="1" vertOverflow="ellipsis" vert="horz" wrap="square" lIns="38100" tIns="19050" rIns="38100" bIns="19050" anchor="ctr" anchorCtr="1">
                    <a:noAutofit/>
                  </a:bodyPr>
                  <a:lstStyle/>
                  <a:p>
                    <a:fld id="{DA8BE81C-033C-4F31-B276-F059BC34677A}" type="CATEGORYNAME">
                      <a:rPr lang="ja-JP" altLang="en-US"/>
                      <a:pPr/>
                      <a:t>[分類名]</a:t>
                    </a:fld>
                    <a:endParaRPr lang="ja-JP" altLang="en-US"/>
                  </a:p>
                </c:rich>
              </c:tx>
              <c:spPr>
                <a:noFill/>
                <a:ln>
                  <a:noFill/>
                </a:ln>
                <a:effectLst/>
              </c:spPr>
              <c:dLblPos val="bestFit"/>
              <c:showLegendKey val="0"/>
              <c:showVal val="0"/>
              <c:showCatName val="1"/>
              <c:showSerName val="0"/>
              <c:showPercent val="1"/>
              <c:showBubbleSize val="0"/>
              <c:separator>
</c:separator>
              <c:extLst>
                <c:ext xmlns:c15="http://schemas.microsoft.com/office/drawing/2012/chart" uri="{CE6537A1-D6FC-4f65-9D91-7224C49458BB}">
                  <c15:layout>
                    <c:manualLayout>
                      <c:w val="0.44970523222424802"/>
                      <c:h val="0.154474070851847"/>
                    </c:manualLayout>
                  </c15:layout>
                  <c15:dlblFieldTable/>
                  <c15:showDataLabelsRange val="0"/>
                </c:ext>
                <c:ext xmlns:c16="http://schemas.microsoft.com/office/drawing/2014/chart" uri="{C3380CC4-5D6E-409C-BE32-E72D297353CC}">
                  <c16:uniqueId val="{00000009-4992-48B4-8A32-66779EBB322F}"/>
                </c:ext>
              </c:extLst>
            </c:dLbl>
            <c:spPr>
              <a:noFill/>
              <a:ln>
                <a:noFill/>
              </a:ln>
              <a:effectLst/>
            </c:spPr>
            <c:txPr>
              <a:bodyPr rot="0" spcFirstLastPara="1" vertOverflow="ellipsis" vert="horz" wrap="square" lIns="38100" tIns="19050" rIns="38100" bIns="19050" anchor="ctr" anchorCtr="1">
                <a:spAutoFit/>
              </a:bodyPr>
              <a:lstStyle/>
              <a:p>
                <a:pPr>
                  <a:defRPr lang="ja-JP" sz="900" b="1" i="0" u="none" strike="noStrike" kern="1200" baseline="0">
                    <a:solidFill>
                      <a:schemeClr val="dk1">
                        <a:tint val="88500"/>
                      </a:schemeClr>
                    </a:solidFill>
                    <a:latin typeface="Meiryo UI" panose="020B0604030504040204" charset="-128"/>
                    <a:ea typeface="Meiryo UI" panose="020B0604030504040204" charset="-128"/>
                    <a:cs typeface="+mn-cs"/>
                  </a:defRPr>
                </a:pPr>
                <a:endParaRPr lang="ja-JP"/>
              </a:p>
            </c:txPr>
            <c:dLblPos val="inEnd"/>
            <c:showLegendKey val="0"/>
            <c:showVal val="0"/>
            <c:showCatName val="1"/>
            <c:showSerName val="0"/>
            <c:showPercent val="1"/>
            <c:showBubbleSize val="0"/>
            <c:showLeaderLines val="1"/>
            <c:leaderLines>
              <c:spPr>
                <a:ln w="9525" cap="flat" cmpd="sng" algn="ctr">
                  <a:solidFill>
                    <a:schemeClr val="dk1">
                      <a:tint val="88500"/>
                      <a:lumMod val="60000"/>
                      <a:lumOff val="40000"/>
                    </a:schemeClr>
                  </a:solidFill>
                  <a:prstDash val="solid"/>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所持リスト!$V$4:$V$16</c15:sqref>
                  </c15:fullRef>
                </c:ext>
              </c:extLst>
              <c:f>(所持リスト!$V$4:$V$8,所持リスト!$V$16)</c:f>
              <c:strCache>
                <c:ptCount val="6"/>
                <c:pt idx="0">
                  <c:v>エケベリア</c:v>
                </c:pt>
                <c:pt idx="1">
                  <c:v>ミックスベリア</c:v>
                </c:pt>
                <c:pt idx="2">
                  <c:v>セダム</c:v>
                </c:pt>
                <c:pt idx="3">
                  <c:v>クラッスラ</c:v>
                </c:pt>
                <c:pt idx="4">
                  <c:v>グラプトベリア</c:v>
                </c:pt>
                <c:pt idx="5">
                  <c:v>カリシア</c:v>
                </c:pt>
              </c:strCache>
            </c:strRef>
          </c:cat>
          <c:val>
            <c:numRef>
              <c:extLst>
                <c:ext xmlns:c15="http://schemas.microsoft.com/office/drawing/2012/chart" uri="{02D57815-91ED-43cb-92C2-25804820EDAC}">
                  <c15:fullRef>
                    <c15:sqref>所持リスト!$W$4:$W$15</c15:sqref>
                  </c15:fullRef>
                </c:ext>
              </c:extLst>
              <c:f>所持リスト!$W$4:$W$8</c:f>
              <c:numCache>
                <c:formatCode>General</c:formatCode>
                <c:ptCount val="5"/>
                <c:pt idx="0">
                  <c:v>243</c:v>
                </c:pt>
                <c:pt idx="1">
                  <c:v>73</c:v>
                </c:pt>
                <c:pt idx="2">
                  <c:v>61</c:v>
                </c:pt>
                <c:pt idx="3">
                  <c:v>24</c:v>
                </c:pt>
                <c:pt idx="4">
                  <c:v>12</c:v>
                </c:pt>
              </c:numCache>
            </c:numRef>
          </c:val>
          <c:extLst>
            <c:ext xmlns:c16="http://schemas.microsoft.com/office/drawing/2014/chart" uri="{C3380CC4-5D6E-409C-BE32-E72D297353CC}">
              <c16:uniqueId val="{0000000A-4992-48B4-8A32-66779EBB322F}"/>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uri="{0b15fc19-7d7d-44ad-8c2d-2c3a37ce22c3}">
        <chartProps xmlns="https://web.wps.cn/et/2018/main" chartId="{f1751f52-d438-4ce9-b8fd-4cd9262c866c}"/>
      </c:ext>
    </c:extLst>
  </c:chart>
  <c:spPr>
    <a:solidFill>
      <a:schemeClr val="bg1"/>
    </a:solidFill>
    <a:ln w="9525" cap="flat" cmpd="sng" algn="ctr">
      <a:noFill/>
      <a:prstDash val="solid"/>
      <a:round/>
    </a:ln>
    <a:effectLst/>
  </c:spPr>
  <c:txPr>
    <a:bodyPr/>
    <a:lstStyle/>
    <a:p>
      <a:pPr>
        <a:defRPr lang="ja-JP"/>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style1.xml><?xml version="1.0" encoding="utf-8"?>
<cs:chartStyle xmlns:cs="http://schemas.microsoft.com/office/drawing/2012/chartStyle" xmlns:a="http://schemas.openxmlformats.org/drawingml/2006/main" id="260">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styleClr val="0"/>
    </cs:lnRef>
    <cs:fillRef idx="0"/>
    <cs:effectRef idx="0"/>
    <cs:fontRef idx="minor">
      <cs:styleClr val="0"/>
    </cs:fontRef>
    <cs:defRPr sz="900" b="1" kern="1200"/>
  </cs:dataLabel>
  <cs:dataLabelCallout>
    <cs:lnRef idx="0">
      <cs:styleClr val="0"/>
    </cs:lnRef>
    <cs:fillRef idx="0"/>
    <cs:effectRef idx="0"/>
    <cs:fontRef idx="minor">
      <cs:styleClr val="0"/>
    </cs:fontRef>
    <cs:spPr>
      <a:solidFill>
        <a:schemeClr val="lt1"/>
      </a:solidFill>
      <a:ln>
        <a:solidFill>
          <a:schemeClr val="phClr"/>
        </a:solidFill>
      </a:ln>
    </cs:spPr>
    <cs:defRPr sz="900" b="1" kern="1200"/>
    <cs:bodyPr rot="0" spcFirstLastPara="1" vertOverflow="clip" horzOverflow="clip" vert="horz" wrap="square" lIns="36576" tIns="18288" rIns="36576" bIns="18288" anchor="ctr" anchorCtr="1">
      <a:spAutoFit/>
    </cs:bodyPr>
  </cs:dataLabelCallout>
  <cs:dataPoint>
    <cs:lnRef idx="0">
      <cs:styleClr val="0"/>
    </cs:lnRef>
    <cs:fillRef idx="0"/>
    <cs:effectRef idx="0"/>
    <cs:fontRef idx="minor">
      <a:schemeClr val="dk1"/>
    </cs:fontRef>
    <cs:spPr>
      <a:solidFill>
        <a:schemeClr val="lt1"/>
      </a:solidFill>
      <a:ln w="19050">
        <a:solidFill>
          <a:schemeClr val="phClr"/>
        </a:solidFill>
      </a:ln>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23</xdr:col>
      <xdr:colOff>158751</xdr:colOff>
      <xdr:row>1</xdr:row>
      <xdr:rowOff>95660</xdr:rowOff>
    </xdr:from>
    <xdr:to>
      <xdr:col>25</xdr:col>
      <xdr:colOff>119708</xdr:colOff>
      <xdr:row>10</xdr:row>
      <xdr:rowOff>169652</xdr:rowOff>
    </xdr:to>
    <xdr:grpSp>
      <xdr:nvGrpSpPr>
        <xdr:cNvPr id="8" name="グループ化 7">
          <a:extLst>
            <a:ext uri="{FF2B5EF4-FFF2-40B4-BE49-F238E27FC236}">
              <a16:creationId xmlns:a16="http://schemas.microsoft.com/office/drawing/2014/main" id="{00000000-0008-0000-0000-000008000000}"/>
            </a:ext>
          </a:extLst>
        </xdr:cNvPr>
        <xdr:cNvGrpSpPr/>
      </xdr:nvGrpSpPr>
      <xdr:grpSpPr>
        <a:xfrm>
          <a:off x="16217901" y="267110"/>
          <a:ext cx="2145357" cy="1788492"/>
          <a:chOff x="11385551" y="267110"/>
          <a:chExt cx="2145357" cy="1661492"/>
        </a:xfrm>
      </xdr:grpSpPr>
      <xdr:graphicFrame macro="">
        <xdr:nvGraphicFramePr>
          <xdr:cNvPr id="2" name="グラフ 1">
            <a:extLst>
              <a:ext uri="{FF2B5EF4-FFF2-40B4-BE49-F238E27FC236}">
                <a16:creationId xmlns:a16="http://schemas.microsoft.com/office/drawing/2014/main" id="{00000000-0008-0000-0000-000002000000}"/>
              </a:ext>
            </a:extLst>
          </xdr:cNvPr>
          <xdr:cNvGraphicFramePr/>
        </xdr:nvGraphicFramePr>
        <xdr:xfrm>
          <a:off x="11584659" y="267110"/>
          <a:ext cx="1946249" cy="1661492"/>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3" name="テキスト ボックス 2">
            <a:extLst>
              <a:ext uri="{FF2B5EF4-FFF2-40B4-BE49-F238E27FC236}">
                <a16:creationId xmlns:a16="http://schemas.microsoft.com/office/drawing/2014/main" id="{00000000-0008-0000-0000-000003000000}"/>
              </a:ext>
            </a:extLst>
          </xdr:cNvPr>
          <xdr:cNvSpPr txBox="1"/>
        </xdr:nvSpPr>
        <xdr:spPr>
          <a:xfrm>
            <a:off x="11385551" y="332642"/>
            <a:ext cx="912934" cy="297962"/>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800" b="1">
                <a:latin typeface="Meiryo UI" panose="020B0604030504040204" charset="-128"/>
                <a:ea typeface="Meiryo UI" panose="020B0604030504040204" charset="-128"/>
              </a:rPr>
              <a:t>購入元グラフ</a:t>
            </a:r>
          </a:p>
        </xdr:txBody>
      </xdr:sp>
    </xdr:grpSp>
    <xdr:clientData/>
  </xdr:twoCellAnchor>
  <xdr:twoCellAnchor>
    <xdr:from>
      <xdr:col>23</xdr:col>
      <xdr:colOff>259522</xdr:colOff>
      <xdr:row>12</xdr:row>
      <xdr:rowOff>76123</xdr:rowOff>
    </xdr:from>
    <xdr:to>
      <xdr:col>27</xdr:col>
      <xdr:colOff>459154</xdr:colOff>
      <xdr:row>39</xdr:row>
      <xdr:rowOff>127000</xdr:rowOff>
    </xdr:to>
    <xdr:grpSp>
      <xdr:nvGrpSpPr>
        <xdr:cNvPr id="7" name="グループ化 6">
          <a:extLst>
            <a:ext uri="{FF2B5EF4-FFF2-40B4-BE49-F238E27FC236}">
              <a16:creationId xmlns:a16="http://schemas.microsoft.com/office/drawing/2014/main" id="{00000000-0008-0000-0000-000007000000}"/>
            </a:ext>
          </a:extLst>
        </xdr:cNvPr>
        <xdr:cNvGrpSpPr/>
      </xdr:nvGrpSpPr>
      <xdr:grpSpPr>
        <a:xfrm>
          <a:off x="16318672" y="2343073"/>
          <a:ext cx="4568432" cy="5194377"/>
          <a:chOff x="11664122" y="2190673"/>
          <a:chExt cx="4568432" cy="4610177"/>
        </a:xfrm>
      </xdr:grpSpPr>
      <xdr:graphicFrame macro="">
        <xdr:nvGraphicFramePr>
          <xdr:cNvPr id="4" name="グラフ 3">
            <a:extLst>
              <a:ext uri="{FF2B5EF4-FFF2-40B4-BE49-F238E27FC236}">
                <a16:creationId xmlns:a16="http://schemas.microsoft.com/office/drawing/2014/main" id="{00000000-0008-0000-0000-000004000000}"/>
              </a:ext>
            </a:extLst>
          </xdr:cNvPr>
          <xdr:cNvGraphicFramePr/>
        </xdr:nvGraphicFramePr>
        <xdr:xfrm>
          <a:off x="11701891" y="2190673"/>
          <a:ext cx="4530663" cy="4610177"/>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5" name="テキスト ボックス 4">
            <a:extLst>
              <a:ext uri="{FF2B5EF4-FFF2-40B4-BE49-F238E27FC236}">
                <a16:creationId xmlns:a16="http://schemas.microsoft.com/office/drawing/2014/main" id="{00000000-0008-0000-0000-000005000000}"/>
              </a:ext>
            </a:extLst>
          </xdr:cNvPr>
          <xdr:cNvSpPr txBox="1"/>
        </xdr:nvSpPr>
        <xdr:spPr>
          <a:xfrm>
            <a:off x="11664122" y="2388450"/>
            <a:ext cx="1382090" cy="300191"/>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1">
                <a:latin typeface="Meiryo UI" panose="020B0604030504040204" charset="-128"/>
                <a:ea typeface="Meiryo UI" panose="020B0604030504040204" charset="-128"/>
              </a:rPr>
              <a:t>購入先名称</a:t>
            </a:r>
          </a:p>
        </xdr:txBody>
      </xdr:sp>
      <xdr:sp macro="" textlink="F2">
        <xdr:nvSpPr>
          <xdr:cNvPr id="6" name="テキスト ボックス 5">
            <a:extLst>
              <a:ext uri="{FF2B5EF4-FFF2-40B4-BE49-F238E27FC236}">
                <a16:creationId xmlns:a16="http://schemas.microsoft.com/office/drawing/2014/main" id="{00000000-0008-0000-0000-000006000000}"/>
              </a:ext>
            </a:extLst>
          </xdr:cNvPr>
          <xdr:cNvSpPr txBox="1"/>
        </xdr:nvSpPr>
        <xdr:spPr>
          <a:xfrm>
            <a:off x="13347148" y="4343145"/>
            <a:ext cx="1304787" cy="299640"/>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5E2CED-08F3-4829-898E-5D979EF329B9}" type="TxLink">
              <a:rPr kumimoji="1" lang="ja-JP" altLang="en-US" sz="1600" b="1" i="0" u="none" strike="noStrike">
                <a:solidFill>
                  <a:srgbClr val="FF0000"/>
                </a:solidFill>
                <a:latin typeface="Meiryo UI" panose="020B0604030504040204" charset="-128"/>
                <a:ea typeface="Meiryo UI" panose="020B0604030504040204" charset="-128"/>
              </a:rPr>
              <a:pPr algn="ctr"/>
              <a:t>全451品種</a:t>
            </a:fld>
            <a:endParaRPr kumimoji="1" lang="ja-JP" altLang="en-US" sz="1600" b="1">
              <a:latin typeface="Meiryo UI" panose="020B0604030504040204" charset="-128"/>
              <a:ea typeface="Meiryo UI" panose="020B0604030504040204" charset="-128"/>
            </a:endParaRPr>
          </a:p>
        </xdr:txBody>
      </xdr:sp>
    </xdr:grpSp>
    <xdr:clientData/>
  </xdr:twoCellAnchor>
  <xdr:twoCellAnchor>
    <xdr:from>
      <xdr:col>25</xdr:col>
      <xdr:colOff>41690</xdr:colOff>
      <xdr:row>1</xdr:row>
      <xdr:rowOff>68052</xdr:rowOff>
    </xdr:from>
    <xdr:to>
      <xdr:col>27</xdr:col>
      <xdr:colOff>2647</xdr:colOff>
      <xdr:row>10</xdr:row>
      <xdr:rowOff>142044</xdr:rowOff>
    </xdr:to>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18285240" y="239502"/>
          <a:ext cx="2145357" cy="1788492"/>
          <a:chOff x="15800195" y="266026"/>
          <a:chExt cx="2147835" cy="1653748"/>
        </a:xfrm>
      </xdr:grpSpPr>
      <xdr:graphicFrame macro="">
        <xdr:nvGraphicFramePr>
          <xdr:cNvPr id="10" name="グラフ 9">
            <a:extLst>
              <a:ext uri="{FF2B5EF4-FFF2-40B4-BE49-F238E27FC236}">
                <a16:creationId xmlns:a16="http://schemas.microsoft.com/office/drawing/2014/main" id="{00000000-0008-0000-0000-00000A000000}"/>
              </a:ext>
            </a:extLst>
          </xdr:cNvPr>
          <xdr:cNvGraphicFramePr/>
        </xdr:nvGraphicFramePr>
        <xdr:xfrm>
          <a:off x="15999303" y="266026"/>
          <a:ext cx="1948727" cy="1653748"/>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15800195" y="331558"/>
            <a:ext cx="914173" cy="297962"/>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800" b="1">
                <a:latin typeface="Meiryo UI" panose="020B0604030504040204" charset="-128"/>
                <a:ea typeface="Meiryo UI" panose="020B0604030504040204" charset="-128"/>
              </a:rPr>
              <a:t>属グラフ</a:t>
            </a:r>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19</xdr:row>
          <xdr:rowOff>0</xdr:rowOff>
        </xdr:from>
        <xdr:to>
          <xdr:col>7</xdr:col>
          <xdr:colOff>0</xdr:colOff>
          <xdr:row>20</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フォルダ</a:t>
              </a:r>
            </a:p>
            <a:p>
              <a:pPr algn="ctr" rtl="0">
                <a:defRPr sz="1000"/>
              </a:pPr>
              <a:endParaRPr lang="ja-JP" altLang="en-US" sz="8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19</xdr:row>
          <xdr:rowOff>0</xdr:rowOff>
        </xdr:from>
        <xdr:to>
          <xdr:col>15</xdr:col>
          <xdr:colOff>0</xdr:colOff>
          <xdr:row>20</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フォルダ</a:t>
              </a:r>
            </a:p>
            <a:p>
              <a:pPr algn="ctr" rtl="0">
                <a:defRPr sz="1000"/>
              </a:pPr>
              <a:endParaRPr lang="ja-JP" altLang="en-US" sz="8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0</xdr:colOff>
          <xdr:row>19</xdr:row>
          <xdr:rowOff>0</xdr:rowOff>
        </xdr:from>
        <xdr:to>
          <xdr:col>23</xdr:col>
          <xdr:colOff>0</xdr:colOff>
          <xdr:row>20</xdr:row>
          <xdr:rowOff>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フォルダ</a:t>
              </a:r>
            </a:p>
            <a:p>
              <a:pPr algn="ctr" rtl="0">
                <a:defRPr sz="1000"/>
              </a:pPr>
              <a:endParaRPr lang="ja-JP" altLang="en-US" sz="8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0</xdr:colOff>
          <xdr:row>19</xdr:row>
          <xdr:rowOff>0</xdr:rowOff>
        </xdr:from>
        <xdr:to>
          <xdr:col>31</xdr:col>
          <xdr:colOff>0</xdr:colOff>
          <xdr:row>20</xdr:row>
          <xdr:rowOff>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フォルダ</a:t>
              </a:r>
            </a:p>
            <a:p>
              <a:pPr algn="ctr" rtl="0">
                <a:defRPr sz="1000"/>
              </a:pPr>
              <a:endParaRPr lang="ja-JP" altLang="en-US" sz="800" b="0" i="0" u="none" strike="noStrike" baseline="0">
                <a:solidFill>
                  <a:srgbClr val="000000"/>
                </a:solidFill>
                <a:latin typeface="Meiryo UI"/>
                <a:ea typeface="Meiryo U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0</xdr:colOff>
          <xdr:row>19</xdr:row>
          <xdr:rowOff>0</xdr:rowOff>
        </xdr:from>
        <xdr:to>
          <xdr:col>39</xdr:col>
          <xdr:colOff>0</xdr:colOff>
          <xdr:row>20</xdr:row>
          <xdr:rowOff>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フォルダ</a:t>
              </a:r>
            </a:p>
            <a:p>
              <a:pPr algn="ctr" rtl="0">
                <a:defRPr sz="1000"/>
              </a:pPr>
              <a:endParaRPr lang="ja-JP" altLang="en-US" sz="800" b="0" i="0" u="none" strike="noStrike" baseline="0">
                <a:solidFill>
                  <a:srgbClr val="000000"/>
                </a:solidFill>
                <a:latin typeface="Meiryo UI"/>
                <a:ea typeface="Meiryo U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23</xdr:row>
          <xdr:rowOff>152400</xdr:rowOff>
        </xdr:from>
        <xdr:to>
          <xdr:col>3</xdr:col>
          <xdr:colOff>0</xdr:colOff>
          <xdr:row>25</xdr:row>
          <xdr:rowOff>12700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Preview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120650</xdr:colOff>
          <xdr:row>23</xdr:row>
          <xdr:rowOff>152400</xdr:rowOff>
        </xdr:from>
        <xdr:to>
          <xdr:col>4</xdr:col>
          <xdr:colOff>120650</xdr:colOff>
          <xdr:row>25</xdr:row>
          <xdr:rowOff>12700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本番</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120650</xdr:colOff>
          <xdr:row>23</xdr:row>
          <xdr:rowOff>165100</xdr:rowOff>
        </xdr:from>
        <xdr:to>
          <xdr:col>12</xdr:col>
          <xdr:colOff>120650</xdr:colOff>
          <xdr:row>25</xdr:row>
          <xdr:rowOff>25400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本番</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876300</xdr:colOff>
          <xdr:row>23</xdr:row>
          <xdr:rowOff>165100</xdr:rowOff>
        </xdr:from>
        <xdr:to>
          <xdr:col>10</xdr:col>
          <xdr:colOff>603250</xdr:colOff>
          <xdr:row>25</xdr:row>
          <xdr:rowOff>25400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Preview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133350</xdr:colOff>
          <xdr:row>23</xdr:row>
          <xdr:rowOff>165100</xdr:rowOff>
        </xdr:from>
        <xdr:to>
          <xdr:col>20</xdr:col>
          <xdr:colOff>133350</xdr:colOff>
          <xdr:row>25</xdr:row>
          <xdr:rowOff>25400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300-00000D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本番</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6350</xdr:colOff>
          <xdr:row>23</xdr:row>
          <xdr:rowOff>165100</xdr:rowOff>
        </xdr:from>
        <xdr:to>
          <xdr:col>19</xdr:col>
          <xdr:colOff>6350</xdr:colOff>
          <xdr:row>25</xdr:row>
          <xdr:rowOff>25400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Preview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158750</xdr:colOff>
          <xdr:row>23</xdr:row>
          <xdr:rowOff>165100</xdr:rowOff>
        </xdr:from>
        <xdr:to>
          <xdr:col>28</xdr:col>
          <xdr:colOff>158750</xdr:colOff>
          <xdr:row>25</xdr:row>
          <xdr:rowOff>25400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本番</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31750</xdr:colOff>
          <xdr:row>23</xdr:row>
          <xdr:rowOff>165100</xdr:rowOff>
        </xdr:from>
        <xdr:to>
          <xdr:col>27</xdr:col>
          <xdr:colOff>31750</xdr:colOff>
          <xdr:row>25</xdr:row>
          <xdr:rowOff>25400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Preview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158750</xdr:colOff>
          <xdr:row>23</xdr:row>
          <xdr:rowOff>165100</xdr:rowOff>
        </xdr:from>
        <xdr:to>
          <xdr:col>36</xdr:col>
          <xdr:colOff>158750</xdr:colOff>
          <xdr:row>25</xdr:row>
          <xdr:rowOff>25400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300-00001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本番</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31750</xdr:colOff>
          <xdr:row>23</xdr:row>
          <xdr:rowOff>165100</xdr:rowOff>
        </xdr:from>
        <xdr:to>
          <xdr:col>35</xdr:col>
          <xdr:colOff>31750</xdr:colOff>
          <xdr:row>25</xdr:row>
          <xdr:rowOff>25400</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300-000012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ja-JP" altLang="en-US" sz="800" b="0" i="0" u="none" strike="noStrike" baseline="0">
                  <a:solidFill>
                    <a:srgbClr val="000000"/>
                  </a:solidFill>
                  <a:latin typeface="Meiryo UI"/>
                  <a:ea typeface="Meiryo UI"/>
                </a:rPr>
                <a:t>Preview</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G:\&#12510;&#12452;&#12489;&#12521;&#12452;&#12502;\&#22810;&#32905;&#12522;&#12473;&#12488;\&#22810;&#32905;&#12522;&#12473;&#12488;.xlsx" TargetMode="External"/><Relationship Id="rId1" Type="http://schemas.openxmlformats.org/officeDocument/2006/relationships/externalLinkPath" Target="&#22810;&#32905;&#12522;&#12473;&#1248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所持リスト"/>
      <sheetName val="別名リスト"/>
      <sheetName val="説明用文章"/>
      <sheetName val="設定ファイル"/>
      <sheetName val="購入者リスト"/>
      <sheetName val="フォロワー"/>
      <sheetName val="販売実績"/>
      <sheetName val="帳簿"/>
      <sheetName val="メルカリ多肉屋さん"/>
      <sheetName val="26-02-27"/>
      <sheetName val="26-01-30"/>
      <sheetName val="25-11-28"/>
      <sheetName val="25-11-07"/>
    </sheetNames>
    <sheetDataSet>
      <sheetData sheetId="0" refreshError="1"/>
      <sheetData sheetId="1" refreshError="1"/>
      <sheetData sheetId="2" refreshError="1">
        <row r="50">
          <cell r="B50" t="str">
            <v>青鬼</v>
          </cell>
        </row>
        <row r="51">
          <cell r="B51" t="str">
            <v>赤鬼</v>
          </cell>
        </row>
        <row r="52">
          <cell r="B52" t="str">
            <v>アガボイデスルブラ</v>
          </cell>
        </row>
        <row r="53">
          <cell r="B53" t="str">
            <v>アプス</v>
          </cell>
        </row>
        <row r="54">
          <cell r="B54" t="str">
            <v>アメイジンググレイス</v>
          </cell>
        </row>
        <row r="55">
          <cell r="B55" t="str">
            <v>アロマティカス</v>
          </cell>
        </row>
        <row r="56">
          <cell r="B56" t="str">
            <v>アルビパルマ</v>
          </cell>
        </row>
        <row r="57">
          <cell r="B57" t="str">
            <v>アルフレッド</v>
          </cell>
        </row>
        <row r="58">
          <cell r="B58" t="str">
            <v>アンジェリーナ</v>
          </cell>
        </row>
        <row r="59">
          <cell r="B59" t="str">
            <v>あんみつ姫</v>
          </cell>
        </row>
        <row r="60">
          <cell r="B60" t="str">
            <v>イーゲルコット</v>
          </cell>
        </row>
        <row r="61">
          <cell r="B61" t="str">
            <v>石の花</v>
          </cell>
        </row>
        <row r="62">
          <cell r="B62" t="str">
            <v>いばら時計</v>
          </cell>
        </row>
        <row r="63">
          <cell r="B63" t="str">
            <v>インディカ</v>
          </cell>
        </row>
        <row r="64">
          <cell r="B64" t="str">
            <v>ヴィヴァーチェ</v>
          </cell>
        </row>
        <row r="65">
          <cell r="B65" t="str">
            <v>エリザベス</v>
          </cell>
        </row>
        <row r="66">
          <cell r="B66" t="str">
            <v>オウンスロー</v>
          </cell>
        </row>
        <row r="67">
          <cell r="B67" t="str">
            <v>オーロラ</v>
          </cell>
        </row>
        <row r="68">
          <cell r="B68" t="str">
            <v>オカタイトゴメ</v>
          </cell>
        </row>
        <row r="69">
          <cell r="B69" t="str">
            <v>オーストラリアキャプテンヘイ</v>
          </cell>
        </row>
        <row r="70">
          <cell r="B70" t="str">
            <v>乙女心</v>
          </cell>
        </row>
        <row r="71">
          <cell r="B71" t="str">
            <v>オパリナxアメトルム</v>
          </cell>
        </row>
        <row r="72">
          <cell r="B72"/>
        </row>
        <row r="73">
          <cell r="B73" t="str">
            <v>片想い</v>
          </cell>
        </row>
        <row r="74">
          <cell r="B74" t="str">
            <v>カリシアショーン</v>
          </cell>
        </row>
        <row r="75">
          <cell r="B75" t="str">
            <v>カリシアロザート</v>
          </cell>
        </row>
        <row r="76">
          <cell r="B76" t="str">
            <v>カリフォルニアサンセット</v>
          </cell>
        </row>
        <row r="77">
          <cell r="B77" t="str">
            <v>キュービックフロスト</v>
          </cell>
        </row>
        <row r="78">
          <cell r="B78" t="str">
            <v>銀明色</v>
          </cell>
        </row>
        <row r="79">
          <cell r="B79" t="str">
            <v>グラバツム</v>
          </cell>
        </row>
        <row r="80">
          <cell r="B80" t="str">
            <v>クリスタルローズ</v>
          </cell>
        </row>
        <row r="81">
          <cell r="B81" t="str">
            <v>クリスペートビューティー</v>
          </cell>
        </row>
        <row r="82">
          <cell r="B82" t="str">
            <v>クリームローズ</v>
          </cell>
        </row>
        <row r="83">
          <cell r="B83" t="str">
            <v>グリーンネックレス</v>
          </cell>
        </row>
        <row r="84">
          <cell r="B84" t="str">
            <v>黒銀姫</v>
          </cell>
        </row>
        <row r="85">
          <cell r="B85" t="str">
            <v>月花美人</v>
          </cell>
        </row>
        <row r="86">
          <cell r="B86" t="str">
            <v>原種ザラゴーサ</v>
          </cell>
        </row>
        <row r="87">
          <cell r="B87" t="str">
            <v>恋心</v>
          </cell>
        </row>
        <row r="88">
          <cell r="B88" t="str">
            <v>恋煩い</v>
          </cell>
        </row>
        <row r="89">
          <cell r="B89" t="str">
            <v>小雪の渚</v>
          </cell>
        </row>
        <row r="90">
          <cell r="B90"/>
        </row>
        <row r="91">
          <cell r="B91" t="str">
            <v>桜色カリシア</v>
          </cell>
        </row>
        <row r="92">
          <cell r="B92" t="str">
            <v>桜鬼</v>
          </cell>
        </row>
        <row r="93">
          <cell r="B93" t="str">
            <v>珊瑚の花</v>
          </cell>
        </row>
        <row r="94">
          <cell r="B94" t="str">
            <v>紫紺の矢</v>
          </cell>
        </row>
        <row r="95">
          <cell r="B95" t="str">
            <v>七福神</v>
          </cell>
        </row>
        <row r="96">
          <cell r="B96" t="str">
            <v>霜花</v>
          </cell>
        </row>
        <row r="97">
          <cell r="B97" t="str">
            <v>芍薬牡丹</v>
          </cell>
        </row>
        <row r="98">
          <cell r="B98" t="str">
            <v>樹氷</v>
          </cell>
        </row>
        <row r="99">
          <cell r="B99" t="str">
            <v>ジュール</v>
          </cell>
        </row>
        <row r="100">
          <cell r="B100" t="str">
            <v>スノーエンジェル</v>
          </cell>
        </row>
        <row r="101">
          <cell r="B101" t="str">
            <v>スノーミルフィーユ</v>
          </cell>
        </row>
        <row r="102">
          <cell r="B102" t="str">
            <v>スプリングワンダーxだるま秀麗</v>
          </cell>
        </row>
        <row r="103">
          <cell r="B103" t="str">
            <v>早春</v>
          </cell>
        </row>
        <row r="104">
          <cell r="B104" t="str">
            <v>ソンヨウン</v>
          </cell>
        </row>
        <row r="105">
          <cell r="B105"/>
        </row>
        <row r="106">
          <cell r="B106" t="str">
            <v>立田</v>
          </cell>
        </row>
        <row r="107">
          <cell r="B107" t="str">
            <v>チェリークイーン</v>
          </cell>
        </row>
        <row r="108">
          <cell r="B108" t="str">
            <v>チャイナローズ</v>
          </cell>
        </row>
        <row r="109">
          <cell r="B109" t="str">
            <v>ちょこん</v>
          </cell>
        </row>
        <row r="110">
          <cell r="B110" t="str">
            <v>ティッピー</v>
          </cell>
        </row>
        <row r="111">
          <cell r="B111" t="str">
            <v>デビー</v>
          </cell>
        </row>
        <row r="112">
          <cell r="B112" t="str">
            <v>トップアンドスター</v>
          </cell>
        </row>
        <row r="113">
          <cell r="B113" t="str">
            <v>ドラゴンズブラッド</v>
          </cell>
        </row>
        <row r="114">
          <cell r="B114" t="str">
            <v>ドドランタリス</v>
          </cell>
        </row>
        <row r="115">
          <cell r="B115"/>
        </row>
        <row r="116">
          <cell r="B116" t="str">
            <v>ノスタルジックセピア</v>
          </cell>
        </row>
        <row r="117">
          <cell r="B117"/>
        </row>
        <row r="118">
          <cell r="B118" t="str">
            <v>白鳥</v>
          </cell>
        </row>
        <row r="119">
          <cell r="B119" t="str">
            <v>薄氷</v>
          </cell>
        </row>
        <row r="120">
          <cell r="B120" t="str">
            <v>はじまりの花</v>
          </cell>
        </row>
        <row r="121">
          <cell r="B121" t="str">
            <v>花うらら</v>
          </cell>
        </row>
        <row r="122">
          <cell r="B122" t="str">
            <v>華切子</v>
          </cell>
        </row>
        <row r="123">
          <cell r="B123" t="str">
            <v>バブルガム</v>
          </cell>
        </row>
        <row r="124">
          <cell r="B124" t="str">
            <v>パープルヘイズ</v>
          </cell>
        </row>
        <row r="125">
          <cell r="B125" t="str">
            <v>ピーチック</v>
          </cell>
        </row>
        <row r="126">
          <cell r="B126" t="str">
            <v>ビアポップ</v>
          </cell>
        </row>
        <row r="127">
          <cell r="B127" t="str">
            <v>ひなの</v>
          </cell>
        </row>
        <row r="128">
          <cell r="B128" t="str">
            <v>火祭り</v>
          </cell>
        </row>
        <row r="129">
          <cell r="B129" t="str">
            <v>氷山</v>
          </cell>
        </row>
        <row r="130">
          <cell r="B130" t="str">
            <v>ピンクキャビア</v>
          </cell>
        </row>
        <row r="131">
          <cell r="B131" t="str">
            <v>ピンクチップス</v>
          </cell>
        </row>
        <row r="132">
          <cell r="B132" t="str">
            <v>ピンクプリティ</v>
          </cell>
        </row>
        <row r="133">
          <cell r="B133" t="str">
            <v>ピンクルルビー</v>
          </cell>
        </row>
        <row r="134">
          <cell r="B134" t="str">
            <v>ピンクローサ</v>
          </cell>
        </row>
        <row r="135">
          <cell r="B135" t="str">
            <v>ファイヤーピラー</v>
          </cell>
        </row>
        <row r="136">
          <cell r="B136" t="str">
            <v>斑入りグリーンネックレス</v>
          </cell>
        </row>
        <row r="137">
          <cell r="B137" t="str">
            <v>フィオナ</v>
          </cell>
        </row>
        <row r="138">
          <cell r="B138" t="str">
            <v>フォステリアナムシルバーストーン</v>
          </cell>
        </row>
        <row r="139">
          <cell r="B139" t="str">
            <v>プシケ</v>
          </cell>
        </row>
        <row r="140">
          <cell r="B140" t="str">
            <v>プミラ</v>
          </cell>
        </row>
        <row r="141">
          <cell r="B141" t="str">
            <v>プラチナローズ</v>
          </cell>
        </row>
        <row r="142">
          <cell r="B142" t="str">
            <v>フランシノxざわわ</v>
          </cell>
        </row>
        <row r="143">
          <cell r="B143" t="str">
            <v>プリズム</v>
          </cell>
        </row>
        <row r="144">
          <cell r="B144" t="str">
            <v>ブルーサプライズ</v>
          </cell>
        </row>
        <row r="145">
          <cell r="B145" t="str">
            <v>ブルーバニラ</v>
          </cell>
        </row>
        <row r="146">
          <cell r="B146" t="str">
            <v>ブルーベリームーン</v>
          </cell>
        </row>
        <row r="147">
          <cell r="B147" t="str">
            <v>ブルーミニマ</v>
          </cell>
        </row>
        <row r="148">
          <cell r="B148" t="str">
            <v>Prodidity</v>
          </cell>
        </row>
        <row r="149">
          <cell r="B149" t="str">
            <v>ブロウメアナ</v>
          </cell>
        </row>
        <row r="150">
          <cell r="B150" t="str">
            <v>プロリフェラ</v>
          </cell>
        </row>
        <row r="151">
          <cell r="B151" t="str">
            <v>ブロードドロップ</v>
          </cell>
        </row>
        <row r="152">
          <cell r="B152" t="str">
            <v>ブロンズ姫</v>
          </cell>
        </row>
        <row r="153">
          <cell r="B153" t="str">
            <v>紅手鞠</v>
          </cell>
        </row>
        <row r="154">
          <cell r="B154" t="str">
            <v>ぺったん</v>
          </cell>
        </row>
        <row r="155">
          <cell r="B155" t="str">
            <v>ベッラデインベルノ</v>
          </cell>
        </row>
        <row r="156">
          <cell r="B156" t="str">
            <v>ペレスデラロサエ</v>
          </cell>
        </row>
        <row r="157">
          <cell r="B157" t="str">
            <v>ペレスデラロサエピンクエッジ</v>
          </cell>
        </row>
        <row r="158">
          <cell r="B158" t="str">
            <v>ペンデンス</v>
          </cell>
        </row>
        <row r="159">
          <cell r="B159" t="str">
            <v>星美人</v>
          </cell>
        </row>
        <row r="160">
          <cell r="B160" t="str">
            <v>ボールオブファット</v>
          </cell>
        </row>
        <row r="161">
          <cell r="B161"/>
        </row>
        <row r="162">
          <cell r="B162" t="str">
            <v>円</v>
          </cell>
        </row>
        <row r="163">
          <cell r="B163" t="str">
            <v>マドンナ</v>
          </cell>
        </row>
        <row r="164">
          <cell r="B164" t="str">
            <v>南十字星</v>
          </cell>
        </row>
        <row r="165">
          <cell r="B165" t="str">
            <v>桃太郎</v>
          </cell>
        </row>
        <row r="166">
          <cell r="B166" t="str">
            <v>ももりん</v>
          </cell>
        </row>
        <row r="167">
          <cell r="B167" t="str">
            <v>モラニーxルンヨニーサンカルロス</v>
          </cell>
        </row>
        <row r="168">
          <cell r="B168" t="str">
            <v>モルゲンロート</v>
          </cell>
        </row>
        <row r="169">
          <cell r="B169" t="str">
            <v>モンロー</v>
          </cell>
        </row>
        <row r="170">
          <cell r="B170"/>
        </row>
        <row r="171">
          <cell r="B171" t="str">
            <v>ライムシャワー</v>
          </cell>
        </row>
        <row r="172">
          <cell r="B172" t="str">
            <v>ラウリンゼxラウ30</v>
          </cell>
        </row>
        <row r="173">
          <cell r="B173" t="str">
            <v>ラウトップ</v>
          </cell>
        </row>
        <row r="174">
          <cell r="B174" t="str">
            <v>ラズベリーメモリー</v>
          </cell>
        </row>
        <row r="175">
          <cell r="B175" t="str">
            <v>ラブリーローズ</v>
          </cell>
        </row>
        <row r="176">
          <cell r="B176" t="str">
            <v>龍鱗蓮華</v>
          </cell>
        </row>
        <row r="177">
          <cell r="B177" t="str">
            <v>ルビーハイ</v>
          </cell>
        </row>
        <row r="178">
          <cell r="B178" t="str">
            <v>ルンヨニー</v>
          </cell>
        </row>
        <row r="179">
          <cell r="B179" t="str">
            <v>レッドベリー</v>
          </cell>
        </row>
        <row r="180">
          <cell r="B180" t="str">
            <v>レディジア</v>
          </cell>
        </row>
        <row r="181">
          <cell r="B181" t="str">
            <v>レモータ</v>
          </cell>
        </row>
        <row r="182">
          <cell r="B182" t="str">
            <v>ローズセダム</v>
          </cell>
        </row>
        <row r="183">
          <cell r="B183"/>
        </row>
        <row r="184">
          <cell r="B184" t="str">
            <v>夕波</v>
          </cell>
        </row>
      </sheetData>
      <sheetData sheetId="3" refreshError="1"/>
      <sheetData sheetId="4" refreshError="1">
        <row r="1">
          <cell r="B1" t="str">
            <v>購入者リスト</v>
          </cell>
          <cell r="G1" t="str">
            <v>まとめ買い</v>
          </cell>
        </row>
        <row r="4">
          <cell r="B4" t="str">
            <v>S/N</v>
          </cell>
          <cell r="G4" t="str">
            <v>メルカリ名</v>
          </cell>
          <cell r="U4" t="str">
            <v>所在地</v>
          </cell>
        </row>
        <row r="5">
          <cell r="B5"/>
          <cell r="U5"/>
        </row>
        <row r="6">
          <cell r="B6"/>
          <cell r="G6" t="str">
            <v>まいめろ</v>
          </cell>
          <cell r="U6"/>
        </row>
        <row r="7">
          <cell r="B7"/>
          <cell r="G7" t="str">
            <v>もりちぃ</v>
          </cell>
          <cell r="U7"/>
        </row>
        <row r="8">
          <cell r="B8"/>
          <cell r="G8" t="str">
            <v>yuuu♡</v>
          </cell>
          <cell r="U8"/>
        </row>
        <row r="9">
          <cell r="B9"/>
          <cell r="G9" t="str">
            <v>あらら/moa</v>
          </cell>
          <cell r="U9"/>
        </row>
        <row r="10">
          <cell r="B10"/>
          <cell r="G10" t="str">
            <v>seiko</v>
          </cell>
          <cell r="U10"/>
        </row>
        <row r="11">
          <cell r="B11"/>
          <cell r="G11" t="str">
            <v>みーーこ</v>
          </cell>
          <cell r="U11"/>
        </row>
        <row r="12">
          <cell r="B12"/>
          <cell r="G12" t="str">
            <v>baron</v>
          </cell>
          <cell r="U12"/>
        </row>
        <row r="13">
          <cell r="B13"/>
          <cell r="G13" t="str">
            <v>baron</v>
          </cell>
          <cell r="U13"/>
        </row>
        <row r="14">
          <cell r="B14"/>
          <cell r="G14" t="str">
            <v>くんち</v>
          </cell>
          <cell r="U14"/>
        </row>
        <row r="15">
          <cell r="B15"/>
          <cell r="G15" t="str">
            <v>sun</v>
          </cell>
          <cell r="U15"/>
        </row>
        <row r="16">
          <cell r="B16"/>
          <cell r="G16" t="str">
            <v>ちんちゃん</v>
          </cell>
          <cell r="U16"/>
        </row>
        <row r="17">
          <cell r="B17"/>
          <cell r="G17" t="str">
            <v>Paris</v>
          </cell>
          <cell r="U17"/>
        </row>
        <row r="18">
          <cell r="B18"/>
          <cell r="G18" t="str">
            <v>まいめろ</v>
          </cell>
          <cell r="U18"/>
        </row>
        <row r="19">
          <cell r="B19"/>
          <cell r="G19" t="str">
            <v>四季</v>
          </cell>
          <cell r="U19"/>
        </row>
        <row r="20">
          <cell r="B20"/>
          <cell r="G20" t="str">
            <v>pepe</v>
          </cell>
          <cell r="U20"/>
        </row>
        <row r="21">
          <cell r="B21"/>
          <cell r="G21" t="str">
            <v>ちんちゃん</v>
          </cell>
          <cell r="U21"/>
        </row>
        <row r="22">
          <cell r="B22"/>
          <cell r="G22" t="str">
            <v>ゆみ</v>
          </cell>
          <cell r="U22"/>
        </row>
        <row r="23">
          <cell r="B23"/>
          <cell r="G23" t="str">
            <v>まいめろ</v>
          </cell>
          <cell r="U23"/>
        </row>
        <row r="24">
          <cell r="B24"/>
          <cell r="G24" t="str">
            <v>kei</v>
          </cell>
          <cell r="U24"/>
        </row>
        <row r="25">
          <cell r="B25"/>
          <cell r="G25" t="str">
            <v>くんち</v>
          </cell>
          <cell r="U25"/>
        </row>
        <row r="26">
          <cell r="B26"/>
          <cell r="G26" t="str">
            <v>あらら/moa</v>
          </cell>
          <cell r="U26"/>
        </row>
        <row r="27">
          <cell r="B27"/>
          <cell r="G27" t="str">
            <v>くんち</v>
          </cell>
          <cell r="U27"/>
        </row>
        <row r="28">
          <cell r="B28"/>
          <cell r="G28" t="str">
            <v>pepe</v>
          </cell>
          <cell r="U28"/>
        </row>
        <row r="29">
          <cell r="B29"/>
          <cell r="G29" t="str">
            <v>龍</v>
          </cell>
          <cell r="U29"/>
        </row>
        <row r="30">
          <cell r="B30"/>
          <cell r="G30" t="str">
            <v>まいめろ</v>
          </cell>
          <cell r="U30"/>
        </row>
        <row r="31">
          <cell r="B31"/>
          <cell r="G31" t="str">
            <v>pancake</v>
          </cell>
          <cell r="U31"/>
        </row>
        <row r="32">
          <cell r="B32"/>
          <cell r="G32" t="str">
            <v>断捨離中</v>
          </cell>
          <cell r="U32"/>
        </row>
        <row r="33">
          <cell r="B33"/>
          <cell r="G33" t="str">
            <v>しほ</v>
          </cell>
          <cell r="U33"/>
        </row>
        <row r="34">
          <cell r="B34"/>
          <cell r="G34" t="str">
            <v>U</v>
          </cell>
          <cell r="U34"/>
        </row>
        <row r="35">
          <cell r="B35"/>
          <cell r="G35" t="str">
            <v>うーたら</v>
          </cell>
          <cell r="U35"/>
        </row>
        <row r="36">
          <cell r="B36"/>
          <cell r="G36" t="str">
            <v>みゅう☆プロフ確認(*ˊᵕˋ*)੭ ੈ❤</v>
          </cell>
          <cell r="U36"/>
        </row>
        <row r="37">
          <cell r="B37"/>
          <cell r="G37" t="str">
            <v>りぃず</v>
          </cell>
          <cell r="U37"/>
        </row>
        <row r="38">
          <cell r="B38"/>
          <cell r="G38" t="str">
            <v>pepe</v>
          </cell>
          <cell r="U38"/>
        </row>
        <row r="39">
          <cell r="B39"/>
          <cell r="G39" t="str">
            <v>happy</v>
          </cell>
          <cell r="U39"/>
        </row>
        <row r="40">
          <cell r="B40"/>
          <cell r="G40" t="str">
            <v>pepe</v>
          </cell>
          <cell r="U40"/>
        </row>
        <row r="41">
          <cell r="B41"/>
          <cell r="G41" t="str">
            <v>くんち</v>
          </cell>
          <cell r="U41"/>
        </row>
        <row r="42">
          <cell r="B42"/>
          <cell r="G42" t="str">
            <v>macaroni</v>
          </cell>
          <cell r="U42"/>
        </row>
        <row r="43">
          <cell r="B43"/>
          <cell r="G43" t="str">
            <v>Paris</v>
          </cell>
          <cell r="U43"/>
        </row>
        <row r="44">
          <cell r="B44"/>
          <cell r="G44" t="str">
            <v>チョコ肉</v>
          </cell>
          <cell r="U44"/>
        </row>
        <row r="45">
          <cell r="B45"/>
          <cell r="G45" t="str">
            <v>断捨離中</v>
          </cell>
          <cell r="U45"/>
        </row>
        <row r="46">
          <cell r="B46"/>
          <cell r="G46" t="str">
            <v>Yuzukichi</v>
          </cell>
          <cell r="U46"/>
        </row>
        <row r="47">
          <cell r="B47"/>
          <cell r="G47" t="str">
            <v>にょっち</v>
          </cell>
          <cell r="U47"/>
        </row>
        <row r="48">
          <cell r="B48"/>
          <cell r="G48" t="str">
            <v>かみりん</v>
          </cell>
          <cell r="U48"/>
        </row>
        <row r="49">
          <cell r="B49"/>
          <cell r="G49" t="str">
            <v>ゅႫ⭐️</v>
          </cell>
          <cell r="U49"/>
        </row>
        <row r="50">
          <cell r="B50"/>
          <cell r="G50" t="str">
            <v>くんち</v>
          </cell>
          <cell r="U50"/>
        </row>
        <row r="51">
          <cell r="B51"/>
          <cell r="G51" t="str">
            <v>Akiko</v>
          </cell>
          <cell r="U51"/>
        </row>
        <row r="52">
          <cell r="B52"/>
          <cell r="G52" t="str">
            <v>ぶんぶん。</v>
          </cell>
          <cell r="U52"/>
        </row>
        <row r="53">
          <cell r="B53"/>
          <cell r="G53" t="str">
            <v>pepe</v>
          </cell>
          <cell r="U53"/>
        </row>
        <row r="54">
          <cell r="B54"/>
          <cell r="G54" t="str">
            <v>くんち</v>
          </cell>
          <cell r="U54"/>
        </row>
        <row r="55">
          <cell r="B55"/>
          <cell r="G55" t="str">
            <v>小福</v>
          </cell>
          <cell r="U55"/>
        </row>
        <row r="56">
          <cell r="B56"/>
          <cell r="G56" t="str">
            <v>豆柴助</v>
          </cell>
          <cell r="U56"/>
        </row>
        <row r="57">
          <cell r="B57"/>
          <cell r="G57" t="str">
            <v>funa</v>
          </cell>
          <cell r="U57"/>
        </row>
        <row r="58">
          <cell r="B58"/>
          <cell r="G58" t="str">
            <v>funa</v>
          </cell>
          <cell r="U58"/>
        </row>
        <row r="59">
          <cell r="B59"/>
          <cell r="G59" t="str">
            <v>pepe</v>
          </cell>
          <cell r="U59"/>
        </row>
        <row r="60">
          <cell r="B60"/>
          <cell r="G60" t="str">
            <v>みい</v>
          </cell>
          <cell r="U60"/>
        </row>
        <row r="61">
          <cell r="B61"/>
          <cell r="G61" t="str">
            <v>Yu～</v>
          </cell>
          <cell r="U61"/>
        </row>
        <row r="62">
          <cell r="B62"/>
          <cell r="G62" t="str">
            <v>ゆか</v>
          </cell>
          <cell r="U62"/>
        </row>
        <row r="63">
          <cell r="B63"/>
          <cell r="G63" t="str">
            <v>jeep</v>
          </cell>
          <cell r="U63"/>
        </row>
        <row r="64">
          <cell r="B64"/>
          <cell r="G64" t="str">
            <v>むーちゃん♡</v>
          </cell>
          <cell r="U64"/>
        </row>
        <row r="65">
          <cell r="B65"/>
          <cell r="G65" t="str">
            <v>芋山ポテコ</v>
          </cell>
          <cell r="U65"/>
        </row>
        <row r="66">
          <cell r="B66"/>
          <cell r="G66" t="str">
            <v>モモスケモモコ</v>
          </cell>
          <cell r="U66"/>
        </row>
        <row r="67">
          <cell r="B67"/>
          <cell r="G67" t="str">
            <v>コジママ</v>
          </cell>
          <cell r="U67"/>
        </row>
        <row r="68">
          <cell r="B68"/>
          <cell r="G68" t="str">
            <v>pepe</v>
          </cell>
          <cell r="U68"/>
        </row>
        <row r="69">
          <cell r="B69"/>
          <cell r="G69" t="str">
            <v>カステラ</v>
          </cell>
          <cell r="U69"/>
        </row>
        <row r="70">
          <cell r="B70"/>
          <cell r="G70" t="str">
            <v>カステラ</v>
          </cell>
          <cell r="U70"/>
        </row>
        <row r="71">
          <cell r="B71"/>
          <cell r="G71" t="str">
            <v>Baronねこさん</v>
          </cell>
          <cell r="U71"/>
        </row>
        <row r="72">
          <cell r="B72"/>
          <cell r="G72" t="str">
            <v>ローズ</v>
          </cell>
          <cell r="U72"/>
        </row>
        <row r="73">
          <cell r="B73"/>
          <cell r="G73" t="str">
            <v>ボンテンマル</v>
          </cell>
          <cell r="U73"/>
        </row>
        <row r="74">
          <cell r="B74"/>
          <cell r="G74" t="str">
            <v>ぴのぴな</v>
          </cell>
          <cell r="U74"/>
        </row>
        <row r="75">
          <cell r="B75"/>
          <cell r="G75" t="str">
            <v>ぴのぴな</v>
          </cell>
          <cell r="U75"/>
        </row>
        <row r="76">
          <cell r="B76"/>
          <cell r="G76" t="str">
            <v>sun</v>
          </cell>
          <cell r="U76"/>
        </row>
        <row r="77">
          <cell r="B77"/>
          <cell r="G77" t="str">
            <v>さきちゃん</v>
          </cell>
          <cell r="U77"/>
        </row>
        <row r="78">
          <cell r="B78"/>
          <cell r="G78" t="str">
            <v>mokamama</v>
          </cell>
          <cell r="U78"/>
        </row>
        <row r="79">
          <cell r="B79"/>
          <cell r="G79" t="str">
            <v>pancake</v>
          </cell>
          <cell r="U79"/>
        </row>
        <row r="80">
          <cell r="B80"/>
          <cell r="G80" t="str">
            <v>ミッキーママちゃん</v>
          </cell>
          <cell r="U80"/>
        </row>
        <row r="81">
          <cell r="B81"/>
          <cell r="G81" t="str">
            <v>どら</v>
          </cell>
          <cell r="U81"/>
        </row>
        <row r="82">
          <cell r="B82"/>
          <cell r="G82" t="str">
            <v>yukky</v>
          </cell>
          <cell r="U82"/>
        </row>
        <row r="83">
          <cell r="B83"/>
          <cell r="G83" t="str">
            <v>タドリー</v>
          </cell>
          <cell r="U83"/>
        </row>
        <row r="84">
          <cell r="B84"/>
          <cell r="G84" t="str">
            <v>すずらん</v>
          </cell>
          <cell r="U84"/>
        </row>
        <row r="85">
          <cell r="B85"/>
          <cell r="G85" t="str">
            <v>もも</v>
          </cell>
          <cell r="U85"/>
        </row>
        <row r="86">
          <cell r="B86"/>
          <cell r="G86" t="str">
            <v>ぴくるす*多肉雑貨</v>
          </cell>
          <cell r="U86"/>
        </row>
        <row r="87">
          <cell r="B87"/>
          <cell r="G87" t="str">
            <v>はある</v>
          </cell>
          <cell r="U87"/>
        </row>
        <row r="88">
          <cell r="B88"/>
          <cell r="G88" t="str">
            <v>レインボー</v>
          </cell>
          <cell r="U88"/>
        </row>
        <row r="89">
          <cell r="B89"/>
          <cell r="G89" t="str">
            <v>ポテサラたいち</v>
          </cell>
          <cell r="U89"/>
        </row>
        <row r="90">
          <cell r="B90"/>
          <cell r="G90" t="str">
            <v>ネコバス</v>
          </cell>
          <cell r="U90"/>
        </row>
        <row r="91">
          <cell r="B91"/>
          <cell r="G91" t="str">
            <v>happy</v>
          </cell>
          <cell r="U91"/>
        </row>
        <row r="92">
          <cell r="B92"/>
          <cell r="G92" t="str">
            <v>なーお</v>
          </cell>
          <cell r="U92"/>
        </row>
        <row r="93">
          <cell r="B93"/>
          <cell r="G93" t="str">
            <v>ミニー</v>
          </cell>
          <cell r="U93"/>
        </row>
        <row r="94">
          <cell r="B94">
            <v>1</v>
          </cell>
          <cell r="G94" t="str">
            <v>櫻月</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12"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0" Type="http://schemas.openxmlformats.org/officeDocument/2006/relationships/ctrlProp" Target="../ctrlProps/ctrlProp13.xml"/><Relationship Id="rId4" Type="http://schemas.openxmlformats.org/officeDocument/2006/relationships/ctrlProp" Target="../ctrlProps/ctrlProp7.xml"/><Relationship Id="rId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117" Type="http://schemas.openxmlformats.org/officeDocument/2006/relationships/hyperlink" Target="https://jp.mercari.com/item/m76378268067" TargetMode="External"/><Relationship Id="rId21" Type="http://schemas.openxmlformats.org/officeDocument/2006/relationships/hyperlink" Target="https://jp.mercari.com/item/m29106503881" TargetMode="External"/><Relationship Id="rId42" Type="http://schemas.openxmlformats.org/officeDocument/2006/relationships/hyperlink" Target="https://jp.mercari.com/user/profile/548848414" TargetMode="External"/><Relationship Id="rId63" Type="http://schemas.openxmlformats.org/officeDocument/2006/relationships/hyperlink" Target="https://jp.mercari.com/item/m54079287497" TargetMode="External"/><Relationship Id="rId84" Type="http://schemas.openxmlformats.org/officeDocument/2006/relationships/hyperlink" Target="https://jp.mercari.com/user/profile/561228847" TargetMode="External"/><Relationship Id="rId138" Type="http://schemas.openxmlformats.org/officeDocument/2006/relationships/hyperlink" Target="https://jp.mercari.com/user/profile/444486388" TargetMode="External"/><Relationship Id="rId159" Type="http://schemas.openxmlformats.org/officeDocument/2006/relationships/hyperlink" Target="https://jp.mercari.com/item/m13894472079" TargetMode="External"/><Relationship Id="rId170" Type="http://schemas.openxmlformats.org/officeDocument/2006/relationships/hyperlink" Target="https://jp.mercari.com/user/profile/426892273" TargetMode="External"/><Relationship Id="rId107" Type="http://schemas.openxmlformats.org/officeDocument/2006/relationships/hyperlink" Target="https://jp.mercari.com/item/m48771013461" TargetMode="External"/><Relationship Id="rId11" Type="http://schemas.openxmlformats.org/officeDocument/2006/relationships/hyperlink" Target="https://jp.mercari.com/item/m24640995014" TargetMode="External"/><Relationship Id="rId32" Type="http://schemas.openxmlformats.org/officeDocument/2006/relationships/hyperlink" Target="https://jp.mercari.com/user/profile/740879433" TargetMode="External"/><Relationship Id="rId53" Type="http://schemas.openxmlformats.org/officeDocument/2006/relationships/hyperlink" Target="https://jp.mercari.com/item/m14384636515" TargetMode="External"/><Relationship Id="rId74" Type="http://schemas.openxmlformats.org/officeDocument/2006/relationships/hyperlink" Target="https://jp.mercari.com/user/profile/692035422" TargetMode="External"/><Relationship Id="rId128" Type="http://schemas.openxmlformats.org/officeDocument/2006/relationships/hyperlink" Target="https://jp.mercari.com/user/profile/624738400" TargetMode="External"/><Relationship Id="rId149" Type="http://schemas.openxmlformats.org/officeDocument/2006/relationships/hyperlink" Target="https://jp.mercari.com/item/m80353311305" TargetMode="External"/><Relationship Id="rId5" Type="http://schemas.openxmlformats.org/officeDocument/2006/relationships/hyperlink" Target="https://jp.mercari.com/item/m60914150619" TargetMode="External"/><Relationship Id="rId95" Type="http://schemas.openxmlformats.org/officeDocument/2006/relationships/hyperlink" Target="https://jp.mercari.com/item/m18967143773" TargetMode="External"/><Relationship Id="rId160" Type="http://schemas.openxmlformats.org/officeDocument/2006/relationships/hyperlink" Target="https://jp.mercari.com/user/profile/326109892" TargetMode="External"/><Relationship Id="rId22" Type="http://schemas.openxmlformats.org/officeDocument/2006/relationships/hyperlink" Target="https://jp.mercari.com/user/profile/740879433" TargetMode="External"/><Relationship Id="rId43" Type="http://schemas.openxmlformats.org/officeDocument/2006/relationships/hyperlink" Target="https://jp.mercari.com/item/m80730499960" TargetMode="External"/><Relationship Id="rId64" Type="http://schemas.openxmlformats.org/officeDocument/2006/relationships/hyperlink" Target="https://jp.mercari.com/user/profile/331330961" TargetMode="External"/><Relationship Id="rId118" Type="http://schemas.openxmlformats.org/officeDocument/2006/relationships/hyperlink" Target="https://jp.mercari.com/user/profile/303162574" TargetMode="External"/><Relationship Id="rId139" Type="http://schemas.openxmlformats.org/officeDocument/2006/relationships/hyperlink" Target="https://jp.mercari.com/item/m69090571591" TargetMode="External"/><Relationship Id="rId85" Type="http://schemas.openxmlformats.org/officeDocument/2006/relationships/hyperlink" Target="https://jp.mercari.com/item/m63615019500" TargetMode="External"/><Relationship Id="rId150" Type="http://schemas.openxmlformats.org/officeDocument/2006/relationships/hyperlink" Target="https://jp.mercari.com/user/profile/435393511" TargetMode="External"/><Relationship Id="rId171" Type="http://schemas.openxmlformats.org/officeDocument/2006/relationships/hyperlink" Target="https://jp.mercari.com/item/m80126077408" TargetMode="External"/><Relationship Id="rId12" Type="http://schemas.openxmlformats.org/officeDocument/2006/relationships/hyperlink" Target="https://jp.mercari.com/user/profile/215940215" TargetMode="External"/><Relationship Id="rId33" Type="http://schemas.openxmlformats.org/officeDocument/2006/relationships/hyperlink" Target="https://jp.mercari.com/item/m49993882225" TargetMode="External"/><Relationship Id="rId108" Type="http://schemas.openxmlformats.org/officeDocument/2006/relationships/hyperlink" Target="https://jp.mercari.com/user/profile/870344668" TargetMode="External"/><Relationship Id="rId129" Type="http://schemas.openxmlformats.org/officeDocument/2006/relationships/hyperlink" Target="https://jp.mercari.com/item/m61645533876" TargetMode="External"/><Relationship Id="rId54" Type="http://schemas.openxmlformats.org/officeDocument/2006/relationships/hyperlink" Target="https://jp.mercari.com/user/profile/232326976" TargetMode="External"/><Relationship Id="rId75" Type="http://schemas.openxmlformats.org/officeDocument/2006/relationships/hyperlink" Target="https://jp.mercari.com/item/m39556362306" TargetMode="External"/><Relationship Id="rId96" Type="http://schemas.openxmlformats.org/officeDocument/2006/relationships/hyperlink" Target="https://jp.mercari.com/user/profile/870344668" TargetMode="External"/><Relationship Id="rId140" Type="http://schemas.openxmlformats.org/officeDocument/2006/relationships/hyperlink" Target="https://jp.mercari.com/user/profile/444486388" TargetMode="External"/><Relationship Id="rId161" Type="http://schemas.openxmlformats.org/officeDocument/2006/relationships/hyperlink" Target="https://jp.mercari.com/item/m78981940477" TargetMode="External"/><Relationship Id="rId6" Type="http://schemas.openxmlformats.org/officeDocument/2006/relationships/hyperlink" Target="https://jp.mercari.com/user/profile/427812779" TargetMode="External"/><Relationship Id="rId23" Type="http://schemas.openxmlformats.org/officeDocument/2006/relationships/hyperlink" Target="https://jp.mercari.com/item/m29496394519" TargetMode="External"/><Relationship Id="rId28" Type="http://schemas.openxmlformats.org/officeDocument/2006/relationships/hyperlink" Target="https://jp.mercari.com/user/profile/992452074" TargetMode="External"/><Relationship Id="rId49" Type="http://schemas.openxmlformats.org/officeDocument/2006/relationships/hyperlink" Target="https://jp.mercari.com/item/m50221407576" TargetMode="External"/><Relationship Id="rId114" Type="http://schemas.openxmlformats.org/officeDocument/2006/relationships/hyperlink" Target="https://jp.mercari.com/user/profile/757523438" TargetMode="External"/><Relationship Id="rId119" Type="http://schemas.openxmlformats.org/officeDocument/2006/relationships/hyperlink" Target="https://jp.mercari.com/item/m57728349179" TargetMode="External"/><Relationship Id="rId44" Type="http://schemas.openxmlformats.org/officeDocument/2006/relationships/hyperlink" Target="https://jp.mercari.com/user/profile/210297978" TargetMode="External"/><Relationship Id="rId60" Type="http://schemas.openxmlformats.org/officeDocument/2006/relationships/hyperlink" Target="https://jp.mercari.com/user/profile/247655624" TargetMode="External"/><Relationship Id="rId65" Type="http://schemas.openxmlformats.org/officeDocument/2006/relationships/hyperlink" Target="https://jp.mercari.com/item/m99684557489" TargetMode="External"/><Relationship Id="rId81" Type="http://schemas.openxmlformats.org/officeDocument/2006/relationships/hyperlink" Target="https://jp.mercari.com/item/m38285097537" TargetMode="External"/><Relationship Id="rId86" Type="http://schemas.openxmlformats.org/officeDocument/2006/relationships/hyperlink" Target="https://jp.mercari.com/user/profile/851096554" TargetMode="External"/><Relationship Id="rId130" Type="http://schemas.openxmlformats.org/officeDocument/2006/relationships/hyperlink" Target="https://jp.mercari.com/user/profile/624738400" TargetMode="External"/><Relationship Id="rId135" Type="http://schemas.openxmlformats.org/officeDocument/2006/relationships/hyperlink" Target="https://jp.mercari.com/item/m33754346548" TargetMode="External"/><Relationship Id="rId151" Type="http://schemas.openxmlformats.org/officeDocument/2006/relationships/hyperlink" Target="https://jp.mercari.com/item/m55402283139" TargetMode="External"/><Relationship Id="rId156" Type="http://schemas.openxmlformats.org/officeDocument/2006/relationships/hyperlink" Target="https://jp.mercari.com/user/profile/320603688" TargetMode="External"/><Relationship Id="rId177" Type="http://schemas.openxmlformats.org/officeDocument/2006/relationships/hyperlink" Target="https://jp.mercari.com/item/m14367983097" TargetMode="External"/><Relationship Id="rId172" Type="http://schemas.openxmlformats.org/officeDocument/2006/relationships/hyperlink" Target="https://jp.mercari.com/user/profile/742300016" TargetMode="External"/><Relationship Id="rId13" Type="http://schemas.openxmlformats.org/officeDocument/2006/relationships/hyperlink" Target="https://jp.mercari.com/item/m73066191334" TargetMode="External"/><Relationship Id="rId18" Type="http://schemas.openxmlformats.org/officeDocument/2006/relationships/hyperlink" Target="https://jp.mercari.com/user/profile/210297978" TargetMode="External"/><Relationship Id="rId39" Type="http://schemas.openxmlformats.org/officeDocument/2006/relationships/hyperlink" Target="https://jp.mercari.com/item/m39621477426" TargetMode="External"/><Relationship Id="rId109" Type="http://schemas.openxmlformats.org/officeDocument/2006/relationships/hyperlink" Target="https://jp.mercari.com/item/m22562190723" TargetMode="External"/><Relationship Id="rId34" Type="http://schemas.openxmlformats.org/officeDocument/2006/relationships/hyperlink" Target="https://jp.mercari.com/user/profile/481677900" TargetMode="External"/><Relationship Id="rId50" Type="http://schemas.openxmlformats.org/officeDocument/2006/relationships/hyperlink" Target="https://jp.mercari.com/user/profile/984382632" TargetMode="External"/><Relationship Id="rId55" Type="http://schemas.openxmlformats.org/officeDocument/2006/relationships/hyperlink" Target="https://jp.mercari.com/item/m16850526589" TargetMode="External"/><Relationship Id="rId76" Type="http://schemas.openxmlformats.org/officeDocument/2006/relationships/hyperlink" Target="https://jp.mercari.com/user/profile/223872184" TargetMode="External"/><Relationship Id="rId97" Type="http://schemas.openxmlformats.org/officeDocument/2006/relationships/hyperlink" Target="https://jp.mercari.com/item/m69190797167" TargetMode="External"/><Relationship Id="rId104" Type="http://schemas.openxmlformats.org/officeDocument/2006/relationships/hyperlink" Target="https://jp.mercari.com/user/profile/505510982" TargetMode="External"/><Relationship Id="rId120" Type="http://schemas.openxmlformats.org/officeDocument/2006/relationships/hyperlink" Target="https://jp.mercari.com/user/profile/534993245" TargetMode="External"/><Relationship Id="rId125" Type="http://schemas.openxmlformats.org/officeDocument/2006/relationships/hyperlink" Target="https://jp.mercari.com/item/m84422206771" TargetMode="External"/><Relationship Id="rId141" Type="http://schemas.openxmlformats.org/officeDocument/2006/relationships/hyperlink" Target="https://jp.mercari.com/item/m43341514608" TargetMode="External"/><Relationship Id="rId146" Type="http://schemas.openxmlformats.org/officeDocument/2006/relationships/hyperlink" Target="https://jp.mercari.com/user/profile/890662674" TargetMode="External"/><Relationship Id="rId167" Type="http://schemas.openxmlformats.org/officeDocument/2006/relationships/hyperlink" Target="https://jp.mercari.com/item/m67483266783" TargetMode="External"/><Relationship Id="rId7" Type="http://schemas.openxmlformats.org/officeDocument/2006/relationships/hyperlink" Target="https://jp.mercari.com/item/m84528352788" TargetMode="External"/><Relationship Id="rId71" Type="http://schemas.openxmlformats.org/officeDocument/2006/relationships/hyperlink" Target="https://jp.mercari.com/item/m56704481642" TargetMode="External"/><Relationship Id="rId92" Type="http://schemas.openxmlformats.org/officeDocument/2006/relationships/hyperlink" Target="https://jp.mercari.com/user/profile/249381466" TargetMode="External"/><Relationship Id="rId162" Type="http://schemas.openxmlformats.org/officeDocument/2006/relationships/hyperlink" Target="https://jp.mercari.com/user/profile/981786910" TargetMode="External"/><Relationship Id="rId2" Type="http://schemas.openxmlformats.org/officeDocument/2006/relationships/hyperlink" Target="https://jp.mercari.com/user/profile/984382632" TargetMode="External"/><Relationship Id="rId29" Type="http://schemas.openxmlformats.org/officeDocument/2006/relationships/hyperlink" Target="https://jp.mercari.com/item/m55122457061" TargetMode="External"/><Relationship Id="rId24" Type="http://schemas.openxmlformats.org/officeDocument/2006/relationships/hyperlink" Target="https://jp.mercari.com/user/profile/223872184" TargetMode="External"/><Relationship Id="rId40" Type="http://schemas.openxmlformats.org/officeDocument/2006/relationships/hyperlink" Target="https://jp.mercari.com/user/profile/210297978" TargetMode="External"/><Relationship Id="rId45" Type="http://schemas.openxmlformats.org/officeDocument/2006/relationships/hyperlink" Target="https://jp.mercari.com/item/m84236420473" TargetMode="External"/><Relationship Id="rId66" Type="http://schemas.openxmlformats.org/officeDocument/2006/relationships/hyperlink" Target="https://jp.mercari.com/user/profile/870344668" TargetMode="External"/><Relationship Id="rId87" Type="http://schemas.openxmlformats.org/officeDocument/2006/relationships/hyperlink" Target="https://jp.mercari.com/item/m13598078358" TargetMode="External"/><Relationship Id="rId110" Type="http://schemas.openxmlformats.org/officeDocument/2006/relationships/hyperlink" Target="https://jp.mercari.com/user/profile/701746034" TargetMode="External"/><Relationship Id="rId115" Type="http://schemas.openxmlformats.org/officeDocument/2006/relationships/hyperlink" Target="https://jp.mercari.com/item/m24819839486" TargetMode="External"/><Relationship Id="rId131" Type="http://schemas.openxmlformats.org/officeDocument/2006/relationships/hyperlink" Target="https://jp.mercari.com/item/m36349298556" TargetMode="External"/><Relationship Id="rId136" Type="http://schemas.openxmlformats.org/officeDocument/2006/relationships/hyperlink" Target="https://jp.mercari.com/user/profile/847054323" TargetMode="External"/><Relationship Id="rId157" Type="http://schemas.openxmlformats.org/officeDocument/2006/relationships/hyperlink" Target="https://jp.mercari.com/item/m93229549585" TargetMode="External"/><Relationship Id="rId178" Type="http://schemas.openxmlformats.org/officeDocument/2006/relationships/hyperlink" Target="https://jp.mercari.com/user/profile/850923133" TargetMode="External"/><Relationship Id="rId61" Type="http://schemas.openxmlformats.org/officeDocument/2006/relationships/hyperlink" Target="https://jp.mercari.com/item/m61946725259" TargetMode="External"/><Relationship Id="rId82" Type="http://schemas.openxmlformats.org/officeDocument/2006/relationships/hyperlink" Target="https://jp.mercari.com/user/profile/753699524" TargetMode="External"/><Relationship Id="rId152" Type="http://schemas.openxmlformats.org/officeDocument/2006/relationships/hyperlink" Target="https://jp.mercari.com/user/profile/993828584" TargetMode="External"/><Relationship Id="rId173" Type="http://schemas.openxmlformats.org/officeDocument/2006/relationships/hyperlink" Target="https://jp.mercari.com/item/m68311201474" TargetMode="External"/><Relationship Id="rId19" Type="http://schemas.openxmlformats.org/officeDocument/2006/relationships/hyperlink" Target="https://jp.mercari.com/item/m26988865159" TargetMode="External"/><Relationship Id="rId14" Type="http://schemas.openxmlformats.org/officeDocument/2006/relationships/hyperlink" Target="https://jp.mercari.com/user/profile/171502410" TargetMode="External"/><Relationship Id="rId30" Type="http://schemas.openxmlformats.org/officeDocument/2006/relationships/hyperlink" Target="https://jp.mercari.com/user/profile/870344668" TargetMode="External"/><Relationship Id="rId35" Type="http://schemas.openxmlformats.org/officeDocument/2006/relationships/hyperlink" Target="https://jp.mercari.com/item/m62269116465" TargetMode="External"/><Relationship Id="rId56" Type="http://schemas.openxmlformats.org/officeDocument/2006/relationships/hyperlink" Target="https://jp.mercari.com/user/profile/961914651" TargetMode="External"/><Relationship Id="rId77" Type="http://schemas.openxmlformats.org/officeDocument/2006/relationships/hyperlink" Target="https://jp.mercari.com/item/m33032911708" TargetMode="External"/><Relationship Id="rId100" Type="http://schemas.openxmlformats.org/officeDocument/2006/relationships/hyperlink" Target="https://jp.mercari.com/user/profile/222451388" TargetMode="External"/><Relationship Id="rId105" Type="http://schemas.openxmlformats.org/officeDocument/2006/relationships/hyperlink" Target="https://jp.mercari.com/item/m94439096808" TargetMode="External"/><Relationship Id="rId126" Type="http://schemas.openxmlformats.org/officeDocument/2006/relationships/hyperlink" Target="https://jp.mercari.com/user/profile/870344668" TargetMode="External"/><Relationship Id="rId147" Type="http://schemas.openxmlformats.org/officeDocument/2006/relationships/hyperlink" Target="https://jp.mercari.com/item/m12231511892" TargetMode="External"/><Relationship Id="rId168" Type="http://schemas.openxmlformats.org/officeDocument/2006/relationships/hyperlink" Target="https://jp.mercari.com/user/profile/386966704" TargetMode="External"/><Relationship Id="rId8" Type="http://schemas.openxmlformats.org/officeDocument/2006/relationships/hyperlink" Target="https://jp.mercari.com/user/profile/548848414" TargetMode="External"/><Relationship Id="rId51" Type="http://schemas.openxmlformats.org/officeDocument/2006/relationships/hyperlink" Target="https://jp.mercari.com/item/m65354679158" TargetMode="External"/><Relationship Id="rId72" Type="http://schemas.openxmlformats.org/officeDocument/2006/relationships/hyperlink" Target="https://jp.mercari.com/user/profile/210297978" TargetMode="External"/><Relationship Id="rId93" Type="http://schemas.openxmlformats.org/officeDocument/2006/relationships/hyperlink" Target="https://jp.mercari.com/item/m75268587560" TargetMode="External"/><Relationship Id="rId98" Type="http://schemas.openxmlformats.org/officeDocument/2006/relationships/hyperlink" Target="https://jp.mercari.com/user/profile/210297978" TargetMode="External"/><Relationship Id="rId121" Type="http://schemas.openxmlformats.org/officeDocument/2006/relationships/hyperlink" Target="https://jp.mercari.com/item/m56848414312" TargetMode="External"/><Relationship Id="rId142" Type="http://schemas.openxmlformats.org/officeDocument/2006/relationships/hyperlink" Target="https://jp.mercari.com/user/profile/881568689" TargetMode="External"/><Relationship Id="rId163" Type="http://schemas.openxmlformats.org/officeDocument/2006/relationships/hyperlink" Target="https://jp.mercari.com/item/m54011546702" TargetMode="External"/><Relationship Id="rId3" Type="http://schemas.openxmlformats.org/officeDocument/2006/relationships/hyperlink" Target="https://jp.mercari.com/item/m79239246610" TargetMode="External"/><Relationship Id="rId25" Type="http://schemas.openxmlformats.org/officeDocument/2006/relationships/hyperlink" Target="https://jp.mercari.com/item/m77124899331" TargetMode="External"/><Relationship Id="rId46" Type="http://schemas.openxmlformats.org/officeDocument/2006/relationships/hyperlink" Target="https://jp.mercari.com/user/profile/870344668" TargetMode="External"/><Relationship Id="rId67" Type="http://schemas.openxmlformats.org/officeDocument/2006/relationships/hyperlink" Target="https://jp.mercari.com/item/m11032678678" TargetMode="External"/><Relationship Id="rId116" Type="http://schemas.openxmlformats.org/officeDocument/2006/relationships/hyperlink" Target="https://jp.mercari.com/user/profile/519804058" TargetMode="External"/><Relationship Id="rId137" Type="http://schemas.openxmlformats.org/officeDocument/2006/relationships/hyperlink" Target="https://jp.mercari.com/item/m69090571591" TargetMode="External"/><Relationship Id="rId158" Type="http://schemas.openxmlformats.org/officeDocument/2006/relationships/hyperlink" Target="https://jp.mercari.com/user/profile/202035100" TargetMode="External"/><Relationship Id="rId20" Type="http://schemas.openxmlformats.org/officeDocument/2006/relationships/hyperlink" Target="https://jp.mercari.com/user/profile/881568689" TargetMode="External"/><Relationship Id="rId41" Type="http://schemas.openxmlformats.org/officeDocument/2006/relationships/hyperlink" Target="https://jp.mercari.com/item/m22745586987" TargetMode="External"/><Relationship Id="rId62" Type="http://schemas.openxmlformats.org/officeDocument/2006/relationships/hyperlink" Target="https://jp.mercari.com/user/profile/167698999" TargetMode="External"/><Relationship Id="rId83" Type="http://schemas.openxmlformats.org/officeDocument/2006/relationships/hyperlink" Target="https://jp.mercari.com/item/m51310902449" TargetMode="External"/><Relationship Id="rId88" Type="http://schemas.openxmlformats.org/officeDocument/2006/relationships/hyperlink" Target="https://jp.mercari.com/user/profile/290858048" TargetMode="External"/><Relationship Id="rId111" Type="http://schemas.openxmlformats.org/officeDocument/2006/relationships/hyperlink" Target="https://jp.mercari.com/item/m65974553316" TargetMode="External"/><Relationship Id="rId132" Type="http://schemas.openxmlformats.org/officeDocument/2006/relationships/hyperlink" Target="https://jp.mercari.com/user/profile/609820480" TargetMode="External"/><Relationship Id="rId153" Type="http://schemas.openxmlformats.org/officeDocument/2006/relationships/hyperlink" Target="https://jp.mercari.com/item/m10882510675" TargetMode="External"/><Relationship Id="rId174" Type="http://schemas.openxmlformats.org/officeDocument/2006/relationships/hyperlink" Target="https://jp.mercari.com/user/profile/134380941" TargetMode="External"/><Relationship Id="rId15" Type="http://schemas.openxmlformats.org/officeDocument/2006/relationships/hyperlink" Target="https://jp.mercari.com/item/m26320067484" TargetMode="External"/><Relationship Id="rId36" Type="http://schemas.openxmlformats.org/officeDocument/2006/relationships/hyperlink" Target="https://jp.mercari.com/user/profile/984382632" TargetMode="External"/><Relationship Id="rId57" Type="http://schemas.openxmlformats.org/officeDocument/2006/relationships/hyperlink" Target="https://jp.mercari.com/item/m46274702975" TargetMode="External"/><Relationship Id="rId106" Type="http://schemas.openxmlformats.org/officeDocument/2006/relationships/hyperlink" Target="https://jp.mercari.com/user/profile/505510982" TargetMode="External"/><Relationship Id="rId127" Type="http://schemas.openxmlformats.org/officeDocument/2006/relationships/hyperlink" Target="https://jp.mercari.com/item/m27929940244" TargetMode="External"/><Relationship Id="rId10" Type="http://schemas.openxmlformats.org/officeDocument/2006/relationships/hyperlink" Target="https://jp.mercari.com/user/profile/728876408" TargetMode="External"/><Relationship Id="rId31" Type="http://schemas.openxmlformats.org/officeDocument/2006/relationships/hyperlink" Target="https://jp.mercari.com/item/m52111820208" TargetMode="External"/><Relationship Id="rId52" Type="http://schemas.openxmlformats.org/officeDocument/2006/relationships/hyperlink" Target="https://jp.mercari.com/user/profile/627627523" TargetMode="External"/><Relationship Id="rId73" Type="http://schemas.openxmlformats.org/officeDocument/2006/relationships/hyperlink" Target="https://jp.mercari.com/item/m18699623762" TargetMode="External"/><Relationship Id="rId78" Type="http://schemas.openxmlformats.org/officeDocument/2006/relationships/hyperlink" Target="https://jp.mercari.com/user/profile/231120415" TargetMode="External"/><Relationship Id="rId94" Type="http://schemas.openxmlformats.org/officeDocument/2006/relationships/hyperlink" Target="https://jp.mercari.com/user/profile/208619391" TargetMode="External"/><Relationship Id="rId99" Type="http://schemas.openxmlformats.org/officeDocument/2006/relationships/hyperlink" Target="https://jp.mercari.com/item/m86040452096" TargetMode="External"/><Relationship Id="rId101" Type="http://schemas.openxmlformats.org/officeDocument/2006/relationships/hyperlink" Target="https://jp.mercari.com/item/m45981771448" TargetMode="External"/><Relationship Id="rId122" Type="http://schemas.openxmlformats.org/officeDocument/2006/relationships/hyperlink" Target="https://jp.mercari.com/user/profile/325346542" TargetMode="External"/><Relationship Id="rId143" Type="http://schemas.openxmlformats.org/officeDocument/2006/relationships/hyperlink" Target="https://jp.mercari.com/item/m71798692139" TargetMode="External"/><Relationship Id="rId148" Type="http://schemas.openxmlformats.org/officeDocument/2006/relationships/hyperlink" Target="https://jp.mercari.com/user/profile/627627523" TargetMode="External"/><Relationship Id="rId164" Type="http://schemas.openxmlformats.org/officeDocument/2006/relationships/hyperlink" Target="https://jp.mercari.com/user/profile/779751158" TargetMode="External"/><Relationship Id="rId169" Type="http://schemas.openxmlformats.org/officeDocument/2006/relationships/hyperlink" Target="https://jp.mercari.com/item/m13607585455" TargetMode="External"/><Relationship Id="rId4" Type="http://schemas.openxmlformats.org/officeDocument/2006/relationships/hyperlink" Target="https://jp.mercari.com/user/profile/629504097" TargetMode="External"/><Relationship Id="rId9" Type="http://schemas.openxmlformats.org/officeDocument/2006/relationships/hyperlink" Target="https://jp.mercari.com/item/m26915255584" TargetMode="External"/><Relationship Id="rId26" Type="http://schemas.openxmlformats.org/officeDocument/2006/relationships/hyperlink" Target="https://jp.mercari.com/user/profile/984382632" TargetMode="External"/><Relationship Id="rId47" Type="http://schemas.openxmlformats.org/officeDocument/2006/relationships/hyperlink" Target="https://jp.mercari.com/item/m29816070970" TargetMode="External"/><Relationship Id="rId68" Type="http://schemas.openxmlformats.org/officeDocument/2006/relationships/hyperlink" Target="https://jp.mercari.com/user/profile/742300016" TargetMode="External"/><Relationship Id="rId89" Type="http://schemas.openxmlformats.org/officeDocument/2006/relationships/hyperlink" Target="https://jp.mercari.com/item/m87674368256" TargetMode="External"/><Relationship Id="rId112" Type="http://schemas.openxmlformats.org/officeDocument/2006/relationships/hyperlink" Target="https://jp.mercari.com/user/profile/857547771" TargetMode="External"/><Relationship Id="rId133" Type="http://schemas.openxmlformats.org/officeDocument/2006/relationships/hyperlink" Target="https://jp.mercari.com/item/m51753882050" TargetMode="External"/><Relationship Id="rId154" Type="http://schemas.openxmlformats.org/officeDocument/2006/relationships/hyperlink" Target="https://jp.mercari.com/user/profile/544397581" TargetMode="External"/><Relationship Id="rId175" Type="http://schemas.openxmlformats.org/officeDocument/2006/relationships/hyperlink" Target="https://jp.mercari.com/item/m98470836659" TargetMode="External"/><Relationship Id="rId16" Type="http://schemas.openxmlformats.org/officeDocument/2006/relationships/hyperlink" Target="https://jp.mercari.com/user/profile/171502410" TargetMode="External"/><Relationship Id="rId37" Type="http://schemas.openxmlformats.org/officeDocument/2006/relationships/hyperlink" Target="https://jp.mercari.com/item/m29855917295" TargetMode="External"/><Relationship Id="rId58" Type="http://schemas.openxmlformats.org/officeDocument/2006/relationships/hyperlink" Target="https://jp.mercari.com/user/profile/643255053" TargetMode="External"/><Relationship Id="rId79" Type="http://schemas.openxmlformats.org/officeDocument/2006/relationships/hyperlink" Target="https://jp.mercari.com/item/m74513318561" TargetMode="External"/><Relationship Id="rId102" Type="http://schemas.openxmlformats.org/officeDocument/2006/relationships/hyperlink" Target="https://jp.mercari.com/user/profile/800591128" TargetMode="External"/><Relationship Id="rId123" Type="http://schemas.openxmlformats.org/officeDocument/2006/relationships/hyperlink" Target="https://jp.mercari.com/item/m90067751683" TargetMode="External"/><Relationship Id="rId144" Type="http://schemas.openxmlformats.org/officeDocument/2006/relationships/hyperlink" Target="https://jp.mercari.com/user/profile/387239421" TargetMode="External"/><Relationship Id="rId90" Type="http://schemas.openxmlformats.org/officeDocument/2006/relationships/hyperlink" Target="https://jp.mercari.com/user/profile/210297978" TargetMode="External"/><Relationship Id="rId165" Type="http://schemas.openxmlformats.org/officeDocument/2006/relationships/hyperlink" Target="https://jp.mercari.com/item/m29432202269" TargetMode="External"/><Relationship Id="rId27" Type="http://schemas.openxmlformats.org/officeDocument/2006/relationships/hyperlink" Target="https://jp.mercari.com/item/m47295977725" TargetMode="External"/><Relationship Id="rId48" Type="http://schemas.openxmlformats.org/officeDocument/2006/relationships/hyperlink" Target="https://jp.mercari.com/user/profile/541292355" TargetMode="External"/><Relationship Id="rId69" Type="http://schemas.openxmlformats.org/officeDocument/2006/relationships/hyperlink" Target="https://jp.mercari.com/item/m20295586190" TargetMode="External"/><Relationship Id="rId113" Type="http://schemas.openxmlformats.org/officeDocument/2006/relationships/hyperlink" Target="https://jp.mercari.com/item/m23507880248" TargetMode="External"/><Relationship Id="rId134" Type="http://schemas.openxmlformats.org/officeDocument/2006/relationships/hyperlink" Target="https://jp.mercari.com/user/profile/842600796" TargetMode="External"/><Relationship Id="rId80" Type="http://schemas.openxmlformats.org/officeDocument/2006/relationships/hyperlink" Target="https://jp.mercari.com/user/profile/232326976" TargetMode="External"/><Relationship Id="rId155" Type="http://schemas.openxmlformats.org/officeDocument/2006/relationships/hyperlink" Target="https://jp.mercari.com/item/m23120485066" TargetMode="External"/><Relationship Id="rId176" Type="http://schemas.openxmlformats.org/officeDocument/2006/relationships/hyperlink" Target="https://jp.mercari.com/user/profile/803332654" TargetMode="External"/><Relationship Id="rId17" Type="http://schemas.openxmlformats.org/officeDocument/2006/relationships/hyperlink" Target="https://jp.mercari.com/item/m76709450114" TargetMode="External"/><Relationship Id="rId38" Type="http://schemas.openxmlformats.org/officeDocument/2006/relationships/hyperlink" Target="https://jp.mercari.com/user/profile/187773624" TargetMode="External"/><Relationship Id="rId59" Type="http://schemas.openxmlformats.org/officeDocument/2006/relationships/hyperlink" Target="https://jp.mercari.com/item/m74967259611" TargetMode="External"/><Relationship Id="rId103" Type="http://schemas.openxmlformats.org/officeDocument/2006/relationships/hyperlink" Target="https://jp.mercari.com/item/m94439096808" TargetMode="External"/><Relationship Id="rId124" Type="http://schemas.openxmlformats.org/officeDocument/2006/relationships/hyperlink" Target="https://jp.mercari.com/user/profile/971220648" TargetMode="External"/><Relationship Id="rId70" Type="http://schemas.openxmlformats.org/officeDocument/2006/relationships/hyperlink" Target="https://jp.mercari.com/user/profile/870344668" TargetMode="External"/><Relationship Id="rId91" Type="http://schemas.openxmlformats.org/officeDocument/2006/relationships/hyperlink" Target="https://jp.mercari.com/item/m83269704657" TargetMode="External"/><Relationship Id="rId145" Type="http://schemas.openxmlformats.org/officeDocument/2006/relationships/hyperlink" Target="https://jp.mercari.com/item/m30503829103" TargetMode="External"/><Relationship Id="rId166" Type="http://schemas.openxmlformats.org/officeDocument/2006/relationships/hyperlink" Target="https://jp.mercari.com/user/profile/590007208" TargetMode="External"/><Relationship Id="rId1" Type="http://schemas.openxmlformats.org/officeDocument/2006/relationships/hyperlink" Target="https://jp.mercari.com/item/m78065575151" TargetMode="External"/></Relationships>
</file>

<file path=xl/worksheets/_rels/sheet6.xml.rels><?xml version="1.0" encoding="UTF-8" standalone="yes"?>
<Relationships xmlns="http://schemas.openxmlformats.org/package/2006/relationships"><Relationship Id="rId117" Type="http://schemas.openxmlformats.org/officeDocument/2006/relationships/hyperlink" Target="https://jp.mercari.com/user/profile/999389710" TargetMode="External"/><Relationship Id="rId21" Type="http://schemas.openxmlformats.org/officeDocument/2006/relationships/hyperlink" Target="https://jp.mercari.com/user/profile/897999199" TargetMode="External"/><Relationship Id="rId42" Type="http://schemas.openxmlformats.org/officeDocument/2006/relationships/hyperlink" Target="https://jp.mercari.com/user/profile/643255053" TargetMode="External"/><Relationship Id="rId63" Type="http://schemas.openxmlformats.org/officeDocument/2006/relationships/hyperlink" Target="https://jp.mercari.com/user/profile/936322368" TargetMode="External"/><Relationship Id="rId84" Type="http://schemas.openxmlformats.org/officeDocument/2006/relationships/hyperlink" Target="https://jp.mercari.com/user/profile/102400495" TargetMode="External"/><Relationship Id="rId138" Type="http://schemas.openxmlformats.org/officeDocument/2006/relationships/hyperlink" Target="https://jp.mercari.com/user/profile/237825166" TargetMode="External"/><Relationship Id="rId159" Type="http://schemas.openxmlformats.org/officeDocument/2006/relationships/hyperlink" Target="https://jp.mercari.com/user/profile/210297978" TargetMode="External"/><Relationship Id="rId170" Type="http://schemas.openxmlformats.org/officeDocument/2006/relationships/hyperlink" Target="https://jp.mercari.com/user/profile/882528240" TargetMode="External"/><Relationship Id="rId191" Type="http://schemas.openxmlformats.org/officeDocument/2006/relationships/hyperlink" Target="https://jp.mercari.com/user/profile/262010628" TargetMode="External"/><Relationship Id="rId205" Type="http://schemas.openxmlformats.org/officeDocument/2006/relationships/hyperlink" Target="https://jp.mercari.com/user/profile/363890481" TargetMode="External"/><Relationship Id="rId226" Type="http://schemas.openxmlformats.org/officeDocument/2006/relationships/hyperlink" Target="https://jp.mercari.com/user/profile/627627523" TargetMode="External"/><Relationship Id="rId107" Type="http://schemas.openxmlformats.org/officeDocument/2006/relationships/hyperlink" Target="https://jp.mercari.com/user/profile/373003734" TargetMode="External"/><Relationship Id="rId11" Type="http://schemas.openxmlformats.org/officeDocument/2006/relationships/hyperlink" Target="https://jp.mercari.com/user/profile/335405558" TargetMode="External"/><Relationship Id="rId32" Type="http://schemas.openxmlformats.org/officeDocument/2006/relationships/hyperlink" Target="https://jp.mercari.com/user/profile/961278237" TargetMode="External"/><Relationship Id="rId53" Type="http://schemas.openxmlformats.org/officeDocument/2006/relationships/hyperlink" Target="https://jp.mercari.com/user/profile/360636450" TargetMode="External"/><Relationship Id="rId74" Type="http://schemas.openxmlformats.org/officeDocument/2006/relationships/hyperlink" Target="https://jp.mercari.com/user/profile/272159193" TargetMode="External"/><Relationship Id="rId128" Type="http://schemas.openxmlformats.org/officeDocument/2006/relationships/hyperlink" Target="https://jp.mercari.com/user/profile/100688255" TargetMode="External"/><Relationship Id="rId149" Type="http://schemas.openxmlformats.org/officeDocument/2006/relationships/hyperlink" Target="https://jp.mercari.com/user/profile/290858048" TargetMode="External"/><Relationship Id="rId5" Type="http://schemas.openxmlformats.org/officeDocument/2006/relationships/hyperlink" Target="https://jp.mercari.com/user/profile/101807732" TargetMode="External"/><Relationship Id="rId95" Type="http://schemas.openxmlformats.org/officeDocument/2006/relationships/hyperlink" Target="https://jp.mercari.com/user/profile/388352338" TargetMode="External"/><Relationship Id="rId160" Type="http://schemas.openxmlformats.org/officeDocument/2006/relationships/hyperlink" Target="https://jp.mercari.com/user/profile/326109892" TargetMode="External"/><Relationship Id="rId181" Type="http://schemas.openxmlformats.org/officeDocument/2006/relationships/hyperlink" Target="https://jp.mercari.com/user/profile/327363648" TargetMode="External"/><Relationship Id="rId216" Type="http://schemas.openxmlformats.org/officeDocument/2006/relationships/hyperlink" Target="https://jp.mercari.com/user/profile/295968194" TargetMode="External"/><Relationship Id="rId22" Type="http://schemas.openxmlformats.org/officeDocument/2006/relationships/hyperlink" Target="https://jp.mercari.com/user/profile/982383008" TargetMode="External"/><Relationship Id="rId43" Type="http://schemas.openxmlformats.org/officeDocument/2006/relationships/hyperlink" Target="https://jp.mercari.com/user/profile/171502410" TargetMode="External"/><Relationship Id="rId64" Type="http://schemas.openxmlformats.org/officeDocument/2006/relationships/hyperlink" Target="https://jp.mercari.com/user/profile/344147771" TargetMode="External"/><Relationship Id="rId118" Type="http://schemas.openxmlformats.org/officeDocument/2006/relationships/hyperlink" Target="https://jp.mercari.com/user/profile/517155858" TargetMode="External"/><Relationship Id="rId139" Type="http://schemas.openxmlformats.org/officeDocument/2006/relationships/hyperlink" Target="https://jp.mercari.com/user/profile/991121823" TargetMode="External"/><Relationship Id="rId85" Type="http://schemas.openxmlformats.org/officeDocument/2006/relationships/hyperlink" Target="https://jp.mercari.com/user/profile/841748522" TargetMode="External"/><Relationship Id="rId150" Type="http://schemas.openxmlformats.org/officeDocument/2006/relationships/hyperlink" Target="https://jp.mercari.com/user/profile/911498648" TargetMode="External"/><Relationship Id="rId171" Type="http://schemas.openxmlformats.org/officeDocument/2006/relationships/hyperlink" Target="https://jp.mercari.com/user/profile/814291705" TargetMode="External"/><Relationship Id="rId192" Type="http://schemas.openxmlformats.org/officeDocument/2006/relationships/hyperlink" Target="https://jp.mercari.com/user/profile/568719744" TargetMode="External"/><Relationship Id="rId206" Type="http://schemas.openxmlformats.org/officeDocument/2006/relationships/hyperlink" Target="https://jp.mercari.com/user/profile/755214252" TargetMode="External"/><Relationship Id="rId227" Type="http://schemas.openxmlformats.org/officeDocument/2006/relationships/hyperlink" Target="https://jp.mercari.com/user/profile/481677900" TargetMode="External"/><Relationship Id="rId12" Type="http://schemas.openxmlformats.org/officeDocument/2006/relationships/hyperlink" Target="https://jp.mercari.com/user/profile/944216710" TargetMode="External"/><Relationship Id="rId33" Type="http://schemas.openxmlformats.org/officeDocument/2006/relationships/hyperlink" Target="https://jp.mercari.com/user/profile/122444580" TargetMode="External"/><Relationship Id="rId108" Type="http://schemas.openxmlformats.org/officeDocument/2006/relationships/hyperlink" Target="https://jp.mercari.com/user/profile/825354188" TargetMode="External"/><Relationship Id="rId129" Type="http://schemas.openxmlformats.org/officeDocument/2006/relationships/hyperlink" Target="https://jp.mercari.com/user/profile/350752317" TargetMode="External"/><Relationship Id="rId54" Type="http://schemas.openxmlformats.org/officeDocument/2006/relationships/hyperlink" Target="https://jp.mercari.com/user/profile/393402341" TargetMode="External"/><Relationship Id="rId75" Type="http://schemas.openxmlformats.org/officeDocument/2006/relationships/hyperlink" Target="https://jp.mercari.com/user/profile/671536119" TargetMode="External"/><Relationship Id="rId96" Type="http://schemas.openxmlformats.org/officeDocument/2006/relationships/hyperlink" Target="https://jp.mercari.com/user/profile/501003996" TargetMode="External"/><Relationship Id="rId140" Type="http://schemas.openxmlformats.org/officeDocument/2006/relationships/hyperlink" Target="https://jp.mercari.com/user/profile/931442305" TargetMode="External"/><Relationship Id="rId161" Type="http://schemas.openxmlformats.org/officeDocument/2006/relationships/hyperlink" Target="https://jp.mercari.com/user/profile/529000299" TargetMode="External"/><Relationship Id="rId182" Type="http://schemas.openxmlformats.org/officeDocument/2006/relationships/hyperlink" Target="https://jp.mercari.com/user/profile/775182025" TargetMode="External"/><Relationship Id="rId217" Type="http://schemas.openxmlformats.org/officeDocument/2006/relationships/hyperlink" Target="https://jp.mercari.com/user/profile/803332654" TargetMode="External"/><Relationship Id="rId6" Type="http://schemas.openxmlformats.org/officeDocument/2006/relationships/hyperlink" Target="https://jp.mercari.com/user/profile/238379887" TargetMode="External"/><Relationship Id="rId23" Type="http://schemas.openxmlformats.org/officeDocument/2006/relationships/hyperlink" Target="https://jp.mercari.com/user/profile/492848422" TargetMode="External"/><Relationship Id="rId119" Type="http://schemas.openxmlformats.org/officeDocument/2006/relationships/hyperlink" Target="https://jp.mercari.com/user/profile/691568200" TargetMode="External"/><Relationship Id="rId44" Type="http://schemas.openxmlformats.org/officeDocument/2006/relationships/hyperlink" Target="https://jp.mercari.com/user/profile/171502410" TargetMode="External"/><Relationship Id="rId65" Type="http://schemas.openxmlformats.org/officeDocument/2006/relationships/hyperlink" Target="https://jp.mercari.com/user/profile/849249940" TargetMode="External"/><Relationship Id="rId86" Type="http://schemas.openxmlformats.org/officeDocument/2006/relationships/hyperlink" Target="https://jp.mercari.com/user/profile/146590221" TargetMode="External"/><Relationship Id="rId130" Type="http://schemas.openxmlformats.org/officeDocument/2006/relationships/hyperlink" Target="https://jp.mercari.com/user/profile/330018736" TargetMode="External"/><Relationship Id="rId151" Type="http://schemas.openxmlformats.org/officeDocument/2006/relationships/hyperlink" Target="https://jp.mercari.com/user/profile/232326976" TargetMode="External"/><Relationship Id="rId172" Type="http://schemas.openxmlformats.org/officeDocument/2006/relationships/hyperlink" Target="https://jp.mercari.com/user/profile/800591128" TargetMode="External"/><Relationship Id="rId193" Type="http://schemas.openxmlformats.org/officeDocument/2006/relationships/hyperlink" Target="https://jp.mercari.com/user/profile/283425909" TargetMode="External"/><Relationship Id="rId207" Type="http://schemas.openxmlformats.org/officeDocument/2006/relationships/hyperlink" Target="https://jp.mercari.com/user/profile/481106224" TargetMode="External"/><Relationship Id="rId228" Type="http://schemas.openxmlformats.org/officeDocument/2006/relationships/hyperlink" Target="https://jp.mercari.com/user/profile/167698999" TargetMode="External"/><Relationship Id="rId13" Type="http://schemas.openxmlformats.org/officeDocument/2006/relationships/hyperlink" Target="https://jp.mercari.com/user/profile/197668192" TargetMode="External"/><Relationship Id="rId109" Type="http://schemas.openxmlformats.org/officeDocument/2006/relationships/hyperlink" Target="https://jp.mercari.com/user/profile/239130803" TargetMode="External"/><Relationship Id="rId34" Type="http://schemas.openxmlformats.org/officeDocument/2006/relationships/hyperlink" Target="https://jp.mercari.com/user/profile/215940215" TargetMode="External"/><Relationship Id="rId55" Type="http://schemas.openxmlformats.org/officeDocument/2006/relationships/hyperlink" Target="https://jp.mercari.com/user/profile/808941267" TargetMode="External"/><Relationship Id="rId76" Type="http://schemas.openxmlformats.org/officeDocument/2006/relationships/hyperlink" Target="https://jp.mercari.com/user/profile/787935126" TargetMode="External"/><Relationship Id="rId97" Type="http://schemas.openxmlformats.org/officeDocument/2006/relationships/hyperlink" Target="https://jp.mercari.com/user/profile/860818329" TargetMode="External"/><Relationship Id="rId120" Type="http://schemas.openxmlformats.org/officeDocument/2006/relationships/hyperlink" Target="https://jp.mercari.com/user/profile/278308986" TargetMode="External"/><Relationship Id="rId141" Type="http://schemas.openxmlformats.org/officeDocument/2006/relationships/hyperlink" Target="https://jp.mercari.com/user/profile/355482322" TargetMode="External"/><Relationship Id="rId7" Type="http://schemas.openxmlformats.org/officeDocument/2006/relationships/hyperlink" Target="https://jp.mercari.com/user/profile/914407265" TargetMode="External"/><Relationship Id="rId162" Type="http://schemas.openxmlformats.org/officeDocument/2006/relationships/hyperlink" Target="https://jp.mercari.com/user/profile/277472616" TargetMode="External"/><Relationship Id="rId183" Type="http://schemas.openxmlformats.org/officeDocument/2006/relationships/hyperlink" Target="https://jp.mercari.com/user/profile/249381466" TargetMode="External"/><Relationship Id="rId218" Type="http://schemas.openxmlformats.org/officeDocument/2006/relationships/hyperlink" Target="https://jp.mercari.com/user/profile/236595244" TargetMode="External"/><Relationship Id="rId24" Type="http://schemas.openxmlformats.org/officeDocument/2006/relationships/hyperlink" Target="https://jp.mercari.com/user/profile/959355186" TargetMode="External"/><Relationship Id="rId45" Type="http://schemas.openxmlformats.org/officeDocument/2006/relationships/hyperlink" Target="https://jp.mercari.com/user/profile/171502410" TargetMode="External"/><Relationship Id="rId66" Type="http://schemas.openxmlformats.org/officeDocument/2006/relationships/hyperlink" Target="https://jp.mercari.com/user/profile/236167161" TargetMode="External"/><Relationship Id="rId87" Type="http://schemas.openxmlformats.org/officeDocument/2006/relationships/hyperlink" Target="https://jp.mercari.com/user/profile/969841519" TargetMode="External"/><Relationship Id="rId110" Type="http://schemas.openxmlformats.org/officeDocument/2006/relationships/hyperlink" Target="https://jp.mercari.com/user/profile/692035422" TargetMode="External"/><Relationship Id="rId131" Type="http://schemas.openxmlformats.org/officeDocument/2006/relationships/hyperlink" Target="https://jp.mercari.com/user/profile/857704956" TargetMode="External"/><Relationship Id="rId152" Type="http://schemas.openxmlformats.org/officeDocument/2006/relationships/hyperlink" Target="https://jp.mercari.com/user/profile/629504097" TargetMode="External"/><Relationship Id="rId173" Type="http://schemas.openxmlformats.org/officeDocument/2006/relationships/hyperlink" Target="https://jp.mercari.com/user/profile/740879433" TargetMode="External"/><Relationship Id="rId194" Type="http://schemas.openxmlformats.org/officeDocument/2006/relationships/hyperlink" Target="https://jp.mercari.com/user/profile/444486388" TargetMode="External"/><Relationship Id="rId208" Type="http://schemas.openxmlformats.org/officeDocument/2006/relationships/hyperlink" Target="https://jp.mercari.com/user/profile/217000857" TargetMode="External"/><Relationship Id="rId229" Type="http://schemas.openxmlformats.org/officeDocument/2006/relationships/hyperlink" Target="https://jp.mercari.com/user/profile/961914651" TargetMode="External"/><Relationship Id="rId14" Type="http://schemas.openxmlformats.org/officeDocument/2006/relationships/hyperlink" Target="https://jp.mercari.com/user/profile/539327908" TargetMode="External"/><Relationship Id="rId35" Type="http://schemas.openxmlformats.org/officeDocument/2006/relationships/hyperlink" Target="https://jp.mercari.com/user/profile/518252421" TargetMode="External"/><Relationship Id="rId56" Type="http://schemas.openxmlformats.org/officeDocument/2006/relationships/hyperlink" Target="https://jp.mercari.com/user/profile/393402341" TargetMode="External"/><Relationship Id="rId77" Type="http://schemas.openxmlformats.org/officeDocument/2006/relationships/hyperlink" Target="https://jp.mercari.com/user/profile/227331810" TargetMode="External"/><Relationship Id="rId100" Type="http://schemas.openxmlformats.org/officeDocument/2006/relationships/hyperlink" Target="https://jp.mercari.com/user/profile/541292355" TargetMode="External"/><Relationship Id="rId8" Type="http://schemas.openxmlformats.org/officeDocument/2006/relationships/hyperlink" Target="https://jp.mercari.com/user/profile/407222426" TargetMode="External"/><Relationship Id="rId98" Type="http://schemas.openxmlformats.org/officeDocument/2006/relationships/hyperlink" Target="https://jp.mercari.com/user/profile/352436722" TargetMode="External"/><Relationship Id="rId121" Type="http://schemas.openxmlformats.org/officeDocument/2006/relationships/hyperlink" Target="https://jp.mercari.com/user/profile/280253515" TargetMode="External"/><Relationship Id="rId142" Type="http://schemas.openxmlformats.org/officeDocument/2006/relationships/hyperlink" Target="https://jp.mercari.com/user/profile/504832771" TargetMode="External"/><Relationship Id="rId163" Type="http://schemas.openxmlformats.org/officeDocument/2006/relationships/hyperlink" Target="https://jp.mercari.com/user/profile/856514279" TargetMode="External"/><Relationship Id="rId184" Type="http://schemas.openxmlformats.org/officeDocument/2006/relationships/hyperlink" Target="https://jp.mercari.com/user/profile/684527346" TargetMode="External"/><Relationship Id="rId219" Type="http://schemas.openxmlformats.org/officeDocument/2006/relationships/hyperlink" Target="https://jp.mercari.com/user/profile/886859711" TargetMode="External"/><Relationship Id="rId230" Type="http://schemas.openxmlformats.org/officeDocument/2006/relationships/hyperlink" Target="https://jp.mercari.com/user/profile/327218417" TargetMode="External"/><Relationship Id="rId25" Type="http://schemas.openxmlformats.org/officeDocument/2006/relationships/hyperlink" Target="https://jp.mercari.com/user/profile/491668759" TargetMode="External"/><Relationship Id="rId46" Type="http://schemas.openxmlformats.org/officeDocument/2006/relationships/hyperlink" Target="https://jp.mercari.com/user/profile/171502410" TargetMode="External"/><Relationship Id="rId67" Type="http://schemas.openxmlformats.org/officeDocument/2006/relationships/hyperlink" Target="https://jp.mercari.com/user/profile/551419431" TargetMode="External"/><Relationship Id="rId20" Type="http://schemas.openxmlformats.org/officeDocument/2006/relationships/hyperlink" Target="https://jp.mercari.com/user/profile/223872184" TargetMode="External"/><Relationship Id="rId41" Type="http://schemas.openxmlformats.org/officeDocument/2006/relationships/hyperlink" Target="https://jp.mercari.com/user/profile/969841519" TargetMode="External"/><Relationship Id="rId62" Type="http://schemas.openxmlformats.org/officeDocument/2006/relationships/hyperlink" Target="https://jp.mercari.com/user/profile/188935989" TargetMode="External"/><Relationship Id="rId83" Type="http://schemas.openxmlformats.org/officeDocument/2006/relationships/hyperlink" Target="https://jp.mercari.com/user/profile/847279012" TargetMode="External"/><Relationship Id="rId88" Type="http://schemas.openxmlformats.org/officeDocument/2006/relationships/hyperlink" Target="https://jp.mercari.com/user/profile/490588751" TargetMode="External"/><Relationship Id="rId111" Type="http://schemas.openxmlformats.org/officeDocument/2006/relationships/hyperlink" Target="https://jp.mercari.com/user/profile/386016259" TargetMode="External"/><Relationship Id="rId132" Type="http://schemas.openxmlformats.org/officeDocument/2006/relationships/hyperlink" Target="https://jp.mercari.com/user/profile/791460359" TargetMode="External"/><Relationship Id="rId153" Type="http://schemas.openxmlformats.org/officeDocument/2006/relationships/hyperlink" Target="https://jp.mercari.com/user/profile/707176998" TargetMode="External"/><Relationship Id="rId174" Type="http://schemas.openxmlformats.org/officeDocument/2006/relationships/hyperlink" Target="https://jp.mercari.com/user/profile/700756962" TargetMode="External"/><Relationship Id="rId179" Type="http://schemas.openxmlformats.org/officeDocument/2006/relationships/hyperlink" Target="https://jp.mercari.com/user/profile/270767332" TargetMode="External"/><Relationship Id="rId195" Type="http://schemas.openxmlformats.org/officeDocument/2006/relationships/hyperlink" Target="https://jp.mercari.com/user/profile/701746034" TargetMode="External"/><Relationship Id="rId209" Type="http://schemas.openxmlformats.org/officeDocument/2006/relationships/hyperlink" Target="https://jp.mercari.com/user/profile/371777437" TargetMode="External"/><Relationship Id="rId190" Type="http://schemas.openxmlformats.org/officeDocument/2006/relationships/hyperlink" Target="https://jp.mercari.com/user/profile/550469738" TargetMode="External"/><Relationship Id="rId204" Type="http://schemas.openxmlformats.org/officeDocument/2006/relationships/hyperlink" Target="https://jp.mercari.com/user/profile/248004716" TargetMode="External"/><Relationship Id="rId220" Type="http://schemas.openxmlformats.org/officeDocument/2006/relationships/hyperlink" Target="https://jp.mercari.com/user/profile/754750238" TargetMode="External"/><Relationship Id="rId225" Type="http://schemas.openxmlformats.org/officeDocument/2006/relationships/hyperlink" Target="https://jp.mercari.com/user/profile/122676889" TargetMode="External"/><Relationship Id="rId15" Type="http://schemas.openxmlformats.org/officeDocument/2006/relationships/hyperlink" Target="https://jp.mercari.com/user/profile/500639127" TargetMode="External"/><Relationship Id="rId36" Type="http://schemas.openxmlformats.org/officeDocument/2006/relationships/hyperlink" Target="https://jp.mercari.com/user/profile/123504239" TargetMode="External"/><Relationship Id="rId57" Type="http://schemas.openxmlformats.org/officeDocument/2006/relationships/hyperlink" Target="https://jp.mercari.com/user/profile/212733907" TargetMode="External"/><Relationship Id="rId106" Type="http://schemas.openxmlformats.org/officeDocument/2006/relationships/hyperlink" Target="https://jp.mercari.com/user/profile/947575362" TargetMode="External"/><Relationship Id="rId127" Type="http://schemas.openxmlformats.org/officeDocument/2006/relationships/hyperlink" Target="https://jp.mercari.com/user/profile/851096554" TargetMode="External"/><Relationship Id="rId10" Type="http://schemas.openxmlformats.org/officeDocument/2006/relationships/hyperlink" Target="https://jp.mercari.com/user/profile/407222426" TargetMode="External"/><Relationship Id="rId31" Type="http://schemas.openxmlformats.org/officeDocument/2006/relationships/hyperlink" Target="https://jp.mercari.com/user/profile/215940215" TargetMode="External"/><Relationship Id="rId52" Type="http://schemas.openxmlformats.org/officeDocument/2006/relationships/hyperlink" Target="https://jp.mercari.com/user/profile/512975554" TargetMode="External"/><Relationship Id="rId73" Type="http://schemas.openxmlformats.org/officeDocument/2006/relationships/hyperlink" Target="https://jp.mercari.com/user/profile/702325528" TargetMode="External"/><Relationship Id="rId78" Type="http://schemas.openxmlformats.org/officeDocument/2006/relationships/hyperlink" Target="https://jp.mercari.com/user/profile/984285714" TargetMode="External"/><Relationship Id="rId94" Type="http://schemas.openxmlformats.org/officeDocument/2006/relationships/hyperlink" Target="https://jp.mercari.com/user/profile/187459633" TargetMode="External"/><Relationship Id="rId99" Type="http://schemas.openxmlformats.org/officeDocument/2006/relationships/hyperlink" Target="https://jp.mercari.com/user/profile/653826203" TargetMode="External"/><Relationship Id="rId101" Type="http://schemas.openxmlformats.org/officeDocument/2006/relationships/hyperlink" Target="https://jp.mercari.com/user/profile/502656080" TargetMode="External"/><Relationship Id="rId122" Type="http://schemas.openxmlformats.org/officeDocument/2006/relationships/hyperlink" Target="https://jp.mercari.com/user/profile/303162574" TargetMode="External"/><Relationship Id="rId143" Type="http://schemas.openxmlformats.org/officeDocument/2006/relationships/hyperlink" Target="https://jp.mercari.com/user/profile/324305396" TargetMode="External"/><Relationship Id="rId148" Type="http://schemas.openxmlformats.org/officeDocument/2006/relationships/hyperlink" Target="https://jp.mercari.com/user/profile/578309756" TargetMode="External"/><Relationship Id="rId164" Type="http://schemas.openxmlformats.org/officeDocument/2006/relationships/hyperlink" Target="https://jp.mercari.com/user/profile/110973205" TargetMode="External"/><Relationship Id="rId169" Type="http://schemas.openxmlformats.org/officeDocument/2006/relationships/hyperlink" Target="https://jp.mercari.com/user/profile/247655624" TargetMode="External"/><Relationship Id="rId185" Type="http://schemas.openxmlformats.org/officeDocument/2006/relationships/hyperlink" Target="https://jp.mercari.com/user/profile/572841409" TargetMode="External"/><Relationship Id="rId4" Type="http://schemas.openxmlformats.org/officeDocument/2006/relationships/hyperlink" Target="https://jp.mercari.com/user/profile/892800747" TargetMode="External"/><Relationship Id="rId9" Type="http://schemas.openxmlformats.org/officeDocument/2006/relationships/hyperlink" Target="https://jp.mercari.com/user/profile/536939945" TargetMode="External"/><Relationship Id="rId180" Type="http://schemas.openxmlformats.org/officeDocument/2006/relationships/hyperlink" Target="https://jp.mercari.com/user/profile/757523438" TargetMode="External"/><Relationship Id="rId210" Type="http://schemas.openxmlformats.org/officeDocument/2006/relationships/hyperlink" Target="https://jp.mercari.com/user/profile/632516998" TargetMode="External"/><Relationship Id="rId215" Type="http://schemas.openxmlformats.org/officeDocument/2006/relationships/hyperlink" Target="https://jp.mercari.com/user/profile/873760993" TargetMode="External"/><Relationship Id="rId26" Type="http://schemas.openxmlformats.org/officeDocument/2006/relationships/hyperlink" Target="https://jp.mercari.com/user/profile/799440309" TargetMode="External"/><Relationship Id="rId231" Type="http://schemas.openxmlformats.org/officeDocument/2006/relationships/hyperlink" Target="https://jp.mercari.com/user/profile/925012308" TargetMode="External"/><Relationship Id="rId47" Type="http://schemas.openxmlformats.org/officeDocument/2006/relationships/hyperlink" Target="https://jp.mercari.com/user/profile/892107190" TargetMode="External"/><Relationship Id="rId68" Type="http://schemas.openxmlformats.org/officeDocument/2006/relationships/hyperlink" Target="https://jp.mercari.com/user/profile/962427549" TargetMode="External"/><Relationship Id="rId89" Type="http://schemas.openxmlformats.org/officeDocument/2006/relationships/hyperlink" Target="https://jp.mercari.com/user/profile/909747445" TargetMode="External"/><Relationship Id="rId112" Type="http://schemas.openxmlformats.org/officeDocument/2006/relationships/hyperlink" Target="https://jp.mercari.com/user/profile/981786910" TargetMode="External"/><Relationship Id="rId133" Type="http://schemas.openxmlformats.org/officeDocument/2006/relationships/hyperlink" Target="https://jp.mercari.com/user/profile/753699524" TargetMode="External"/><Relationship Id="rId154" Type="http://schemas.openxmlformats.org/officeDocument/2006/relationships/hyperlink" Target="https://jp.mercari.com/user/profile/208619391" TargetMode="External"/><Relationship Id="rId175" Type="http://schemas.openxmlformats.org/officeDocument/2006/relationships/hyperlink" Target="https://jp.mercari.com/user/profile/534993245" TargetMode="External"/><Relationship Id="rId196" Type="http://schemas.openxmlformats.org/officeDocument/2006/relationships/hyperlink" Target="https://jp.mercari.com/user/profile/257458826" TargetMode="External"/><Relationship Id="rId200" Type="http://schemas.openxmlformats.org/officeDocument/2006/relationships/hyperlink" Target="https://jp.mercari.com/user/profile/649922556" TargetMode="External"/><Relationship Id="rId16" Type="http://schemas.openxmlformats.org/officeDocument/2006/relationships/hyperlink" Target="https://jp.mercari.com/user/profile/581954897" TargetMode="External"/><Relationship Id="rId221" Type="http://schemas.openxmlformats.org/officeDocument/2006/relationships/hyperlink" Target="https://jp.mercari.com/user/profile/571217531" TargetMode="External"/><Relationship Id="rId37" Type="http://schemas.openxmlformats.org/officeDocument/2006/relationships/hyperlink" Target="https://jp.mercari.com/user/profile/665679113" TargetMode="External"/><Relationship Id="rId58" Type="http://schemas.openxmlformats.org/officeDocument/2006/relationships/hyperlink" Target="https://jp.mercari.com/user/profile/913243343" TargetMode="External"/><Relationship Id="rId79" Type="http://schemas.openxmlformats.org/officeDocument/2006/relationships/hyperlink" Target="https://jp.mercari.com/user/profile/805098578" TargetMode="External"/><Relationship Id="rId102" Type="http://schemas.openxmlformats.org/officeDocument/2006/relationships/hyperlink" Target="https://jp.mercari.com/user/profile/818727112" TargetMode="External"/><Relationship Id="rId123" Type="http://schemas.openxmlformats.org/officeDocument/2006/relationships/hyperlink" Target="https://jp.mercari.com/user/profile/734193137" TargetMode="External"/><Relationship Id="rId144" Type="http://schemas.openxmlformats.org/officeDocument/2006/relationships/hyperlink" Target="https://jp.mercari.com/user/profile/328275161" TargetMode="External"/><Relationship Id="rId90" Type="http://schemas.openxmlformats.org/officeDocument/2006/relationships/hyperlink" Target="https://jp.mercari.com/user/profile/377311482" TargetMode="External"/><Relationship Id="rId165" Type="http://schemas.openxmlformats.org/officeDocument/2006/relationships/hyperlink" Target="https://jp.mercari.com/user/profile/932812139" TargetMode="External"/><Relationship Id="rId186" Type="http://schemas.openxmlformats.org/officeDocument/2006/relationships/hyperlink" Target="https://jp.mercari.com/user/profile/555217535" TargetMode="External"/><Relationship Id="rId211" Type="http://schemas.openxmlformats.org/officeDocument/2006/relationships/hyperlink" Target="https://jp.mercari.com/user/profile/387239421" TargetMode="External"/><Relationship Id="rId232" Type="http://schemas.openxmlformats.org/officeDocument/2006/relationships/hyperlink" Target="https://jp.mercari.com/user/profile/608021750" TargetMode="External"/><Relationship Id="rId27" Type="http://schemas.openxmlformats.org/officeDocument/2006/relationships/hyperlink" Target="https://jp.mercari.com/user/profile/222603259" TargetMode="External"/><Relationship Id="rId48" Type="http://schemas.openxmlformats.org/officeDocument/2006/relationships/hyperlink" Target="https://jp.mercari.com/user/profile/221907719" TargetMode="External"/><Relationship Id="rId69" Type="http://schemas.openxmlformats.org/officeDocument/2006/relationships/hyperlink" Target="https://jp.mercari.com/user/profile/397655671" TargetMode="External"/><Relationship Id="rId113" Type="http://schemas.openxmlformats.org/officeDocument/2006/relationships/hyperlink" Target="https://jp.mercari.com/user/profile/270677340" TargetMode="External"/><Relationship Id="rId134" Type="http://schemas.openxmlformats.org/officeDocument/2006/relationships/hyperlink" Target="https://jp.mercari.com/user/profile/389892361" TargetMode="External"/><Relationship Id="rId80" Type="http://schemas.openxmlformats.org/officeDocument/2006/relationships/hyperlink" Target="https://jp.mercari.com/user/profile/930419956" TargetMode="External"/><Relationship Id="rId155" Type="http://schemas.openxmlformats.org/officeDocument/2006/relationships/hyperlink" Target="https://jp.mercari.com/user/profile/471703027" TargetMode="External"/><Relationship Id="rId176" Type="http://schemas.openxmlformats.org/officeDocument/2006/relationships/hyperlink" Target="https://jp.mercari.com/user/profile/460597505" TargetMode="External"/><Relationship Id="rId197" Type="http://schemas.openxmlformats.org/officeDocument/2006/relationships/hyperlink" Target="https://jp.mercari.com/user/profile/881568689" TargetMode="External"/><Relationship Id="rId201" Type="http://schemas.openxmlformats.org/officeDocument/2006/relationships/hyperlink" Target="https://jp.mercari.com/user/profile/276839629" TargetMode="External"/><Relationship Id="rId222" Type="http://schemas.openxmlformats.org/officeDocument/2006/relationships/hyperlink" Target="https://jp.mercari.com/user/profile/416613630" TargetMode="External"/><Relationship Id="rId17" Type="http://schemas.openxmlformats.org/officeDocument/2006/relationships/hyperlink" Target="https://jp.mercari.com/user/profile/118819121" TargetMode="External"/><Relationship Id="rId38" Type="http://schemas.openxmlformats.org/officeDocument/2006/relationships/hyperlink" Target="https://jp.mercari.com/user/profile/590007208" TargetMode="External"/><Relationship Id="rId59" Type="http://schemas.openxmlformats.org/officeDocument/2006/relationships/hyperlink" Target="https://jp.mercari.com/user/profile/533711693" TargetMode="External"/><Relationship Id="rId103" Type="http://schemas.openxmlformats.org/officeDocument/2006/relationships/hyperlink" Target="https://jp.mercari.com/user/profile/441862293" TargetMode="External"/><Relationship Id="rId124" Type="http://schemas.openxmlformats.org/officeDocument/2006/relationships/hyperlink" Target="https://jp.mercari.com/user/profile/224651338" TargetMode="External"/><Relationship Id="rId70" Type="http://schemas.openxmlformats.org/officeDocument/2006/relationships/hyperlink" Target="https://jp.mercari.com/user/profile/727573822" TargetMode="External"/><Relationship Id="rId91" Type="http://schemas.openxmlformats.org/officeDocument/2006/relationships/hyperlink" Target="https://jp.mercari.com/user/profile/984382632" TargetMode="External"/><Relationship Id="rId145" Type="http://schemas.openxmlformats.org/officeDocument/2006/relationships/hyperlink" Target="https://jp.mercari.com/user/profile/414158648" TargetMode="External"/><Relationship Id="rId166" Type="http://schemas.openxmlformats.org/officeDocument/2006/relationships/hyperlink" Target="https://jp.mercari.com/user/profile/635560969" TargetMode="External"/><Relationship Id="rId187" Type="http://schemas.openxmlformats.org/officeDocument/2006/relationships/hyperlink" Target="https://jp.mercari.com/user/profile/395804221" TargetMode="External"/><Relationship Id="rId1" Type="http://schemas.openxmlformats.org/officeDocument/2006/relationships/hyperlink" Target="https://jp.mercari.com/user/profile/491901537" TargetMode="External"/><Relationship Id="rId212" Type="http://schemas.openxmlformats.org/officeDocument/2006/relationships/hyperlink" Target="https://jp.mercari.com/user/profile/717219264" TargetMode="External"/><Relationship Id="rId233" Type="http://schemas.openxmlformats.org/officeDocument/2006/relationships/hyperlink" Target="https://jp.mercari.com/user/profile/258316088" TargetMode="External"/><Relationship Id="rId28" Type="http://schemas.openxmlformats.org/officeDocument/2006/relationships/hyperlink" Target="https://jp.mercari.com/user/profile/626212900" TargetMode="External"/><Relationship Id="rId49" Type="http://schemas.openxmlformats.org/officeDocument/2006/relationships/hyperlink" Target="https://jp.mercari.com/user/profile/221907719" TargetMode="External"/><Relationship Id="rId114" Type="http://schemas.openxmlformats.org/officeDocument/2006/relationships/hyperlink" Target="https://jp.mercari.com/user/profile/650586690" TargetMode="External"/><Relationship Id="rId60" Type="http://schemas.openxmlformats.org/officeDocument/2006/relationships/hyperlink" Target="https://jp.mercari.com/user/profile/471369218" TargetMode="External"/><Relationship Id="rId81" Type="http://schemas.openxmlformats.org/officeDocument/2006/relationships/hyperlink" Target="https://jp.mercari.com/user/profile/787599865" TargetMode="External"/><Relationship Id="rId135" Type="http://schemas.openxmlformats.org/officeDocument/2006/relationships/hyperlink" Target="https://jp.mercari.com/user/profile/883126348" TargetMode="External"/><Relationship Id="rId156" Type="http://schemas.openxmlformats.org/officeDocument/2006/relationships/hyperlink" Target="https://jp.mercari.com/user/profile/681628236" TargetMode="External"/><Relationship Id="rId177" Type="http://schemas.openxmlformats.org/officeDocument/2006/relationships/hyperlink" Target="https://jp.mercari.com/user/profile/870344668" TargetMode="External"/><Relationship Id="rId198" Type="http://schemas.openxmlformats.org/officeDocument/2006/relationships/hyperlink" Target="https://jp.mercari.com/user/profile/548848414" TargetMode="External"/><Relationship Id="rId202" Type="http://schemas.openxmlformats.org/officeDocument/2006/relationships/hyperlink" Target="https://jp.mercari.com/user/profile/256810854" TargetMode="External"/><Relationship Id="rId223" Type="http://schemas.openxmlformats.org/officeDocument/2006/relationships/hyperlink" Target="https://jp.mercari.com/user/profile/517427281" TargetMode="External"/><Relationship Id="rId18" Type="http://schemas.openxmlformats.org/officeDocument/2006/relationships/hyperlink" Target="https://jp.mercari.com/user/profile/271697118" TargetMode="External"/><Relationship Id="rId39" Type="http://schemas.openxmlformats.org/officeDocument/2006/relationships/hyperlink" Target="https://jp.mercari.com/user/profile/590007208" TargetMode="External"/><Relationship Id="rId50" Type="http://schemas.openxmlformats.org/officeDocument/2006/relationships/hyperlink" Target="https://jp.mercari.com/user/profile/913957556" TargetMode="External"/><Relationship Id="rId104" Type="http://schemas.openxmlformats.org/officeDocument/2006/relationships/hyperlink" Target="https://jp.mercari.com/user/profile/765928167" TargetMode="External"/><Relationship Id="rId125" Type="http://schemas.openxmlformats.org/officeDocument/2006/relationships/hyperlink" Target="https://jp.mercari.com/user/profile/965525297" TargetMode="External"/><Relationship Id="rId146" Type="http://schemas.openxmlformats.org/officeDocument/2006/relationships/hyperlink" Target="https://jp.mercari.com/user/profile/783784493" TargetMode="External"/><Relationship Id="rId167" Type="http://schemas.openxmlformats.org/officeDocument/2006/relationships/hyperlink" Target="https://jp.mercari.com/user/profile/725702162" TargetMode="External"/><Relationship Id="rId188" Type="http://schemas.openxmlformats.org/officeDocument/2006/relationships/hyperlink" Target="https://jp.mercari.com/user/profile/508771581" TargetMode="External"/><Relationship Id="rId71" Type="http://schemas.openxmlformats.org/officeDocument/2006/relationships/hyperlink" Target="https://jp.mercari.com/user/profile/821182525" TargetMode="External"/><Relationship Id="rId92" Type="http://schemas.openxmlformats.org/officeDocument/2006/relationships/hyperlink" Target="https://jp.mercari.com/user/profile/717341289" TargetMode="External"/><Relationship Id="rId213" Type="http://schemas.openxmlformats.org/officeDocument/2006/relationships/hyperlink" Target="https://jp.mercari.com/user/profile/155913447" TargetMode="External"/><Relationship Id="rId234" Type="http://schemas.openxmlformats.org/officeDocument/2006/relationships/hyperlink" Target="https://jp.mercari.com/user/profile/742300016" TargetMode="External"/><Relationship Id="rId2" Type="http://schemas.openxmlformats.org/officeDocument/2006/relationships/hyperlink" Target="https://jp.mercari.com/user/profile/488490508" TargetMode="External"/><Relationship Id="rId29" Type="http://schemas.openxmlformats.org/officeDocument/2006/relationships/hyperlink" Target="https://jp.mercari.com/user/profile/804470175" TargetMode="External"/><Relationship Id="rId40" Type="http://schemas.openxmlformats.org/officeDocument/2006/relationships/hyperlink" Target="https://jp.mercari.com/user/profile/266934690" TargetMode="External"/><Relationship Id="rId115" Type="http://schemas.openxmlformats.org/officeDocument/2006/relationships/hyperlink" Target="https://jp.mercari.com/user/profile/612383675" TargetMode="External"/><Relationship Id="rId136" Type="http://schemas.openxmlformats.org/officeDocument/2006/relationships/hyperlink" Target="https://jp.mercari.com/user/profile/845491120" TargetMode="External"/><Relationship Id="rId157" Type="http://schemas.openxmlformats.org/officeDocument/2006/relationships/hyperlink" Target="https://jp.mercari.com/user/profile/568336948" TargetMode="External"/><Relationship Id="rId178" Type="http://schemas.openxmlformats.org/officeDocument/2006/relationships/hyperlink" Target="https://jp.mercari.com/user/profile/331330961" TargetMode="External"/><Relationship Id="rId61" Type="http://schemas.openxmlformats.org/officeDocument/2006/relationships/hyperlink" Target="https://jp.mercari.com/user/profile/854695630" TargetMode="External"/><Relationship Id="rId82" Type="http://schemas.openxmlformats.org/officeDocument/2006/relationships/hyperlink" Target="https://jp.mercari.com/user/profile/382314292" TargetMode="External"/><Relationship Id="rId199" Type="http://schemas.openxmlformats.org/officeDocument/2006/relationships/hyperlink" Target="https://jp.mercari.com/user/profile/242964885" TargetMode="External"/><Relationship Id="rId203" Type="http://schemas.openxmlformats.org/officeDocument/2006/relationships/hyperlink" Target="https://jp.mercari.com/user/profile/484245441" TargetMode="External"/><Relationship Id="rId19" Type="http://schemas.openxmlformats.org/officeDocument/2006/relationships/hyperlink" Target="https://jp.mercari.com/user/profile/223872184" TargetMode="External"/><Relationship Id="rId224" Type="http://schemas.openxmlformats.org/officeDocument/2006/relationships/hyperlink" Target="https://jp.mercari.com/user/profile/222451388" TargetMode="External"/><Relationship Id="rId30" Type="http://schemas.openxmlformats.org/officeDocument/2006/relationships/hyperlink" Target="https://jp.mercari.com/user/profile/804470175" TargetMode="External"/><Relationship Id="rId105" Type="http://schemas.openxmlformats.org/officeDocument/2006/relationships/hyperlink" Target="https://jp.mercari.com/user/profile/633957688" TargetMode="External"/><Relationship Id="rId126" Type="http://schemas.openxmlformats.org/officeDocument/2006/relationships/hyperlink" Target="https://jp.mercari.com/user/profile/561228847" TargetMode="External"/><Relationship Id="rId147" Type="http://schemas.openxmlformats.org/officeDocument/2006/relationships/hyperlink" Target="https://jp.mercari.com/user/profile/348640154" TargetMode="External"/><Relationship Id="rId168" Type="http://schemas.openxmlformats.org/officeDocument/2006/relationships/hyperlink" Target="https://jp.mercari.com/user/profile/427812779" TargetMode="External"/><Relationship Id="rId51" Type="http://schemas.openxmlformats.org/officeDocument/2006/relationships/hyperlink" Target="https://jp.mercari.com/user/profile/491668759" TargetMode="External"/><Relationship Id="rId72" Type="http://schemas.openxmlformats.org/officeDocument/2006/relationships/hyperlink" Target="https://jp.mercari.com/user/profile/444365584" TargetMode="External"/><Relationship Id="rId93" Type="http://schemas.openxmlformats.org/officeDocument/2006/relationships/hyperlink" Target="https://jp.mercari.com/user/profile/501592936" TargetMode="External"/><Relationship Id="rId189" Type="http://schemas.openxmlformats.org/officeDocument/2006/relationships/hyperlink" Target="https://jp.mercari.com/user/profile/798580935" TargetMode="External"/><Relationship Id="rId3" Type="http://schemas.openxmlformats.org/officeDocument/2006/relationships/hyperlink" Target="https://jp.mercari.com/user/profile/404152145" TargetMode="External"/><Relationship Id="rId214" Type="http://schemas.openxmlformats.org/officeDocument/2006/relationships/hyperlink" Target="https://jp.mercari.com/user/profile/570556492" TargetMode="External"/><Relationship Id="rId235" Type="http://schemas.openxmlformats.org/officeDocument/2006/relationships/hyperlink" Target="https://jp.mercari.com/user/profile/152621810" TargetMode="External"/><Relationship Id="rId116" Type="http://schemas.openxmlformats.org/officeDocument/2006/relationships/hyperlink" Target="https://jp.mercari.com/user/profile/766877200" TargetMode="External"/><Relationship Id="rId137" Type="http://schemas.openxmlformats.org/officeDocument/2006/relationships/hyperlink" Target="https://jp.mercari.com/user/profile/476831754" TargetMode="External"/><Relationship Id="rId158" Type="http://schemas.openxmlformats.org/officeDocument/2006/relationships/hyperlink" Target="https://jp.mercari.com/user/profile/851758800" TargetMode="External"/></Relationships>
</file>

<file path=xl/worksheets/_rels/sheet9.xml.rels><?xml version="1.0" encoding="UTF-8" standalone="yes"?>
<Relationships xmlns="http://schemas.openxmlformats.org/package/2006/relationships"><Relationship Id="rId117" Type="http://schemas.openxmlformats.org/officeDocument/2006/relationships/hyperlink" Target="https://jp.mercari.com/user/profile/889019045" TargetMode="External"/><Relationship Id="rId21" Type="http://schemas.openxmlformats.org/officeDocument/2006/relationships/hyperlink" Target="https://jp.mercari.com/user/profile/517344300" TargetMode="External"/><Relationship Id="rId42" Type="http://schemas.openxmlformats.org/officeDocument/2006/relationships/hyperlink" Target="https://jp.mercari.com/user/profile/164265873" TargetMode="External"/><Relationship Id="rId63" Type="http://schemas.openxmlformats.org/officeDocument/2006/relationships/hyperlink" Target="https://jp.mercari.com/user/profile/758314546" TargetMode="External"/><Relationship Id="rId84" Type="http://schemas.openxmlformats.org/officeDocument/2006/relationships/hyperlink" Target="https://jp.mercari.com/user/profile/855524131" TargetMode="External"/><Relationship Id="rId138" Type="http://schemas.openxmlformats.org/officeDocument/2006/relationships/hyperlink" Target="https://jp.mercari.com/user/profile/814855383" TargetMode="External"/><Relationship Id="rId159" Type="http://schemas.openxmlformats.org/officeDocument/2006/relationships/hyperlink" Target="https://jp.mercari.com/user/profile/237082076" TargetMode="External"/><Relationship Id="rId170" Type="http://schemas.openxmlformats.org/officeDocument/2006/relationships/hyperlink" Target="https://jp.mercari.com/user/profile/559371702" TargetMode="External"/><Relationship Id="rId191" Type="http://schemas.openxmlformats.org/officeDocument/2006/relationships/hyperlink" Target="https://jp.mercari.com/user/profile/109732965" TargetMode="External"/><Relationship Id="rId205" Type="http://schemas.openxmlformats.org/officeDocument/2006/relationships/hyperlink" Target="https://jp.mercari.com/user/profile/437858476" TargetMode="External"/><Relationship Id="rId107" Type="http://schemas.openxmlformats.org/officeDocument/2006/relationships/hyperlink" Target="https://jp.mercari.com/user/profile/837044992" TargetMode="External"/><Relationship Id="rId11" Type="http://schemas.openxmlformats.org/officeDocument/2006/relationships/hyperlink" Target="https://jp.mercari.com/user/profile/578600870" TargetMode="External"/><Relationship Id="rId32" Type="http://schemas.openxmlformats.org/officeDocument/2006/relationships/hyperlink" Target="https://jp.mercari.com/user/profile/109412018" TargetMode="External"/><Relationship Id="rId53" Type="http://schemas.openxmlformats.org/officeDocument/2006/relationships/hyperlink" Target="https://jp.mercari.com/user/profile/564904256" TargetMode="External"/><Relationship Id="rId74" Type="http://schemas.openxmlformats.org/officeDocument/2006/relationships/hyperlink" Target="https://jp.mercari.com/user/profile/823269324" TargetMode="External"/><Relationship Id="rId128" Type="http://schemas.openxmlformats.org/officeDocument/2006/relationships/hyperlink" Target="https://jp.mercari.com/user/profile/154471092" TargetMode="External"/><Relationship Id="rId149" Type="http://schemas.openxmlformats.org/officeDocument/2006/relationships/hyperlink" Target="https://jp.mercari.com/user/profile/516994558" TargetMode="External"/><Relationship Id="rId5" Type="http://schemas.openxmlformats.org/officeDocument/2006/relationships/hyperlink" Target="https://jp.mercari.com/user/profile/440932099" TargetMode="External"/><Relationship Id="rId95" Type="http://schemas.openxmlformats.org/officeDocument/2006/relationships/hyperlink" Target="https://jp.mercari.com/user/profile/345602703" TargetMode="External"/><Relationship Id="rId160" Type="http://schemas.openxmlformats.org/officeDocument/2006/relationships/hyperlink" Target="https://jp.mercari.com/user/profile/896190756" TargetMode="External"/><Relationship Id="rId181" Type="http://schemas.openxmlformats.org/officeDocument/2006/relationships/hyperlink" Target="https://jp.mercari.com/user/profile/689476836" TargetMode="External"/><Relationship Id="rId216" Type="http://schemas.openxmlformats.org/officeDocument/2006/relationships/hyperlink" Target="https://www.instagram.com/hukko29/" TargetMode="External"/><Relationship Id="rId22" Type="http://schemas.openxmlformats.org/officeDocument/2006/relationships/hyperlink" Target="https://jp.mercari.com/user/profile/720974280" TargetMode="External"/><Relationship Id="rId43" Type="http://schemas.openxmlformats.org/officeDocument/2006/relationships/hyperlink" Target="https://jp.mercari.com/user/profile/197916479" TargetMode="External"/><Relationship Id="rId64" Type="http://schemas.openxmlformats.org/officeDocument/2006/relationships/hyperlink" Target="https://jp.mercari.com/user/profile/487104668" TargetMode="External"/><Relationship Id="rId118" Type="http://schemas.openxmlformats.org/officeDocument/2006/relationships/hyperlink" Target="https://jp.mercari.com/user/profile/713106139" TargetMode="External"/><Relationship Id="rId139" Type="http://schemas.openxmlformats.org/officeDocument/2006/relationships/hyperlink" Target="https://jp.mercari.com/user/profile/362254156" TargetMode="External"/><Relationship Id="rId85" Type="http://schemas.openxmlformats.org/officeDocument/2006/relationships/hyperlink" Target="https://jp.mercari.com/user/profile/717824601" TargetMode="External"/><Relationship Id="rId150" Type="http://schemas.openxmlformats.org/officeDocument/2006/relationships/hyperlink" Target="https://jp.mercari.com/user/profile/917402016" TargetMode="External"/><Relationship Id="rId171" Type="http://schemas.openxmlformats.org/officeDocument/2006/relationships/hyperlink" Target="https://jp.mercari.com/user/profile/685091528" TargetMode="External"/><Relationship Id="rId192" Type="http://schemas.openxmlformats.org/officeDocument/2006/relationships/hyperlink" Target="https://jp.mercari.com/user/profile/656139176" TargetMode="External"/><Relationship Id="rId206" Type="http://schemas.openxmlformats.org/officeDocument/2006/relationships/hyperlink" Target="https://jp.mercari.com/user/profile/328152259" TargetMode="External"/><Relationship Id="rId12" Type="http://schemas.openxmlformats.org/officeDocument/2006/relationships/hyperlink" Target="https://jp.mercari.com/user/profile/737464558" TargetMode="External"/><Relationship Id="rId33" Type="http://schemas.openxmlformats.org/officeDocument/2006/relationships/hyperlink" Target="https://jp.mercari.com/user/profile/359569745" TargetMode="External"/><Relationship Id="rId108" Type="http://schemas.openxmlformats.org/officeDocument/2006/relationships/hyperlink" Target="https://jp.mercari.com/user/profile/746292929" TargetMode="External"/><Relationship Id="rId129" Type="http://schemas.openxmlformats.org/officeDocument/2006/relationships/hyperlink" Target="https://jp.mercari.com/user/profile/217738287" TargetMode="External"/><Relationship Id="rId54" Type="http://schemas.openxmlformats.org/officeDocument/2006/relationships/hyperlink" Target="https://jp.mercari.com/user/profile/976260608" TargetMode="External"/><Relationship Id="rId75" Type="http://schemas.openxmlformats.org/officeDocument/2006/relationships/hyperlink" Target="https://jp.mercari.com/user/profile/471474827" TargetMode="External"/><Relationship Id="rId96" Type="http://schemas.openxmlformats.org/officeDocument/2006/relationships/hyperlink" Target="https://jp.mercari.com/user/profile/951642574" TargetMode="External"/><Relationship Id="rId140" Type="http://schemas.openxmlformats.org/officeDocument/2006/relationships/hyperlink" Target="https://jp.mercari.com/user/profile/651105005" TargetMode="External"/><Relationship Id="rId161" Type="http://schemas.openxmlformats.org/officeDocument/2006/relationships/hyperlink" Target="https://jp.mercari.com/user/profile/947012682" TargetMode="External"/><Relationship Id="rId182" Type="http://schemas.openxmlformats.org/officeDocument/2006/relationships/hyperlink" Target="https://jp.mercari.com/user/profile/283522432" TargetMode="External"/><Relationship Id="rId6" Type="http://schemas.openxmlformats.org/officeDocument/2006/relationships/hyperlink" Target="https://jp.mercari.com/user/profile/520035642" TargetMode="External"/><Relationship Id="rId23" Type="http://schemas.openxmlformats.org/officeDocument/2006/relationships/hyperlink" Target="https://jp.mercari.com/user/profile/103464221" TargetMode="External"/><Relationship Id="rId119" Type="http://schemas.openxmlformats.org/officeDocument/2006/relationships/hyperlink" Target="https://jp.mercari.com/user/profile/304026793" TargetMode="External"/><Relationship Id="rId44" Type="http://schemas.openxmlformats.org/officeDocument/2006/relationships/hyperlink" Target="https://jp.mercari.com/user/profile/264112914" TargetMode="External"/><Relationship Id="rId65" Type="http://schemas.openxmlformats.org/officeDocument/2006/relationships/hyperlink" Target="https://jp.mercari.com/user/profile/327590868" TargetMode="External"/><Relationship Id="rId86" Type="http://schemas.openxmlformats.org/officeDocument/2006/relationships/hyperlink" Target="https://jp.mercari.com/user/profile/958777469" TargetMode="External"/><Relationship Id="rId130" Type="http://schemas.openxmlformats.org/officeDocument/2006/relationships/hyperlink" Target="https://jp.mercari.com/user/profile/647161700" TargetMode="External"/><Relationship Id="rId151" Type="http://schemas.openxmlformats.org/officeDocument/2006/relationships/hyperlink" Target="https://jp.mercari.com/user/profile/674661778" TargetMode="External"/><Relationship Id="rId172" Type="http://schemas.openxmlformats.org/officeDocument/2006/relationships/hyperlink" Target="https://jp.mercari.com/user/profile/994453383" TargetMode="External"/><Relationship Id="rId193" Type="http://schemas.openxmlformats.org/officeDocument/2006/relationships/hyperlink" Target="https://jp.mercari.com/user/profile/669900235" TargetMode="External"/><Relationship Id="rId207" Type="http://schemas.openxmlformats.org/officeDocument/2006/relationships/hyperlink" Target="https://jp.mercari.com/user/profile/192776864" TargetMode="External"/><Relationship Id="rId13" Type="http://schemas.openxmlformats.org/officeDocument/2006/relationships/hyperlink" Target="https://jp.mercari.com/user/profile/987855740" TargetMode="External"/><Relationship Id="rId109" Type="http://schemas.openxmlformats.org/officeDocument/2006/relationships/hyperlink" Target="https://jp.mercari.com/user/profile/102910367" TargetMode="External"/><Relationship Id="rId34" Type="http://schemas.openxmlformats.org/officeDocument/2006/relationships/hyperlink" Target="https://jp.mercari.com/user/profile/593059680" TargetMode="External"/><Relationship Id="rId55" Type="http://schemas.openxmlformats.org/officeDocument/2006/relationships/hyperlink" Target="https://jp.mercari.com/user/profile/658324158" TargetMode="External"/><Relationship Id="rId76" Type="http://schemas.openxmlformats.org/officeDocument/2006/relationships/hyperlink" Target="https://jp.mercari.com/user/profile/651259030" TargetMode="External"/><Relationship Id="rId97" Type="http://schemas.openxmlformats.org/officeDocument/2006/relationships/hyperlink" Target="https://jp.mercari.com/user/profile/446659595" TargetMode="External"/><Relationship Id="rId120" Type="http://schemas.openxmlformats.org/officeDocument/2006/relationships/hyperlink" Target="https://jp.mercari.com/user/profile/319712491" TargetMode="External"/><Relationship Id="rId141" Type="http://schemas.openxmlformats.org/officeDocument/2006/relationships/hyperlink" Target="https://jp.mercari.com/user/profile/388219329" TargetMode="External"/><Relationship Id="rId7" Type="http://schemas.openxmlformats.org/officeDocument/2006/relationships/hyperlink" Target="https://jp.mercari.com/user/profile/220885574" TargetMode="External"/><Relationship Id="rId162" Type="http://schemas.openxmlformats.org/officeDocument/2006/relationships/hyperlink" Target="https://jp.mercari.com/user/profile/205580310" TargetMode="External"/><Relationship Id="rId183" Type="http://schemas.openxmlformats.org/officeDocument/2006/relationships/hyperlink" Target="https://jp.mercari.com/user/profile/319035896" TargetMode="External"/><Relationship Id="rId24" Type="http://schemas.openxmlformats.org/officeDocument/2006/relationships/hyperlink" Target="https://jp.mercari.com/user/profile/513014223" TargetMode="External"/><Relationship Id="rId45" Type="http://schemas.openxmlformats.org/officeDocument/2006/relationships/hyperlink" Target="https://jp.mercari.com/user/profile/641422711" TargetMode="External"/><Relationship Id="rId66" Type="http://schemas.openxmlformats.org/officeDocument/2006/relationships/hyperlink" Target="https://jp.mercari.com/user/profile/150166228" TargetMode="External"/><Relationship Id="rId87" Type="http://schemas.openxmlformats.org/officeDocument/2006/relationships/hyperlink" Target="https://jp.mercari.com/user/profile/552269191" TargetMode="External"/><Relationship Id="rId110" Type="http://schemas.openxmlformats.org/officeDocument/2006/relationships/hyperlink" Target="https://jp.mercari.com/user/profile/757846063" TargetMode="External"/><Relationship Id="rId131" Type="http://schemas.openxmlformats.org/officeDocument/2006/relationships/hyperlink" Target="https://jp.mercari.com/user/profile/383189284" TargetMode="External"/><Relationship Id="rId152" Type="http://schemas.openxmlformats.org/officeDocument/2006/relationships/hyperlink" Target="https://jp.mercari.com/user/profile/406526062" TargetMode="External"/><Relationship Id="rId173" Type="http://schemas.openxmlformats.org/officeDocument/2006/relationships/hyperlink" Target="https://jp.mercari.com/user/profile/454281239" TargetMode="External"/><Relationship Id="rId194" Type="http://schemas.openxmlformats.org/officeDocument/2006/relationships/hyperlink" Target="https://jp.mercari.com/user/profile/392160353" TargetMode="External"/><Relationship Id="rId208" Type="http://schemas.openxmlformats.org/officeDocument/2006/relationships/hyperlink" Target="https://jp.mercari.com/user/profile/118308835" TargetMode="External"/><Relationship Id="rId19" Type="http://schemas.openxmlformats.org/officeDocument/2006/relationships/hyperlink" Target="https://jp.mercari.com/user/profile/421603662" TargetMode="External"/><Relationship Id="rId14" Type="http://schemas.openxmlformats.org/officeDocument/2006/relationships/hyperlink" Target="https://jp.mercari.com/user/profile/915923706" TargetMode="External"/><Relationship Id="rId30" Type="http://schemas.openxmlformats.org/officeDocument/2006/relationships/hyperlink" Target="https://jp.mercari.com/user/profile/121878668" TargetMode="External"/><Relationship Id="rId35" Type="http://schemas.openxmlformats.org/officeDocument/2006/relationships/hyperlink" Target="https://jp.mercari.com/user/profile/693286385" TargetMode="External"/><Relationship Id="rId56" Type="http://schemas.openxmlformats.org/officeDocument/2006/relationships/hyperlink" Target="https://jp.mercari.com/user/profile/386694966" TargetMode="External"/><Relationship Id="rId77" Type="http://schemas.openxmlformats.org/officeDocument/2006/relationships/hyperlink" Target="https://jp.mercari.com/user/profile/710743458" TargetMode="External"/><Relationship Id="rId100" Type="http://schemas.openxmlformats.org/officeDocument/2006/relationships/hyperlink" Target="https://jp.mercari.com/user/profile/627859681" TargetMode="External"/><Relationship Id="rId105" Type="http://schemas.openxmlformats.org/officeDocument/2006/relationships/hyperlink" Target="https://jp.mercari.com/user/profile/545740216" TargetMode="External"/><Relationship Id="rId126" Type="http://schemas.openxmlformats.org/officeDocument/2006/relationships/hyperlink" Target="https://jp.mercari.com/user/profile/612446490" TargetMode="External"/><Relationship Id="rId147" Type="http://schemas.openxmlformats.org/officeDocument/2006/relationships/hyperlink" Target="https://jp.mercari.com/user/profile/302966199" TargetMode="External"/><Relationship Id="rId168" Type="http://schemas.openxmlformats.org/officeDocument/2006/relationships/hyperlink" Target="https://jp.mercari.com/user/profile/957429118" TargetMode="External"/><Relationship Id="rId8" Type="http://schemas.openxmlformats.org/officeDocument/2006/relationships/hyperlink" Target="https://jp.mercari.com/user/profile/448115520" TargetMode="External"/><Relationship Id="rId51" Type="http://schemas.openxmlformats.org/officeDocument/2006/relationships/hyperlink" Target="https://jp.mercari.com/user/profile/708054465" TargetMode="External"/><Relationship Id="rId72" Type="http://schemas.openxmlformats.org/officeDocument/2006/relationships/hyperlink" Target="https://jp.mercari.com/user/profile/193859254" TargetMode="External"/><Relationship Id="rId93" Type="http://schemas.openxmlformats.org/officeDocument/2006/relationships/hyperlink" Target="https://jp.mercari.com/user/profile/160438444" TargetMode="External"/><Relationship Id="rId98" Type="http://schemas.openxmlformats.org/officeDocument/2006/relationships/hyperlink" Target="https://jp.mercari.com/user/profile/784776914" TargetMode="External"/><Relationship Id="rId121" Type="http://schemas.openxmlformats.org/officeDocument/2006/relationships/hyperlink" Target="https://jp.mercari.com/user/profile/670408539" TargetMode="External"/><Relationship Id="rId142" Type="http://schemas.openxmlformats.org/officeDocument/2006/relationships/hyperlink" Target="https://jp.mercari.com/user/profile/236118989" TargetMode="External"/><Relationship Id="rId163" Type="http://schemas.openxmlformats.org/officeDocument/2006/relationships/hyperlink" Target="https://jp.mercari.com/user/profile/600402648" TargetMode="External"/><Relationship Id="rId184" Type="http://schemas.openxmlformats.org/officeDocument/2006/relationships/hyperlink" Target="https://jp.mercari.com/user/profile/633318060" TargetMode="External"/><Relationship Id="rId189" Type="http://schemas.openxmlformats.org/officeDocument/2006/relationships/hyperlink" Target="https://jp.mercari.com/user/profile/168213496" TargetMode="External"/><Relationship Id="rId3" Type="http://schemas.openxmlformats.org/officeDocument/2006/relationships/hyperlink" Target="https://jp.mercari.com/user/profile/352436722" TargetMode="External"/><Relationship Id="rId214" Type="http://schemas.openxmlformats.org/officeDocument/2006/relationships/hyperlink" Target="https://jp.mercari.com/user/profile/592353620" TargetMode="External"/><Relationship Id="rId25" Type="http://schemas.openxmlformats.org/officeDocument/2006/relationships/hyperlink" Target="https://jp.mercari.com/user/profile/825162046" TargetMode="External"/><Relationship Id="rId46" Type="http://schemas.openxmlformats.org/officeDocument/2006/relationships/hyperlink" Target="https://jp.mercari.com/user/profile/506507678" TargetMode="External"/><Relationship Id="rId67" Type="http://schemas.openxmlformats.org/officeDocument/2006/relationships/hyperlink" Target="https://jp.mercari.com/user/profile/651369342" TargetMode="External"/><Relationship Id="rId116" Type="http://schemas.openxmlformats.org/officeDocument/2006/relationships/hyperlink" Target="https://jp.mercari.com/user/profile/309066823" TargetMode="External"/><Relationship Id="rId137" Type="http://schemas.openxmlformats.org/officeDocument/2006/relationships/hyperlink" Target="https://jp.mercari.com/user/profile/834233639" TargetMode="External"/><Relationship Id="rId158" Type="http://schemas.openxmlformats.org/officeDocument/2006/relationships/hyperlink" Target="https://jp.mercari.com/shops/profile/inPZ9HigJ9mYFEm873uYEa" TargetMode="External"/><Relationship Id="rId20" Type="http://schemas.openxmlformats.org/officeDocument/2006/relationships/hyperlink" Target="https://jp.mercari.com/user/profile/229367010" TargetMode="External"/><Relationship Id="rId41" Type="http://schemas.openxmlformats.org/officeDocument/2006/relationships/hyperlink" Target="https://jp.mercari.com/user/profile/847923322" TargetMode="External"/><Relationship Id="rId62" Type="http://schemas.openxmlformats.org/officeDocument/2006/relationships/hyperlink" Target="https://jp.mercari.com/user/profile/667785534" TargetMode="External"/><Relationship Id="rId83" Type="http://schemas.openxmlformats.org/officeDocument/2006/relationships/hyperlink" Target="https://jp.mercari.com/user/profile/312182644" TargetMode="External"/><Relationship Id="rId88" Type="http://schemas.openxmlformats.org/officeDocument/2006/relationships/hyperlink" Target="https://jp.mercari.com/user/profile/234806787" TargetMode="External"/><Relationship Id="rId111" Type="http://schemas.openxmlformats.org/officeDocument/2006/relationships/hyperlink" Target="https://jp.mercari.com/user/profile/647240188" TargetMode="External"/><Relationship Id="rId132" Type="http://schemas.openxmlformats.org/officeDocument/2006/relationships/hyperlink" Target="https://jp.mercari.com/user/profile/583655284" TargetMode="External"/><Relationship Id="rId153" Type="http://schemas.openxmlformats.org/officeDocument/2006/relationships/hyperlink" Target="https://jp.mercari.com/user/profile/672188008" TargetMode="External"/><Relationship Id="rId174" Type="http://schemas.openxmlformats.org/officeDocument/2006/relationships/hyperlink" Target="https://jp.mercari.com/user/profile/252034863" TargetMode="External"/><Relationship Id="rId179" Type="http://schemas.openxmlformats.org/officeDocument/2006/relationships/hyperlink" Target="https://jp.mercari.com/user/profile/355697659" TargetMode="External"/><Relationship Id="rId195" Type="http://schemas.openxmlformats.org/officeDocument/2006/relationships/hyperlink" Target="https://jp.mercari.com/user/profile/704618969" TargetMode="External"/><Relationship Id="rId209" Type="http://schemas.openxmlformats.org/officeDocument/2006/relationships/hyperlink" Target="https://jp.mercari.com/user/profile/774535160" TargetMode="External"/><Relationship Id="rId190" Type="http://schemas.openxmlformats.org/officeDocument/2006/relationships/hyperlink" Target="https://jp.mercari.com/user/profile/756656318" TargetMode="External"/><Relationship Id="rId204" Type="http://schemas.openxmlformats.org/officeDocument/2006/relationships/hyperlink" Target="https://jp.mercari.com/user/profile/513827801" TargetMode="External"/><Relationship Id="rId15" Type="http://schemas.openxmlformats.org/officeDocument/2006/relationships/hyperlink" Target="https://jp.mercari.com/user/profile/954085002" TargetMode="External"/><Relationship Id="rId36" Type="http://schemas.openxmlformats.org/officeDocument/2006/relationships/hyperlink" Target="https://jp.mercari.com/user/profile/550244448" TargetMode="External"/><Relationship Id="rId57" Type="http://schemas.openxmlformats.org/officeDocument/2006/relationships/hyperlink" Target="https://jp.mercari.com/user/profile/224713363" TargetMode="External"/><Relationship Id="rId106" Type="http://schemas.openxmlformats.org/officeDocument/2006/relationships/hyperlink" Target="https://jp.mercari.com/user/profile/329837037" TargetMode="External"/><Relationship Id="rId127" Type="http://schemas.openxmlformats.org/officeDocument/2006/relationships/hyperlink" Target="https://jp.mercari.com/user/profile/401976984" TargetMode="External"/><Relationship Id="rId10" Type="http://schemas.openxmlformats.org/officeDocument/2006/relationships/hyperlink" Target="https://jp.mercari.com/user/profile/835804986" TargetMode="External"/><Relationship Id="rId31" Type="http://schemas.openxmlformats.org/officeDocument/2006/relationships/hyperlink" Target="https://jp.mercari.com/user/profile/959593827" TargetMode="External"/><Relationship Id="rId52" Type="http://schemas.openxmlformats.org/officeDocument/2006/relationships/hyperlink" Target="https://jp.mercari.com/user/profile/145461925" TargetMode="External"/><Relationship Id="rId73" Type="http://schemas.openxmlformats.org/officeDocument/2006/relationships/hyperlink" Target="https://jp.mercari.com/user/profile/155789427" TargetMode="External"/><Relationship Id="rId78" Type="http://schemas.openxmlformats.org/officeDocument/2006/relationships/hyperlink" Target="https://jp.mercari.com/user/profile/238996326" TargetMode="External"/><Relationship Id="rId94" Type="http://schemas.openxmlformats.org/officeDocument/2006/relationships/hyperlink" Target="https://jp.mercari.com/user/profile/210724121" TargetMode="External"/><Relationship Id="rId99" Type="http://schemas.openxmlformats.org/officeDocument/2006/relationships/hyperlink" Target="https://jp.mercari.com/user/profile/846533492" TargetMode="External"/><Relationship Id="rId101" Type="http://schemas.openxmlformats.org/officeDocument/2006/relationships/hyperlink" Target="https://jp.mercari.com/user/profile/269623477" TargetMode="External"/><Relationship Id="rId122" Type="http://schemas.openxmlformats.org/officeDocument/2006/relationships/hyperlink" Target="https://jp.mercari.com/user/profile/182968520" TargetMode="External"/><Relationship Id="rId143" Type="http://schemas.openxmlformats.org/officeDocument/2006/relationships/hyperlink" Target="https://jp.mercari.com/user/profile/842927573" TargetMode="External"/><Relationship Id="rId148" Type="http://schemas.openxmlformats.org/officeDocument/2006/relationships/hyperlink" Target="https://jp.mercari.com/user/profile/168434188" TargetMode="External"/><Relationship Id="rId164" Type="http://schemas.openxmlformats.org/officeDocument/2006/relationships/hyperlink" Target="https://jp.mercari.com/user/profile/947850564" TargetMode="External"/><Relationship Id="rId169" Type="http://schemas.openxmlformats.org/officeDocument/2006/relationships/hyperlink" Target="https://jp.mercari.com/user/profile/114663671" TargetMode="External"/><Relationship Id="rId185" Type="http://schemas.openxmlformats.org/officeDocument/2006/relationships/hyperlink" Target="https://jp.mercari.com/user/profile/388386285" TargetMode="External"/><Relationship Id="rId4" Type="http://schemas.openxmlformats.org/officeDocument/2006/relationships/hyperlink" Target="https://jp.mercari.com/user/profile/717341289" TargetMode="External"/><Relationship Id="rId9" Type="http://schemas.openxmlformats.org/officeDocument/2006/relationships/hyperlink" Target="https://jp.mercari.com/user/profile/518217381" TargetMode="External"/><Relationship Id="rId180" Type="http://schemas.openxmlformats.org/officeDocument/2006/relationships/hyperlink" Target="https://jp.mercari.com/user/profile/505876571" TargetMode="External"/><Relationship Id="rId210" Type="http://schemas.openxmlformats.org/officeDocument/2006/relationships/hyperlink" Target="https://jp.mercari.com/user/profile/695236496" TargetMode="External"/><Relationship Id="rId215" Type="http://schemas.openxmlformats.org/officeDocument/2006/relationships/hyperlink" Target="https://jp.mercari.com/user/profile/602428627" TargetMode="External"/><Relationship Id="rId26" Type="http://schemas.openxmlformats.org/officeDocument/2006/relationships/hyperlink" Target="https://jp.mercari.com/user/profile/813847502" TargetMode="External"/><Relationship Id="rId47" Type="http://schemas.openxmlformats.org/officeDocument/2006/relationships/hyperlink" Target="https://jp.mercari.com/user/profile/336893189" TargetMode="External"/><Relationship Id="rId68" Type="http://schemas.openxmlformats.org/officeDocument/2006/relationships/hyperlink" Target="https://jp.mercari.com/user/profile/536856270" TargetMode="External"/><Relationship Id="rId89" Type="http://schemas.openxmlformats.org/officeDocument/2006/relationships/hyperlink" Target="https://jp.mercari.com/user/profile/602440344" TargetMode="External"/><Relationship Id="rId112" Type="http://schemas.openxmlformats.org/officeDocument/2006/relationships/hyperlink" Target="https://jp.mercari.com/user/profile/984292325" TargetMode="External"/><Relationship Id="rId133" Type="http://schemas.openxmlformats.org/officeDocument/2006/relationships/hyperlink" Target="https://jp.mercari.com/user/profile/887406926" TargetMode="External"/><Relationship Id="rId154" Type="http://schemas.openxmlformats.org/officeDocument/2006/relationships/hyperlink" Target="https://jp.mercari.com/user/profile/671505228" TargetMode="External"/><Relationship Id="rId175" Type="http://schemas.openxmlformats.org/officeDocument/2006/relationships/hyperlink" Target="https://jp.mercari.com/user/profile/994226211" TargetMode="External"/><Relationship Id="rId196" Type="http://schemas.openxmlformats.org/officeDocument/2006/relationships/hyperlink" Target="https://jp.mercari.com/user/profile/129569096" TargetMode="External"/><Relationship Id="rId200" Type="http://schemas.openxmlformats.org/officeDocument/2006/relationships/hyperlink" Target="https://jp.mercari.com/user/profile/301910732" TargetMode="External"/><Relationship Id="rId16" Type="http://schemas.openxmlformats.org/officeDocument/2006/relationships/hyperlink" Target="https://jp.mercari.com/user/profile/972577204" TargetMode="External"/><Relationship Id="rId37" Type="http://schemas.openxmlformats.org/officeDocument/2006/relationships/hyperlink" Target="https://jp.mercari.com/user/profile/167780957" TargetMode="External"/><Relationship Id="rId58" Type="http://schemas.openxmlformats.org/officeDocument/2006/relationships/hyperlink" Target="https://jp.mercari.com/user/profile/902114489" TargetMode="External"/><Relationship Id="rId79" Type="http://schemas.openxmlformats.org/officeDocument/2006/relationships/hyperlink" Target="https://jp.mercari.com/user/profile/363095570" TargetMode="External"/><Relationship Id="rId102" Type="http://schemas.openxmlformats.org/officeDocument/2006/relationships/hyperlink" Target="https://jp.mercari.com/user/profile/145527648" TargetMode="External"/><Relationship Id="rId123" Type="http://schemas.openxmlformats.org/officeDocument/2006/relationships/hyperlink" Target="https://jp.mercari.com/user/profile/203672977" TargetMode="External"/><Relationship Id="rId144" Type="http://schemas.openxmlformats.org/officeDocument/2006/relationships/hyperlink" Target="https://jp.mercari.com/user/profile/321847100" TargetMode="External"/><Relationship Id="rId90" Type="http://schemas.openxmlformats.org/officeDocument/2006/relationships/hyperlink" Target="https://jp.mercari.com/user/profile/283174964" TargetMode="External"/><Relationship Id="rId165" Type="http://schemas.openxmlformats.org/officeDocument/2006/relationships/hyperlink" Target="https://jp.mercari.com/user/profile/600408874" TargetMode="External"/><Relationship Id="rId186" Type="http://schemas.openxmlformats.org/officeDocument/2006/relationships/hyperlink" Target="https://jp.mercari.com/user/profile/120028951" TargetMode="External"/><Relationship Id="rId211" Type="http://schemas.openxmlformats.org/officeDocument/2006/relationships/hyperlink" Target="https://jp.mercari.com/user/profile/437982627" TargetMode="External"/><Relationship Id="rId27" Type="http://schemas.openxmlformats.org/officeDocument/2006/relationships/hyperlink" Target="https://jp.mercari.com/user/profile/163953258" TargetMode="External"/><Relationship Id="rId48" Type="http://schemas.openxmlformats.org/officeDocument/2006/relationships/hyperlink" Target="https://jp.mercari.com/user/profile/708833685" TargetMode="External"/><Relationship Id="rId69" Type="http://schemas.openxmlformats.org/officeDocument/2006/relationships/hyperlink" Target="https://jp.mercari.com/user/profile/176454901" TargetMode="External"/><Relationship Id="rId113" Type="http://schemas.openxmlformats.org/officeDocument/2006/relationships/hyperlink" Target="https://jp.mercari.com/user/profile/305322516" TargetMode="External"/><Relationship Id="rId134" Type="http://schemas.openxmlformats.org/officeDocument/2006/relationships/hyperlink" Target="https://jp.mercari.com/user/profile/728114062" TargetMode="External"/><Relationship Id="rId80" Type="http://schemas.openxmlformats.org/officeDocument/2006/relationships/hyperlink" Target="https://jp.mercari.com/user/profile/259658993" TargetMode="External"/><Relationship Id="rId155" Type="http://schemas.openxmlformats.org/officeDocument/2006/relationships/hyperlink" Target="https://jp.mercari.com/user/profile/607625809" TargetMode="External"/><Relationship Id="rId176" Type="http://schemas.openxmlformats.org/officeDocument/2006/relationships/hyperlink" Target="https://jp.mercari.com/user/profile/628743687" TargetMode="External"/><Relationship Id="rId197" Type="http://schemas.openxmlformats.org/officeDocument/2006/relationships/hyperlink" Target="https://jp.mercari.com/user/profile/238335334" TargetMode="External"/><Relationship Id="rId201" Type="http://schemas.openxmlformats.org/officeDocument/2006/relationships/hyperlink" Target="https://jp.mercari.com/user/profile/422916616" TargetMode="External"/><Relationship Id="rId17" Type="http://schemas.openxmlformats.org/officeDocument/2006/relationships/hyperlink" Target="https://jp.mercari.com/user/profile/899965420" TargetMode="External"/><Relationship Id="rId38" Type="http://schemas.openxmlformats.org/officeDocument/2006/relationships/hyperlink" Target="https://jp.mercari.com/user/profile/678527818" TargetMode="External"/><Relationship Id="rId59" Type="http://schemas.openxmlformats.org/officeDocument/2006/relationships/hyperlink" Target="https://jp.mercari.com/user/profile/204602210" TargetMode="External"/><Relationship Id="rId103" Type="http://schemas.openxmlformats.org/officeDocument/2006/relationships/hyperlink" Target="https://jp.mercari.com/user/profile/904942882" TargetMode="External"/><Relationship Id="rId124" Type="http://schemas.openxmlformats.org/officeDocument/2006/relationships/hyperlink" Target="https://jp.mercari.com/user/profile/221997703" TargetMode="External"/><Relationship Id="rId70" Type="http://schemas.openxmlformats.org/officeDocument/2006/relationships/hyperlink" Target="https://jp.mercari.com/user/profile/347175486" TargetMode="External"/><Relationship Id="rId91" Type="http://schemas.openxmlformats.org/officeDocument/2006/relationships/hyperlink" Target="https://jp.mercari.com/user/profile/219267687" TargetMode="External"/><Relationship Id="rId145" Type="http://schemas.openxmlformats.org/officeDocument/2006/relationships/hyperlink" Target="https://jp.mercari.com/user/profile/215329649" TargetMode="External"/><Relationship Id="rId166" Type="http://schemas.openxmlformats.org/officeDocument/2006/relationships/hyperlink" Target="https://jp.mercari.com/user/profile/125900283" TargetMode="External"/><Relationship Id="rId187" Type="http://schemas.openxmlformats.org/officeDocument/2006/relationships/hyperlink" Target="https://jp.mercari.com/user/profile/836932420" TargetMode="External"/><Relationship Id="rId1" Type="http://schemas.openxmlformats.org/officeDocument/2006/relationships/hyperlink" Target="https://jp.mercari.com/user/profile/981786910" TargetMode="External"/><Relationship Id="rId212" Type="http://schemas.openxmlformats.org/officeDocument/2006/relationships/hyperlink" Target="https://jp.mercari.com/user/profile/524062985" TargetMode="External"/><Relationship Id="rId28" Type="http://schemas.openxmlformats.org/officeDocument/2006/relationships/hyperlink" Target="https://jp.mercari.com/user/profile/567760223" TargetMode="External"/><Relationship Id="rId49" Type="http://schemas.openxmlformats.org/officeDocument/2006/relationships/hyperlink" Target="https://jp.mercari.com/user/profile/615059778" TargetMode="External"/><Relationship Id="rId114" Type="http://schemas.openxmlformats.org/officeDocument/2006/relationships/hyperlink" Target="https://jp.mercari.com/user/profile/748715401" TargetMode="External"/><Relationship Id="rId60" Type="http://schemas.openxmlformats.org/officeDocument/2006/relationships/hyperlink" Target="https://jp.mercari.com/user/profile/821865824" TargetMode="External"/><Relationship Id="rId81" Type="http://schemas.openxmlformats.org/officeDocument/2006/relationships/hyperlink" Target="https://jp.mercari.com/user/profile/621375795" TargetMode="External"/><Relationship Id="rId135" Type="http://schemas.openxmlformats.org/officeDocument/2006/relationships/hyperlink" Target="https://jp.mercari.com/user/profile/489017186" TargetMode="External"/><Relationship Id="rId156" Type="http://schemas.openxmlformats.org/officeDocument/2006/relationships/hyperlink" Target="https://jp.mercari.com/user/profile/845062533" TargetMode="External"/><Relationship Id="rId177" Type="http://schemas.openxmlformats.org/officeDocument/2006/relationships/hyperlink" Target="https://jp.mercari.com/user/profile/331550129" TargetMode="External"/><Relationship Id="rId198" Type="http://schemas.openxmlformats.org/officeDocument/2006/relationships/hyperlink" Target="https://jp.mercari.com/user/profile/302633808" TargetMode="External"/><Relationship Id="rId202" Type="http://schemas.openxmlformats.org/officeDocument/2006/relationships/hyperlink" Target="https://jp.mercari.com/user/profile/636180403" TargetMode="External"/><Relationship Id="rId18" Type="http://schemas.openxmlformats.org/officeDocument/2006/relationships/hyperlink" Target="https://jp.mercari.com/user/profile/536343761" TargetMode="External"/><Relationship Id="rId39" Type="http://schemas.openxmlformats.org/officeDocument/2006/relationships/hyperlink" Target="https://jp.mercari.com/user/profile/664492611" TargetMode="External"/><Relationship Id="rId50" Type="http://schemas.openxmlformats.org/officeDocument/2006/relationships/hyperlink" Target="https://jp.mercari.com/user/profile/739919284" TargetMode="External"/><Relationship Id="rId104" Type="http://schemas.openxmlformats.org/officeDocument/2006/relationships/hyperlink" Target="https://jp.mercari.com/user/profile/449510273" TargetMode="External"/><Relationship Id="rId125" Type="http://schemas.openxmlformats.org/officeDocument/2006/relationships/hyperlink" Target="https://jp.mercari.com/user/profile/643673325" TargetMode="External"/><Relationship Id="rId146" Type="http://schemas.openxmlformats.org/officeDocument/2006/relationships/hyperlink" Target="https://jp.mercari.com/user/profile/194216929" TargetMode="External"/><Relationship Id="rId167" Type="http://schemas.openxmlformats.org/officeDocument/2006/relationships/hyperlink" Target="https://jp.mercari.com/user/profile/227162922" TargetMode="External"/><Relationship Id="rId188" Type="http://schemas.openxmlformats.org/officeDocument/2006/relationships/hyperlink" Target="https://jp.mercari.com/user/profile/185340406" TargetMode="External"/><Relationship Id="rId71" Type="http://schemas.openxmlformats.org/officeDocument/2006/relationships/hyperlink" Target="https://jp.mercari.com/user/profile/282368366" TargetMode="External"/><Relationship Id="rId92" Type="http://schemas.openxmlformats.org/officeDocument/2006/relationships/hyperlink" Target="https://jp.mercari.com/user/profile/905751931" TargetMode="External"/><Relationship Id="rId213" Type="http://schemas.openxmlformats.org/officeDocument/2006/relationships/hyperlink" Target="https://jp.mercari.com/user/profile/942914809" TargetMode="External"/><Relationship Id="rId2" Type="http://schemas.openxmlformats.org/officeDocument/2006/relationships/hyperlink" Target="https://jp.mercari.com/user/profile/328275161" TargetMode="External"/><Relationship Id="rId29" Type="http://schemas.openxmlformats.org/officeDocument/2006/relationships/hyperlink" Target="https://jp.mercari.com/user/profile/367644585" TargetMode="External"/><Relationship Id="rId40" Type="http://schemas.openxmlformats.org/officeDocument/2006/relationships/hyperlink" Target="https://jp.mercari.com/user/profile/756174592" TargetMode="External"/><Relationship Id="rId115" Type="http://schemas.openxmlformats.org/officeDocument/2006/relationships/hyperlink" Target="https://jp.mercari.com/user/profile/236151121" TargetMode="External"/><Relationship Id="rId136" Type="http://schemas.openxmlformats.org/officeDocument/2006/relationships/hyperlink" Target="https://jp.mercari.com/user/profile/601264519" TargetMode="External"/><Relationship Id="rId157" Type="http://schemas.openxmlformats.org/officeDocument/2006/relationships/hyperlink" Target="https://jp.mercari.com/user/profile/404758190" TargetMode="External"/><Relationship Id="rId178" Type="http://schemas.openxmlformats.org/officeDocument/2006/relationships/hyperlink" Target="https://jp.mercari.com/user/profile/370691269" TargetMode="External"/><Relationship Id="rId61" Type="http://schemas.openxmlformats.org/officeDocument/2006/relationships/hyperlink" Target="https://jp.mercari.com/user/profile/233562950" TargetMode="External"/><Relationship Id="rId82" Type="http://schemas.openxmlformats.org/officeDocument/2006/relationships/hyperlink" Target="https://jp.mercari.com/user/profile/603710613" TargetMode="External"/><Relationship Id="rId199" Type="http://schemas.openxmlformats.org/officeDocument/2006/relationships/hyperlink" Target="https://jp.mercari.com/user/profile/901050804" TargetMode="External"/><Relationship Id="rId203" Type="http://schemas.openxmlformats.org/officeDocument/2006/relationships/hyperlink" Target="https://jp.mercari.com/user/profile/674139846"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609"/>
  <sheetViews>
    <sheetView workbookViewId="0">
      <pane ySplit="2" topLeftCell="A3" activePane="bottomLeft" state="frozen"/>
      <selection pane="bottomLeft" activeCell="G11" sqref="G11:L30"/>
    </sheetView>
  </sheetViews>
  <sheetFormatPr defaultColWidth="9" defaultRowHeight="13.5"/>
  <cols>
    <col min="1" max="1" width="5" style="511" customWidth="1"/>
    <col min="2" max="2" width="12.6328125" style="93" customWidth="1"/>
    <col min="3" max="5" width="4.81640625" style="93" customWidth="1"/>
    <col min="6" max="7" width="15.6328125" style="260" customWidth="1"/>
    <col min="8" max="8" width="15.6328125" style="93" customWidth="1"/>
    <col min="9" max="9" width="2.1796875" style="260" customWidth="1"/>
    <col min="10" max="12" width="15.6328125" style="93" customWidth="1"/>
    <col min="13" max="13" width="2.1796875" style="260" customWidth="1"/>
    <col min="14" max="14" width="15.6328125" style="441" customWidth="1"/>
    <col min="15" max="15" width="2.1796875" style="93" customWidth="1"/>
    <col min="16" max="16" width="15.6328125" style="100" customWidth="1"/>
    <col min="17" max="17" width="15.6328125" style="260" customWidth="1"/>
    <col min="18" max="18" width="4.81640625" style="260" customWidth="1"/>
    <col min="19" max="19" width="15.6328125" style="93" customWidth="1"/>
    <col min="20" max="21" width="4.81640625" style="260" customWidth="1"/>
    <col min="22" max="22" width="15.6328125" style="93" customWidth="1"/>
    <col min="23" max="23" width="4.81640625" style="260" customWidth="1"/>
    <col min="24" max="39" width="15.6328125" style="260" customWidth="1"/>
  </cols>
  <sheetData>
    <row r="1" spans="1:23">
      <c r="A1" s="93" t="s">
        <v>0</v>
      </c>
      <c r="B1" s="93" t="s">
        <v>1</v>
      </c>
      <c r="C1" s="93" t="s">
        <v>2</v>
      </c>
      <c r="D1" s="93" t="s">
        <v>3</v>
      </c>
      <c r="E1" s="93" t="s">
        <v>4</v>
      </c>
      <c r="F1" s="93" t="s">
        <v>5</v>
      </c>
      <c r="G1" s="93" t="s">
        <v>5</v>
      </c>
      <c r="H1" s="93" t="s">
        <v>6</v>
      </c>
      <c r="I1" s="93"/>
      <c r="J1" s="93" t="s">
        <v>7</v>
      </c>
      <c r="K1" s="93" t="s">
        <v>8</v>
      </c>
      <c r="L1" s="93" t="s">
        <v>9</v>
      </c>
      <c r="M1" s="93"/>
      <c r="N1" s="93" t="s">
        <v>10</v>
      </c>
      <c r="P1" s="93" t="s">
        <v>11</v>
      </c>
    </row>
    <row r="2" spans="1:23">
      <c r="E2" s="262">
        <f>COUNTIF(E4:E10151,"〇")</f>
        <v>451</v>
      </c>
      <c r="F2" s="442" t="str">
        <f>"全"&amp;E2&amp;"品種"</f>
        <v>全451品種</v>
      </c>
      <c r="G2" s="93"/>
      <c r="I2" s="93"/>
      <c r="M2" s="93"/>
      <c r="N2" s="93"/>
      <c r="P2" s="93"/>
    </row>
    <row r="3" spans="1:23" ht="16.5" thickBot="1">
      <c r="B3" s="262" t="s">
        <v>12</v>
      </c>
      <c r="C3" s="262" t="s">
        <v>12</v>
      </c>
      <c r="D3" s="262" t="s">
        <v>12</v>
      </c>
      <c r="E3" s="262" t="s">
        <v>12</v>
      </c>
      <c r="F3" s="570" t="s">
        <v>13</v>
      </c>
      <c r="G3" s="571"/>
      <c r="H3" s="572"/>
      <c r="I3" s="571"/>
      <c r="J3" s="572"/>
      <c r="K3" s="572"/>
      <c r="L3" s="572"/>
      <c r="M3" s="571"/>
      <c r="N3" s="573"/>
      <c r="O3" s="574"/>
      <c r="P3" s="575"/>
      <c r="Q3" s="576"/>
      <c r="S3" s="444" t="s">
        <v>8</v>
      </c>
      <c r="V3" s="444" t="s">
        <v>14</v>
      </c>
    </row>
    <row r="4" spans="1:23" ht="15" customHeight="1" thickTop="1">
      <c r="A4" s="443" t="s">
        <v>15</v>
      </c>
      <c r="B4" s="93" t="s">
        <v>16</v>
      </c>
      <c r="D4" s="93" t="s">
        <v>17</v>
      </c>
      <c r="E4" s="93" t="s">
        <v>17</v>
      </c>
      <c r="F4" s="577" t="str">
        <f t="shared" ref="F4:F67" si="0">HYPERLINK(H4,G4)</f>
        <v>001 ざわわ</v>
      </c>
      <c r="G4" s="578" t="s">
        <v>18</v>
      </c>
      <c r="H4" s="579" t="str">
        <f t="shared" ref="H4:H67" si="1">CONCATENATE("H:\Taniku\+おらいさん\",G4)</f>
        <v>H:\Taniku\+おらいさん\001 ざわわ</v>
      </c>
      <c r="I4" s="576"/>
      <c r="J4" s="580" t="s">
        <v>19</v>
      </c>
      <c r="K4" s="581"/>
      <c r="L4" s="581"/>
      <c r="M4" s="578"/>
      <c r="N4" s="582"/>
      <c r="O4" s="583"/>
      <c r="P4" s="584"/>
      <c r="Q4" s="585" t="str">
        <f t="shared" ref="Q4:Q67" si="2">MID(G4,5,LEN(G4)-4)</f>
        <v>ざわわ</v>
      </c>
      <c r="R4" s="445"/>
      <c r="S4" s="586" t="s">
        <v>20</v>
      </c>
      <c r="T4" s="446">
        <f>COUNTIF($K$4:$K$10151,"*"&amp;S4&amp;"*")</f>
        <v>30</v>
      </c>
      <c r="U4" s="445"/>
      <c r="V4" s="587" t="s">
        <v>21</v>
      </c>
      <c r="W4" s="446">
        <f t="shared" ref="W4:W30" si="3">COUNTIF($B$4:$B$10150,V4)</f>
        <v>243</v>
      </c>
    </row>
    <row r="5" spans="1:23" ht="15" customHeight="1">
      <c r="A5" s="443" t="s">
        <v>15</v>
      </c>
      <c r="B5" s="93" t="s">
        <v>16</v>
      </c>
      <c r="D5" s="93" t="s">
        <v>17</v>
      </c>
      <c r="E5" s="93" t="s">
        <v>17</v>
      </c>
      <c r="F5" s="588" t="str">
        <f t="shared" si="0"/>
        <v>002 そわそわ</v>
      </c>
      <c r="G5" s="576" t="s">
        <v>22</v>
      </c>
      <c r="H5" s="589" t="str">
        <f t="shared" si="1"/>
        <v>H:\Taniku\+おらいさん\002 そわそわ</v>
      </c>
      <c r="I5" s="576"/>
      <c r="J5" s="590" t="s">
        <v>19</v>
      </c>
      <c r="K5" s="572"/>
      <c r="L5" s="572"/>
      <c r="M5" s="576"/>
      <c r="N5" s="573"/>
      <c r="O5" s="574"/>
      <c r="P5" s="575"/>
      <c r="Q5" s="591" t="str">
        <f t="shared" si="2"/>
        <v>そわそわ</v>
      </c>
      <c r="R5" s="445"/>
      <c r="S5" s="587" t="s">
        <v>23</v>
      </c>
      <c r="T5" s="446">
        <f>COUNTIF($K$4:$K$10151,"*"&amp;S5&amp;"*")</f>
        <v>221</v>
      </c>
      <c r="V5" s="587" t="s">
        <v>16</v>
      </c>
      <c r="W5" s="446">
        <f t="shared" si="3"/>
        <v>73</v>
      </c>
    </row>
    <row r="6" spans="1:23" ht="15" customHeight="1">
      <c r="A6" s="443" t="s">
        <v>15</v>
      </c>
      <c r="B6" s="93" t="s">
        <v>16</v>
      </c>
      <c r="D6" s="93" t="s">
        <v>24</v>
      </c>
      <c r="E6" s="93" t="s">
        <v>24</v>
      </c>
      <c r="F6" s="588" t="str">
        <f t="shared" si="0"/>
        <v>003 紅手鞠</v>
      </c>
      <c r="G6" s="576" t="s">
        <v>25</v>
      </c>
      <c r="H6" s="589" t="str">
        <f t="shared" si="1"/>
        <v>H:\Taniku\+おらいさん\003 紅手鞠</v>
      </c>
      <c r="I6" s="576"/>
      <c r="J6" s="590" t="s">
        <v>19</v>
      </c>
      <c r="K6" s="572" t="s">
        <v>23</v>
      </c>
      <c r="L6" s="572" t="s">
        <v>26</v>
      </c>
      <c r="M6" s="576"/>
      <c r="N6" s="573"/>
      <c r="O6" s="574"/>
      <c r="P6" s="575"/>
      <c r="Q6" s="591" t="str">
        <f t="shared" si="2"/>
        <v>紅手鞠</v>
      </c>
      <c r="R6" s="445"/>
      <c r="S6" s="592" t="s">
        <v>27</v>
      </c>
      <c r="T6" s="446">
        <f>COUNTIF($K$4:$K$10151,"*"&amp;S6&amp;"*")</f>
        <v>173</v>
      </c>
      <c r="V6" s="592" t="s">
        <v>28</v>
      </c>
      <c r="W6" s="446">
        <f t="shared" si="3"/>
        <v>61</v>
      </c>
    </row>
    <row r="7" spans="1:23" ht="15" customHeight="1">
      <c r="A7" s="443" t="s">
        <v>15</v>
      </c>
      <c r="B7" s="93" t="s">
        <v>16</v>
      </c>
      <c r="D7" s="93" t="s">
        <v>24</v>
      </c>
      <c r="E7" s="93" t="s">
        <v>24</v>
      </c>
      <c r="F7" s="588" t="str">
        <f t="shared" si="0"/>
        <v>004 片想い</v>
      </c>
      <c r="G7" s="576" t="s">
        <v>29</v>
      </c>
      <c r="H7" s="589" t="str">
        <f t="shared" si="1"/>
        <v>H:\Taniku\+おらいさん\004 片想い</v>
      </c>
      <c r="I7" s="576"/>
      <c r="J7" s="590" t="s">
        <v>19</v>
      </c>
      <c r="K7" s="572" t="s">
        <v>23</v>
      </c>
      <c r="L7" s="572" t="s">
        <v>26</v>
      </c>
      <c r="M7" s="576"/>
      <c r="N7" s="573"/>
      <c r="O7" s="574"/>
      <c r="P7" s="575"/>
      <c r="Q7" s="591" t="str">
        <f t="shared" si="2"/>
        <v>片想い</v>
      </c>
      <c r="S7" s="593" t="s">
        <v>30</v>
      </c>
      <c r="T7" s="446">
        <f>COUNTIF($K$4:$K$10151,"*"&amp;S7&amp;"*")</f>
        <v>46</v>
      </c>
      <c r="V7" s="586" t="s">
        <v>31</v>
      </c>
      <c r="W7" s="446">
        <f t="shared" si="3"/>
        <v>24</v>
      </c>
    </row>
    <row r="8" spans="1:23" ht="15" customHeight="1">
      <c r="A8" s="443" t="s">
        <v>15</v>
      </c>
      <c r="B8" s="93" t="s">
        <v>16</v>
      </c>
      <c r="D8" s="93" t="s">
        <v>24</v>
      </c>
      <c r="E8" s="93" t="s">
        <v>24</v>
      </c>
      <c r="F8" s="594" t="str">
        <f t="shared" si="0"/>
        <v>005 ストロベリーミルククラウン</v>
      </c>
      <c r="G8" s="576" t="s">
        <v>32</v>
      </c>
      <c r="H8" s="589" t="str">
        <f t="shared" si="1"/>
        <v>H:\Taniku\+おらいさん\005 ストロベリーミルククラウン</v>
      </c>
      <c r="I8" s="576"/>
      <c r="J8" s="590" t="s">
        <v>19</v>
      </c>
      <c r="K8" s="572" t="s">
        <v>23</v>
      </c>
      <c r="L8" s="572" t="s">
        <v>33</v>
      </c>
      <c r="M8" s="576"/>
      <c r="N8" s="573"/>
      <c r="O8" s="574"/>
      <c r="P8" s="575"/>
      <c r="Q8" s="591" t="str">
        <f t="shared" si="2"/>
        <v>ストロベリーミルククラウン</v>
      </c>
      <c r="S8" s="447"/>
      <c r="T8" s="446"/>
      <c r="V8" s="586" t="s">
        <v>34</v>
      </c>
      <c r="W8" s="446">
        <f t="shared" si="3"/>
        <v>12</v>
      </c>
    </row>
    <row r="9" spans="1:23" ht="15" customHeight="1">
      <c r="A9" s="443" t="s">
        <v>15</v>
      </c>
      <c r="B9" s="93" t="s">
        <v>16</v>
      </c>
      <c r="D9" s="93" t="s">
        <v>17</v>
      </c>
      <c r="E9" s="93" t="s">
        <v>17</v>
      </c>
      <c r="F9" s="588" t="str">
        <f t="shared" si="0"/>
        <v>006 紅染華</v>
      </c>
      <c r="G9" s="576" t="s">
        <v>35</v>
      </c>
      <c r="H9" s="589" t="str">
        <f t="shared" si="1"/>
        <v>H:\Taniku\+おらいさん\006 紅染華</v>
      </c>
      <c r="I9" s="576"/>
      <c r="J9" s="590" t="s">
        <v>19</v>
      </c>
      <c r="K9" s="572"/>
      <c r="L9" s="572"/>
      <c r="M9" s="576"/>
      <c r="N9" s="573"/>
      <c r="O9" s="574"/>
      <c r="P9" s="575"/>
      <c r="Q9" s="591" t="str">
        <f t="shared" si="2"/>
        <v>紅染華</v>
      </c>
      <c r="S9" s="447"/>
      <c r="T9" s="446">
        <f>SUM(T4:T8)</f>
        <v>470</v>
      </c>
      <c r="V9" s="586" t="s">
        <v>36</v>
      </c>
      <c r="W9" s="446">
        <f t="shared" si="3"/>
        <v>8</v>
      </c>
    </row>
    <row r="10" spans="1:23" ht="15" customHeight="1">
      <c r="A10" s="443" t="s">
        <v>15</v>
      </c>
      <c r="B10" s="93" t="s">
        <v>16</v>
      </c>
      <c r="D10" s="93" t="s">
        <v>24</v>
      </c>
      <c r="E10" s="93" t="s">
        <v>24</v>
      </c>
      <c r="F10" s="588" t="str">
        <f t="shared" si="0"/>
        <v>007 ももりん</v>
      </c>
      <c r="G10" s="576" t="s">
        <v>37</v>
      </c>
      <c r="H10" s="589" t="str">
        <f t="shared" si="1"/>
        <v>H:\Taniku\+おらいさん\007 ももりん</v>
      </c>
      <c r="I10" s="576"/>
      <c r="J10" s="590" t="s">
        <v>19</v>
      </c>
      <c r="K10" s="572" t="s">
        <v>27</v>
      </c>
      <c r="L10" s="572" t="s">
        <v>38</v>
      </c>
      <c r="M10" s="576"/>
      <c r="N10" s="573"/>
      <c r="O10" s="574"/>
      <c r="P10" s="575"/>
      <c r="Q10" s="591" t="str">
        <f t="shared" si="2"/>
        <v>ももりん</v>
      </c>
      <c r="V10" s="586" t="s">
        <v>39</v>
      </c>
      <c r="W10" s="446">
        <f t="shared" si="3"/>
        <v>8</v>
      </c>
    </row>
    <row r="11" spans="1:23" ht="15" customHeight="1">
      <c r="A11" s="443" t="s">
        <v>15</v>
      </c>
      <c r="B11" s="93" t="s">
        <v>16</v>
      </c>
      <c r="D11" s="93" t="s">
        <v>24</v>
      </c>
      <c r="E11" s="93" t="s">
        <v>24</v>
      </c>
      <c r="F11" s="588" t="str">
        <f t="shared" si="0"/>
        <v>008 ちょこん</v>
      </c>
      <c r="G11" s="576" t="s">
        <v>40</v>
      </c>
      <c r="H11" s="589" t="str">
        <f t="shared" si="1"/>
        <v>H:\Taniku\+おらいさん\008 ちょこん</v>
      </c>
      <c r="I11" s="576"/>
      <c r="J11" s="590" t="s">
        <v>19</v>
      </c>
      <c r="K11" s="572" t="s">
        <v>27</v>
      </c>
      <c r="L11" s="572" t="s">
        <v>41</v>
      </c>
      <c r="M11" s="576"/>
      <c r="N11" s="573"/>
      <c r="O11" s="574"/>
      <c r="P11" s="575"/>
      <c r="Q11" s="591" t="str">
        <f t="shared" si="2"/>
        <v>ちょこん</v>
      </c>
      <c r="S11" s="444" t="s">
        <v>9</v>
      </c>
      <c r="V11" s="586" t="s">
        <v>42</v>
      </c>
      <c r="W11" s="446">
        <f t="shared" si="3"/>
        <v>7</v>
      </c>
    </row>
    <row r="12" spans="1:23" ht="15" customHeight="1">
      <c r="A12" s="443" t="s">
        <v>15</v>
      </c>
      <c r="B12" s="93" t="s">
        <v>16</v>
      </c>
      <c r="D12" s="93" t="s">
        <v>17</v>
      </c>
      <c r="E12" s="93" t="s">
        <v>24</v>
      </c>
      <c r="F12" s="588" t="str">
        <f t="shared" si="0"/>
        <v>009 夕波</v>
      </c>
      <c r="G12" s="576" t="s">
        <v>43</v>
      </c>
      <c r="H12" s="589" t="str">
        <f t="shared" si="1"/>
        <v>H:\Taniku\+おらいさん\009 夕波</v>
      </c>
      <c r="I12" s="576"/>
      <c r="J12" s="590" t="s">
        <v>19</v>
      </c>
      <c r="K12" s="572" t="s">
        <v>27</v>
      </c>
      <c r="L12" s="572" t="s">
        <v>44</v>
      </c>
      <c r="M12" s="576"/>
      <c r="N12" s="573"/>
      <c r="O12" s="574"/>
      <c r="P12" s="575"/>
      <c r="Q12" s="591" t="str">
        <f t="shared" si="2"/>
        <v>夕波</v>
      </c>
      <c r="S12" s="586" t="s">
        <v>45</v>
      </c>
      <c r="T12" s="446">
        <f t="shared" ref="T12:T49" si="4">COUNTIF($L$4:$L$10151,"*"&amp;S12&amp;"*")</f>
        <v>20</v>
      </c>
      <c r="V12" s="586" t="s">
        <v>46</v>
      </c>
      <c r="W12" s="446">
        <f t="shared" si="3"/>
        <v>5</v>
      </c>
    </row>
    <row r="13" spans="1:23" ht="15" customHeight="1">
      <c r="A13" s="443" t="s">
        <v>15</v>
      </c>
      <c r="B13" s="93" t="s">
        <v>16</v>
      </c>
      <c r="D13" s="93" t="s">
        <v>24</v>
      </c>
      <c r="E13" s="93" t="s">
        <v>24</v>
      </c>
      <c r="F13" s="588" t="str">
        <f t="shared" si="0"/>
        <v>010 青鬼</v>
      </c>
      <c r="G13" s="576" t="s">
        <v>47</v>
      </c>
      <c r="H13" s="589" t="str">
        <f t="shared" si="1"/>
        <v>H:\Taniku\+おらいさん\010 青鬼</v>
      </c>
      <c r="I13" s="576"/>
      <c r="J13" s="590" t="s">
        <v>19</v>
      </c>
      <c r="K13" s="572" t="s">
        <v>23</v>
      </c>
      <c r="L13" s="572" t="s">
        <v>48</v>
      </c>
      <c r="M13" s="576"/>
      <c r="N13" s="573"/>
      <c r="O13" s="574"/>
      <c r="P13" s="575"/>
      <c r="Q13" s="591" t="str">
        <f t="shared" si="2"/>
        <v>青鬼</v>
      </c>
      <c r="S13" s="586" t="s">
        <v>49</v>
      </c>
      <c r="T13" s="446">
        <f t="shared" si="4"/>
        <v>9</v>
      </c>
      <c r="V13" s="586" t="s">
        <v>50</v>
      </c>
      <c r="W13" s="446">
        <f t="shared" si="3"/>
        <v>5</v>
      </c>
    </row>
    <row r="14" spans="1:23" ht="15" customHeight="1">
      <c r="A14" s="443" t="s">
        <v>15</v>
      </c>
      <c r="B14" s="93" t="s">
        <v>16</v>
      </c>
      <c r="D14" s="93" t="s">
        <v>24</v>
      </c>
      <c r="E14" s="93" t="s">
        <v>24</v>
      </c>
      <c r="F14" s="588" t="str">
        <f t="shared" si="0"/>
        <v>011 赤鬼</v>
      </c>
      <c r="G14" s="576" t="s">
        <v>51</v>
      </c>
      <c r="H14" s="589" t="str">
        <f t="shared" si="1"/>
        <v>H:\Taniku\+おらいさん\011 赤鬼</v>
      </c>
      <c r="I14" s="576"/>
      <c r="J14" s="590" t="s">
        <v>19</v>
      </c>
      <c r="K14" s="572" t="s">
        <v>23</v>
      </c>
      <c r="L14" s="572" t="s">
        <v>48</v>
      </c>
      <c r="M14" s="576"/>
      <c r="N14" s="573"/>
      <c r="O14" s="574"/>
      <c r="P14" s="575"/>
      <c r="Q14" s="591" t="str">
        <f t="shared" si="2"/>
        <v>赤鬼</v>
      </c>
      <c r="S14" s="447" t="s">
        <v>52</v>
      </c>
      <c r="T14" s="446">
        <f t="shared" si="4"/>
        <v>0</v>
      </c>
      <c r="V14" s="586" t="s">
        <v>53</v>
      </c>
      <c r="W14" s="446">
        <f t="shared" si="3"/>
        <v>5</v>
      </c>
    </row>
    <row r="15" spans="1:23" ht="15" customHeight="1">
      <c r="A15" s="443" t="s">
        <v>15</v>
      </c>
      <c r="B15" s="93" t="s">
        <v>16</v>
      </c>
      <c r="D15" s="93" t="s">
        <v>17</v>
      </c>
      <c r="E15" s="93" t="s">
        <v>17</v>
      </c>
      <c r="F15" s="594" t="str">
        <f t="shared" si="0"/>
        <v>012 クリスマスキャロル</v>
      </c>
      <c r="G15" s="576" t="s">
        <v>54</v>
      </c>
      <c r="H15" s="589" t="str">
        <f t="shared" si="1"/>
        <v>H:\Taniku\+おらいさん\012 クリスマスキャロル</v>
      </c>
      <c r="I15" s="576"/>
      <c r="J15" s="590" t="s">
        <v>19</v>
      </c>
      <c r="K15" s="572"/>
      <c r="L15" s="572"/>
      <c r="M15" s="576"/>
      <c r="N15" s="573"/>
      <c r="O15" s="574"/>
      <c r="P15" s="575"/>
      <c r="Q15" s="591" t="str">
        <f t="shared" si="2"/>
        <v>クリスマスキャロル</v>
      </c>
      <c r="S15" s="587" t="s">
        <v>55</v>
      </c>
      <c r="T15" s="446">
        <f t="shared" si="4"/>
        <v>80</v>
      </c>
      <c r="V15" s="586" t="s">
        <v>56</v>
      </c>
      <c r="W15" s="446">
        <f t="shared" si="3"/>
        <v>4</v>
      </c>
    </row>
    <row r="16" spans="1:23" ht="15" customHeight="1">
      <c r="A16" s="443" t="s">
        <v>15</v>
      </c>
      <c r="B16" s="93" t="s">
        <v>16</v>
      </c>
      <c r="D16" s="93" t="s">
        <v>24</v>
      </c>
      <c r="E16" s="93" t="s">
        <v>24</v>
      </c>
      <c r="F16" s="594" t="str">
        <f t="shared" si="0"/>
        <v>013 恋煩い</v>
      </c>
      <c r="G16" s="576" t="s">
        <v>57</v>
      </c>
      <c r="H16" s="589" t="str">
        <f t="shared" si="1"/>
        <v>H:\Taniku\+おらいさん\013 恋煩い</v>
      </c>
      <c r="I16" s="576"/>
      <c r="J16" s="590" t="s">
        <v>19</v>
      </c>
      <c r="K16" s="572" t="s">
        <v>23</v>
      </c>
      <c r="L16" s="572" t="s">
        <v>48</v>
      </c>
      <c r="M16" s="576"/>
      <c r="N16" s="573"/>
      <c r="O16" s="574"/>
      <c r="P16" s="575"/>
      <c r="Q16" s="591" t="str">
        <f t="shared" si="2"/>
        <v>恋煩い</v>
      </c>
      <c r="S16" s="587" t="s">
        <v>48</v>
      </c>
      <c r="T16" s="446">
        <f t="shared" si="4"/>
        <v>41</v>
      </c>
      <c r="V16" s="586" t="s">
        <v>58</v>
      </c>
      <c r="W16" s="446">
        <f t="shared" si="3"/>
        <v>3</v>
      </c>
    </row>
    <row r="17" spans="1:23" ht="15" customHeight="1">
      <c r="A17" s="443" t="s">
        <v>15</v>
      </c>
      <c r="B17" s="93" t="s">
        <v>16</v>
      </c>
      <c r="D17" s="93" t="s">
        <v>17</v>
      </c>
      <c r="E17" s="93" t="s">
        <v>17</v>
      </c>
      <c r="F17" s="594" t="str">
        <f t="shared" si="0"/>
        <v>014 花占い</v>
      </c>
      <c r="G17" s="576" t="s">
        <v>59</v>
      </c>
      <c r="H17" s="589" t="str">
        <f t="shared" si="1"/>
        <v>H:\Taniku\+おらいさん\014 花占い</v>
      </c>
      <c r="I17" s="576"/>
      <c r="J17" s="590" t="s">
        <v>19</v>
      </c>
      <c r="K17" s="572"/>
      <c r="L17" s="572"/>
      <c r="M17" s="576"/>
      <c r="N17" s="573"/>
      <c r="O17" s="574"/>
      <c r="P17" s="575"/>
      <c r="Q17" s="591" t="str">
        <f t="shared" si="2"/>
        <v>花占い</v>
      </c>
      <c r="S17" s="587" t="s">
        <v>60</v>
      </c>
      <c r="T17" s="446">
        <f t="shared" si="4"/>
        <v>25</v>
      </c>
      <c r="V17" s="586" t="s">
        <v>61</v>
      </c>
      <c r="W17" s="446">
        <f t="shared" si="3"/>
        <v>3</v>
      </c>
    </row>
    <row r="18" spans="1:23" ht="15" customHeight="1">
      <c r="A18" s="443" t="s">
        <v>15</v>
      </c>
      <c r="B18" s="93" t="s">
        <v>16</v>
      </c>
      <c r="D18" s="93" t="s">
        <v>17</v>
      </c>
      <c r="E18" s="93" t="s">
        <v>17</v>
      </c>
      <c r="F18" s="594" t="str">
        <f t="shared" si="0"/>
        <v>015 桜子</v>
      </c>
      <c r="G18" s="576" t="s">
        <v>62</v>
      </c>
      <c r="H18" s="589" t="str">
        <f t="shared" si="1"/>
        <v>H:\Taniku\+おらいさん\015 桜子</v>
      </c>
      <c r="I18" s="576"/>
      <c r="J18" s="590" t="s">
        <v>19</v>
      </c>
      <c r="K18" s="572"/>
      <c r="L18" s="572"/>
      <c r="M18" s="576"/>
      <c r="N18" s="573"/>
      <c r="O18" s="574"/>
      <c r="P18" s="575"/>
      <c r="Q18" s="591" t="str">
        <f t="shared" si="2"/>
        <v>桜子</v>
      </c>
      <c r="S18" s="587" t="s">
        <v>63</v>
      </c>
      <c r="T18" s="446">
        <f t="shared" si="4"/>
        <v>18</v>
      </c>
      <c r="V18" s="586" t="s">
        <v>64</v>
      </c>
      <c r="W18" s="446">
        <f t="shared" si="3"/>
        <v>3</v>
      </c>
    </row>
    <row r="19" spans="1:23" ht="15" customHeight="1">
      <c r="A19" s="443" t="s">
        <v>15</v>
      </c>
      <c r="B19" s="93" t="s">
        <v>16</v>
      </c>
      <c r="D19" s="93" t="s">
        <v>17</v>
      </c>
      <c r="E19" s="93" t="s">
        <v>17</v>
      </c>
      <c r="F19" s="594" t="str">
        <f t="shared" si="0"/>
        <v>016 梅子</v>
      </c>
      <c r="G19" s="576" t="s">
        <v>65</v>
      </c>
      <c r="H19" s="589" t="str">
        <f t="shared" si="1"/>
        <v>H:\Taniku\+おらいさん\016 梅子</v>
      </c>
      <c r="I19" s="576"/>
      <c r="J19" s="590" t="s">
        <v>19</v>
      </c>
      <c r="K19" s="572"/>
      <c r="L19" s="572"/>
      <c r="M19" s="576"/>
      <c r="N19" s="573"/>
      <c r="O19" s="574"/>
      <c r="P19" s="575"/>
      <c r="Q19" s="591" t="str">
        <f t="shared" si="2"/>
        <v>梅子</v>
      </c>
      <c r="S19" s="587" t="s">
        <v>66</v>
      </c>
      <c r="T19" s="446">
        <f t="shared" si="4"/>
        <v>10</v>
      </c>
      <c r="V19" s="586" t="s">
        <v>67</v>
      </c>
      <c r="W19" s="446">
        <f t="shared" si="3"/>
        <v>2</v>
      </c>
    </row>
    <row r="20" spans="1:23" ht="15" customHeight="1">
      <c r="A20" s="443" t="s">
        <v>15</v>
      </c>
      <c r="B20" s="93" t="s">
        <v>16</v>
      </c>
      <c r="D20" s="93" t="s">
        <v>17</v>
      </c>
      <c r="E20" s="93" t="s">
        <v>17</v>
      </c>
      <c r="F20" s="594" t="str">
        <f t="shared" si="0"/>
        <v>017 雲の花</v>
      </c>
      <c r="G20" s="576" t="s">
        <v>68</v>
      </c>
      <c r="H20" s="589" t="str">
        <f t="shared" si="1"/>
        <v>H:\Taniku\+おらいさん\017 雲の花</v>
      </c>
      <c r="I20" s="576"/>
      <c r="J20" s="590" t="s">
        <v>19</v>
      </c>
      <c r="K20" s="572"/>
      <c r="L20" s="572"/>
      <c r="M20" s="576"/>
      <c r="N20" s="573"/>
      <c r="O20" s="574"/>
      <c r="P20" s="575"/>
      <c r="Q20" s="591" t="str">
        <f t="shared" si="2"/>
        <v>雲の花</v>
      </c>
      <c r="S20" s="587" t="s">
        <v>69</v>
      </c>
      <c r="T20" s="446">
        <f t="shared" si="4"/>
        <v>10</v>
      </c>
      <c r="V20" s="586" t="s">
        <v>70</v>
      </c>
      <c r="W20" s="446">
        <f t="shared" si="3"/>
        <v>1</v>
      </c>
    </row>
    <row r="21" spans="1:23" ht="15" customHeight="1">
      <c r="A21" s="443" t="s">
        <v>15</v>
      </c>
      <c r="B21" s="93" t="s">
        <v>16</v>
      </c>
      <c r="D21" s="93" t="s">
        <v>17</v>
      </c>
      <c r="E21" s="93" t="s">
        <v>17</v>
      </c>
      <c r="F21" s="594" t="str">
        <f t="shared" si="0"/>
        <v>018 くまどり</v>
      </c>
      <c r="G21" s="576" t="s">
        <v>71</v>
      </c>
      <c r="H21" s="589" t="str">
        <f t="shared" si="1"/>
        <v>H:\Taniku\+おらいさん\018 くまどり</v>
      </c>
      <c r="I21" s="576"/>
      <c r="J21" s="590" t="s">
        <v>19</v>
      </c>
      <c r="K21" s="572"/>
      <c r="L21" s="572"/>
      <c r="M21" s="576"/>
      <c r="N21" s="573"/>
      <c r="O21" s="574"/>
      <c r="P21" s="575"/>
      <c r="Q21" s="591" t="str">
        <f t="shared" si="2"/>
        <v>くまどり</v>
      </c>
      <c r="S21" s="587" t="s">
        <v>72</v>
      </c>
      <c r="T21" s="446">
        <f t="shared" si="4"/>
        <v>12</v>
      </c>
      <c r="V21" s="586" t="s">
        <v>73</v>
      </c>
      <c r="W21" s="446">
        <f t="shared" si="3"/>
        <v>1</v>
      </c>
    </row>
    <row r="22" spans="1:23" ht="15" customHeight="1">
      <c r="A22" s="443" t="s">
        <v>15</v>
      </c>
      <c r="B22" s="93" t="s">
        <v>16</v>
      </c>
      <c r="D22" s="93" t="s">
        <v>17</v>
      </c>
      <c r="E22" s="93" t="s">
        <v>17</v>
      </c>
      <c r="F22" s="594" t="str">
        <f t="shared" si="0"/>
        <v>019 ウエディングベル</v>
      </c>
      <c r="G22" s="576" t="s">
        <v>74</v>
      </c>
      <c r="H22" s="589" t="str">
        <f t="shared" si="1"/>
        <v>H:\Taniku\+おらいさん\019 ウエディングベル</v>
      </c>
      <c r="I22" s="576"/>
      <c r="J22" s="590" t="s">
        <v>19</v>
      </c>
      <c r="K22" s="572"/>
      <c r="L22" s="572"/>
      <c r="M22" s="576"/>
      <c r="N22" s="573"/>
      <c r="O22" s="574"/>
      <c r="P22" s="575"/>
      <c r="Q22" s="591" t="str">
        <f t="shared" si="2"/>
        <v>ウエディングベル</v>
      </c>
      <c r="S22" s="587" t="s">
        <v>75</v>
      </c>
      <c r="T22" s="446">
        <f t="shared" si="4"/>
        <v>7</v>
      </c>
      <c r="V22" s="586" t="s">
        <v>76</v>
      </c>
      <c r="W22" s="446">
        <f t="shared" si="3"/>
        <v>1</v>
      </c>
    </row>
    <row r="23" spans="1:23" ht="15" customHeight="1">
      <c r="A23" s="443" t="s">
        <v>15</v>
      </c>
      <c r="B23" s="93" t="s">
        <v>16</v>
      </c>
      <c r="D23" s="93" t="s">
        <v>17</v>
      </c>
      <c r="E23" s="93" t="s">
        <v>24</v>
      </c>
      <c r="F23" s="594" t="str">
        <f t="shared" si="0"/>
        <v>020 白雪の渚</v>
      </c>
      <c r="G23" s="576" t="s">
        <v>77</v>
      </c>
      <c r="H23" s="589" t="str">
        <f t="shared" si="1"/>
        <v>H:\Taniku\+おらいさん\020 白雪の渚</v>
      </c>
      <c r="I23" s="576"/>
      <c r="J23" s="590" t="s">
        <v>19</v>
      </c>
      <c r="K23" s="572" t="s">
        <v>23</v>
      </c>
      <c r="L23" s="572" t="s">
        <v>72</v>
      </c>
      <c r="M23" s="576"/>
      <c r="N23" s="573"/>
      <c r="O23" s="574"/>
      <c r="P23" s="575"/>
      <c r="Q23" s="591" t="str">
        <f t="shared" si="2"/>
        <v>白雪の渚</v>
      </c>
      <c r="S23" s="587" t="s">
        <v>78</v>
      </c>
      <c r="T23" s="446">
        <f t="shared" si="4"/>
        <v>8</v>
      </c>
      <c r="V23" s="586" t="s">
        <v>79</v>
      </c>
      <c r="W23" s="446">
        <f t="shared" si="3"/>
        <v>2</v>
      </c>
    </row>
    <row r="24" spans="1:23" ht="15" customHeight="1">
      <c r="A24" s="443" t="s">
        <v>15</v>
      </c>
      <c r="B24" s="93" t="s">
        <v>16</v>
      </c>
      <c r="D24" s="93" t="s">
        <v>17</v>
      </c>
      <c r="E24" s="93" t="s">
        <v>17</v>
      </c>
      <c r="F24" s="594" t="str">
        <f t="shared" si="0"/>
        <v>021 小人の渚</v>
      </c>
      <c r="G24" s="576" t="s">
        <v>80</v>
      </c>
      <c r="H24" s="589" t="str">
        <f t="shared" si="1"/>
        <v>H:\Taniku\+おらいさん\021 小人の渚</v>
      </c>
      <c r="I24" s="576"/>
      <c r="J24" s="590" t="s">
        <v>19</v>
      </c>
      <c r="K24" s="572"/>
      <c r="L24" s="572"/>
      <c r="M24" s="576"/>
      <c r="N24" s="573"/>
      <c r="O24" s="574"/>
      <c r="P24" s="575"/>
      <c r="Q24" s="591" t="str">
        <f t="shared" si="2"/>
        <v>小人の渚</v>
      </c>
      <c r="S24" s="587" t="s">
        <v>81</v>
      </c>
      <c r="T24" s="446">
        <f t="shared" si="4"/>
        <v>8</v>
      </c>
      <c r="V24" s="586" t="s">
        <v>82</v>
      </c>
      <c r="W24" s="446">
        <f t="shared" si="3"/>
        <v>1</v>
      </c>
    </row>
    <row r="25" spans="1:23" ht="15" customHeight="1">
      <c r="A25" s="443" t="s">
        <v>15</v>
      </c>
      <c r="B25" s="93" t="s">
        <v>16</v>
      </c>
      <c r="D25" s="93" t="s">
        <v>17</v>
      </c>
      <c r="E25" s="93" t="s">
        <v>17</v>
      </c>
      <c r="F25" s="594" t="str">
        <f t="shared" si="0"/>
        <v>022 三日月</v>
      </c>
      <c r="G25" s="576" t="s">
        <v>83</v>
      </c>
      <c r="H25" s="589" t="str">
        <f t="shared" si="1"/>
        <v>H:\Taniku\+おらいさん\022 三日月</v>
      </c>
      <c r="I25" s="576"/>
      <c r="J25" s="590" t="s">
        <v>19</v>
      </c>
      <c r="K25" s="572"/>
      <c r="L25" s="572"/>
      <c r="M25" s="576"/>
      <c r="N25" s="573"/>
      <c r="O25" s="574"/>
      <c r="P25" s="575"/>
      <c r="Q25" s="591" t="str">
        <f t="shared" si="2"/>
        <v>三日月</v>
      </c>
      <c r="S25" s="587" t="s">
        <v>84</v>
      </c>
      <c r="T25" s="446">
        <f t="shared" si="4"/>
        <v>6</v>
      </c>
      <c r="V25" s="586" t="s">
        <v>85</v>
      </c>
      <c r="W25" s="446">
        <f t="shared" si="3"/>
        <v>2</v>
      </c>
    </row>
    <row r="26" spans="1:23" ht="15" customHeight="1">
      <c r="A26" s="443" t="s">
        <v>15</v>
      </c>
      <c r="B26" s="93" t="s">
        <v>16</v>
      </c>
      <c r="D26" s="93" t="s">
        <v>17</v>
      </c>
      <c r="E26" s="93" t="s">
        <v>17</v>
      </c>
      <c r="F26" s="594" t="str">
        <f t="shared" si="0"/>
        <v>023 夢々</v>
      </c>
      <c r="G26" s="576" t="s">
        <v>86</v>
      </c>
      <c r="H26" s="589" t="str">
        <f t="shared" si="1"/>
        <v>H:\Taniku\+おらいさん\023 夢々</v>
      </c>
      <c r="I26" s="576"/>
      <c r="J26" s="590" t="s">
        <v>19</v>
      </c>
      <c r="K26" s="572"/>
      <c r="L26" s="572"/>
      <c r="M26" s="576"/>
      <c r="N26" s="573"/>
      <c r="O26" s="574"/>
      <c r="P26" s="575"/>
      <c r="Q26" s="591" t="str">
        <f t="shared" si="2"/>
        <v>夢々</v>
      </c>
      <c r="S26" s="587" t="s">
        <v>87</v>
      </c>
      <c r="T26" s="446">
        <f t="shared" si="4"/>
        <v>3</v>
      </c>
      <c r="V26" s="586" t="s">
        <v>88</v>
      </c>
      <c r="W26" s="446">
        <f t="shared" si="3"/>
        <v>2</v>
      </c>
    </row>
    <row r="27" spans="1:23" ht="15" customHeight="1">
      <c r="A27" s="443" t="s">
        <v>15</v>
      </c>
      <c r="B27" s="93" t="s">
        <v>16</v>
      </c>
      <c r="D27" s="93" t="s">
        <v>17</v>
      </c>
      <c r="E27" s="93" t="s">
        <v>17</v>
      </c>
      <c r="F27" s="594" t="str">
        <f t="shared" si="0"/>
        <v>024 ひなまつり</v>
      </c>
      <c r="G27" s="576" t="s">
        <v>89</v>
      </c>
      <c r="H27" s="589" t="str">
        <f t="shared" si="1"/>
        <v>H:\Taniku\+おらいさん\024 ひなまつり</v>
      </c>
      <c r="I27" s="576"/>
      <c r="J27" s="590" t="s">
        <v>19</v>
      </c>
      <c r="K27" s="572"/>
      <c r="L27" s="572"/>
      <c r="M27" s="576"/>
      <c r="N27" s="573"/>
      <c r="O27" s="574"/>
      <c r="P27" s="575"/>
      <c r="Q27" s="591" t="str">
        <f t="shared" si="2"/>
        <v>ひなまつり</v>
      </c>
      <c r="S27" s="587" t="s">
        <v>90</v>
      </c>
      <c r="T27" s="446">
        <f t="shared" si="4"/>
        <v>3</v>
      </c>
      <c r="V27" s="586" t="s">
        <v>91</v>
      </c>
      <c r="W27" s="446">
        <f t="shared" si="3"/>
        <v>1</v>
      </c>
    </row>
    <row r="28" spans="1:23" ht="15" customHeight="1">
      <c r="A28" s="443" t="s">
        <v>15</v>
      </c>
      <c r="B28" s="93" t="s">
        <v>16</v>
      </c>
      <c r="D28" s="93" t="s">
        <v>17</v>
      </c>
      <c r="E28" s="93" t="s">
        <v>17</v>
      </c>
      <c r="F28" s="594" t="str">
        <f t="shared" si="0"/>
        <v>025 アルバートチワワ</v>
      </c>
      <c r="G28" s="576" t="s">
        <v>92</v>
      </c>
      <c r="H28" s="589" t="str">
        <f t="shared" si="1"/>
        <v>H:\Taniku\+おらいさん\025 アルバートチワワ</v>
      </c>
      <c r="I28" s="576"/>
      <c r="J28" s="590" t="s">
        <v>19</v>
      </c>
      <c r="K28" s="572"/>
      <c r="L28" s="572"/>
      <c r="M28" s="576"/>
      <c r="N28" s="573"/>
      <c r="O28" s="574"/>
      <c r="P28" s="575"/>
      <c r="Q28" s="591" t="str">
        <f t="shared" si="2"/>
        <v>アルバートチワワ</v>
      </c>
      <c r="S28" s="587" t="s">
        <v>93</v>
      </c>
      <c r="T28" s="446">
        <f t="shared" si="4"/>
        <v>2</v>
      </c>
      <c r="V28" s="586" t="s">
        <v>94</v>
      </c>
      <c r="W28" s="446">
        <f t="shared" si="3"/>
        <v>1</v>
      </c>
    </row>
    <row r="29" spans="1:23" ht="15" customHeight="1">
      <c r="A29" s="443" t="s">
        <v>15</v>
      </c>
      <c r="B29" s="93" t="s">
        <v>16</v>
      </c>
      <c r="D29" s="93" t="s">
        <v>24</v>
      </c>
      <c r="E29" s="93" t="s">
        <v>24</v>
      </c>
      <c r="F29" s="588" t="str">
        <f t="shared" si="0"/>
        <v>026 ブルーベリームーン</v>
      </c>
      <c r="G29" s="576" t="s">
        <v>95</v>
      </c>
      <c r="H29" s="589" t="str">
        <f t="shared" si="1"/>
        <v>H:\Taniku\+おらいさん\026 ブルーベリームーン</v>
      </c>
      <c r="I29" s="576"/>
      <c r="J29" s="590" t="s">
        <v>19</v>
      </c>
      <c r="K29" s="572" t="s">
        <v>23</v>
      </c>
      <c r="L29" s="572" t="s">
        <v>48</v>
      </c>
      <c r="M29" s="576"/>
      <c r="N29" s="573"/>
      <c r="O29" s="574"/>
      <c r="P29" s="575"/>
      <c r="Q29" s="591" t="str">
        <f t="shared" si="2"/>
        <v>ブルーベリームーン</v>
      </c>
      <c r="S29" s="587" t="s">
        <v>96</v>
      </c>
      <c r="T29" s="446">
        <f t="shared" si="4"/>
        <v>1</v>
      </c>
      <c r="V29" s="586" t="s">
        <v>97</v>
      </c>
      <c r="W29" s="446">
        <f t="shared" si="3"/>
        <v>1</v>
      </c>
    </row>
    <row r="30" spans="1:23" ht="15" customHeight="1">
      <c r="A30" s="443" t="s">
        <v>15</v>
      </c>
      <c r="B30" s="93" t="s">
        <v>16</v>
      </c>
      <c r="D30" s="93" t="s">
        <v>24</v>
      </c>
      <c r="E30" s="93" t="s">
        <v>24</v>
      </c>
      <c r="F30" s="588" t="str">
        <f t="shared" si="0"/>
        <v>027 ラズベリーメモリーズ</v>
      </c>
      <c r="G30" s="576" t="s">
        <v>98</v>
      </c>
      <c r="H30" s="589" t="str">
        <f t="shared" si="1"/>
        <v>H:\Taniku\+おらいさん\027 ラズベリーメモリーズ</v>
      </c>
      <c r="I30" s="576"/>
      <c r="J30" s="590" t="s">
        <v>19</v>
      </c>
      <c r="K30" s="572" t="s">
        <v>27</v>
      </c>
      <c r="L30" s="572" t="s">
        <v>99</v>
      </c>
      <c r="M30" s="576"/>
      <c r="N30" s="573"/>
      <c r="O30" s="574"/>
      <c r="P30" s="575"/>
      <c r="Q30" s="591" t="str">
        <f t="shared" si="2"/>
        <v>ラズベリーメモリーズ</v>
      </c>
      <c r="S30" s="587" t="s">
        <v>100</v>
      </c>
      <c r="T30" s="446">
        <f t="shared" si="4"/>
        <v>1</v>
      </c>
      <c r="V30" s="586"/>
      <c r="W30" s="446">
        <f t="shared" si="3"/>
        <v>0</v>
      </c>
    </row>
    <row r="31" spans="1:23" ht="15" customHeight="1">
      <c r="A31" s="443" t="s">
        <v>15</v>
      </c>
      <c r="B31" s="93" t="s">
        <v>16</v>
      </c>
      <c r="D31" s="93" t="s">
        <v>17</v>
      </c>
      <c r="E31" s="93" t="s">
        <v>17</v>
      </c>
      <c r="F31" s="594" t="str">
        <f t="shared" si="0"/>
        <v>028 雪つぼみ</v>
      </c>
      <c r="G31" s="576" t="s">
        <v>101</v>
      </c>
      <c r="H31" s="589" t="str">
        <f t="shared" si="1"/>
        <v>H:\Taniku\+おらいさん\028 雪つぼみ</v>
      </c>
      <c r="I31" s="576"/>
      <c r="J31" s="590" t="s">
        <v>19</v>
      </c>
      <c r="K31" s="572"/>
      <c r="L31" s="572"/>
      <c r="M31" s="576"/>
      <c r="N31" s="573"/>
      <c r="O31" s="574"/>
      <c r="P31" s="575"/>
      <c r="Q31" s="591" t="str">
        <f t="shared" si="2"/>
        <v>雪つぼみ</v>
      </c>
      <c r="S31" s="587" t="s">
        <v>102</v>
      </c>
      <c r="T31" s="446">
        <f t="shared" si="4"/>
        <v>1</v>
      </c>
    </row>
    <row r="32" spans="1:23" ht="15" customHeight="1">
      <c r="A32" s="443" t="s">
        <v>15</v>
      </c>
      <c r="B32" s="93" t="s">
        <v>16</v>
      </c>
      <c r="D32" s="93" t="s">
        <v>24</v>
      </c>
      <c r="E32" s="93" t="s">
        <v>24</v>
      </c>
      <c r="F32" s="594" t="str">
        <f t="shared" si="0"/>
        <v>029 円</v>
      </c>
      <c r="G32" s="576" t="s">
        <v>103</v>
      </c>
      <c r="H32" s="589" t="str">
        <f t="shared" si="1"/>
        <v>H:\Taniku\+おらいさん\029 円</v>
      </c>
      <c r="I32" s="576"/>
      <c r="J32" s="590" t="s">
        <v>19</v>
      </c>
      <c r="K32" s="572" t="s">
        <v>23</v>
      </c>
      <c r="L32" s="572" t="s">
        <v>48</v>
      </c>
      <c r="M32" s="576"/>
      <c r="N32" s="573"/>
      <c r="O32" s="574"/>
      <c r="P32" s="575"/>
      <c r="Q32" s="591" t="str">
        <f t="shared" si="2"/>
        <v>円</v>
      </c>
      <c r="S32" s="447" t="s">
        <v>52</v>
      </c>
      <c r="T32" s="446">
        <f t="shared" si="4"/>
        <v>0</v>
      </c>
    </row>
    <row r="33" spans="1:20" ht="15" customHeight="1">
      <c r="A33" s="443" t="s">
        <v>15</v>
      </c>
      <c r="B33" s="93" t="s">
        <v>16</v>
      </c>
      <c r="D33" s="93" t="s">
        <v>17</v>
      </c>
      <c r="E33" s="93" t="s">
        <v>17</v>
      </c>
      <c r="F33" s="594" t="str">
        <f t="shared" si="0"/>
        <v>030 うぐいす</v>
      </c>
      <c r="G33" s="576" t="s">
        <v>104</v>
      </c>
      <c r="H33" s="589" t="str">
        <f t="shared" si="1"/>
        <v>H:\Taniku\+おらいさん\030 うぐいす</v>
      </c>
      <c r="I33" s="576"/>
      <c r="J33" s="590" t="s">
        <v>19</v>
      </c>
      <c r="K33" s="572"/>
      <c r="L33" s="572"/>
      <c r="M33" s="576"/>
      <c r="N33" s="573"/>
      <c r="O33" s="574"/>
      <c r="P33" s="575"/>
      <c r="Q33" s="591" t="str">
        <f t="shared" si="2"/>
        <v>うぐいす</v>
      </c>
      <c r="S33" s="592" t="s">
        <v>44</v>
      </c>
      <c r="T33" s="446">
        <f t="shared" si="4"/>
        <v>28</v>
      </c>
    </row>
    <row r="34" spans="1:20" ht="15" customHeight="1">
      <c r="A34" s="443" t="s">
        <v>15</v>
      </c>
      <c r="B34" s="93" t="s">
        <v>16</v>
      </c>
      <c r="D34" s="93" t="s">
        <v>24</v>
      </c>
      <c r="E34" s="93" t="s">
        <v>24</v>
      </c>
      <c r="F34" s="588" t="str">
        <f t="shared" si="0"/>
        <v>031 石の花</v>
      </c>
      <c r="G34" s="576" t="s">
        <v>105</v>
      </c>
      <c r="H34" s="589" t="str">
        <f t="shared" si="1"/>
        <v>H:\Taniku\+おらいさん\031 石の花</v>
      </c>
      <c r="I34" s="576"/>
      <c r="J34" s="590" t="s">
        <v>19</v>
      </c>
      <c r="K34" s="572" t="s">
        <v>23</v>
      </c>
      <c r="L34" s="572" t="s">
        <v>48</v>
      </c>
      <c r="M34" s="576"/>
      <c r="N34" s="573"/>
      <c r="O34" s="574"/>
      <c r="P34" s="575"/>
      <c r="Q34" s="591" t="str">
        <f t="shared" si="2"/>
        <v>石の花</v>
      </c>
      <c r="S34" s="592" t="s">
        <v>106</v>
      </c>
      <c r="T34" s="446">
        <f t="shared" si="4"/>
        <v>25</v>
      </c>
    </row>
    <row r="35" spans="1:20" ht="15" customHeight="1">
      <c r="A35" s="443" t="s">
        <v>15</v>
      </c>
      <c r="B35" s="93" t="s">
        <v>16</v>
      </c>
      <c r="D35" s="93" t="s">
        <v>17</v>
      </c>
      <c r="E35" s="93" t="s">
        <v>17</v>
      </c>
      <c r="F35" s="594" t="str">
        <f t="shared" si="0"/>
        <v>032 眠り姫</v>
      </c>
      <c r="G35" s="576" t="s">
        <v>107</v>
      </c>
      <c r="H35" s="589" t="str">
        <f t="shared" si="1"/>
        <v>H:\Taniku\+おらいさん\032 眠り姫</v>
      </c>
      <c r="I35" s="576"/>
      <c r="J35" s="590" t="s">
        <v>19</v>
      </c>
      <c r="K35" s="572"/>
      <c r="L35" s="572"/>
      <c r="M35" s="576"/>
      <c r="N35" s="573"/>
      <c r="O35" s="574"/>
      <c r="P35" s="575"/>
      <c r="Q35" s="591" t="str">
        <f t="shared" si="2"/>
        <v>眠り姫</v>
      </c>
      <c r="S35" s="592" t="s">
        <v>108</v>
      </c>
      <c r="T35" s="446">
        <f t="shared" si="4"/>
        <v>24</v>
      </c>
    </row>
    <row r="36" spans="1:20" ht="15" customHeight="1">
      <c r="A36" s="443" t="s">
        <v>15</v>
      </c>
      <c r="B36" s="93" t="s">
        <v>16</v>
      </c>
      <c r="D36" s="93" t="s">
        <v>17</v>
      </c>
      <c r="E36" s="93" t="s">
        <v>17</v>
      </c>
      <c r="F36" s="594" t="str">
        <f t="shared" si="0"/>
        <v>033 藤紫</v>
      </c>
      <c r="G36" s="576" t="s">
        <v>109</v>
      </c>
      <c r="H36" s="589" t="str">
        <f t="shared" si="1"/>
        <v>H:\Taniku\+おらいさん\033 藤紫</v>
      </c>
      <c r="I36" s="576"/>
      <c r="J36" s="590" t="s">
        <v>19</v>
      </c>
      <c r="K36" s="572"/>
      <c r="L36" s="572"/>
      <c r="M36" s="576"/>
      <c r="N36" s="573"/>
      <c r="O36" s="574"/>
      <c r="P36" s="575"/>
      <c r="Q36" s="591" t="str">
        <f t="shared" si="2"/>
        <v>藤紫</v>
      </c>
      <c r="S36" s="592" t="s">
        <v>110</v>
      </c>
      <c r="T36" s="446">
        <f t="shared" si="4"/>
        <v>19</v>
      </c>
    </row>
    <row r="37" spans="1:20" ht="15" customHeight="1">
      <c r="A37" s="443" t="s">
        <v>15</v>
      </c>
      <c r="B37" s="93" t="s">
        <v>16</v>
      </c>
      <c r="D37" s="93" t="s">
        <v>17</v>
      </c>
      <c r="E37" s="93" t="s">
        <v>17</v>
      </c>
      <c r="F37" s="594" t="str">
        <f t="shared" si="0"/>
        <v>034 風の花</v>
      </c>
      <c r="G37" s="576" t="s">
        <v>111</v>
      </c>
      <c r="H37" s="589" t="str">
        <f t="shared" si="1"/>
        <v>H:\Taniku\+おらいさん\034 風の花</v>
      </c>
      <c r="I37" s="576"/>
      <c r="J37" s="590" t="s">
        <v>19</v>
      </c>
      <c r="K37" s="572"/>
      <c r="L37" s="572"/>
      <c r="M37" s="576"/>
      <c r="N37" s="573"/>
      <c r="O37" s="574"/>
      <c r="P37" s="575"/>
      <c r="Q37" s="591" t="str">
        <f t="shared" si="2"/>
        <v>風の花</v>
      </c>
      <c r="S37" s="592" t="s">
        <v>112</v>
      </c>
      <c r="T37" s="446">
        <f t="shared" si="4"/>
        <v>16</v>
      </c>
    </row>
    <row r="38" spans="1:20" ht="15" customHeight="1">
      <c r="A38" s="443" t="s">
        <v>15</v>
      </c>
      <c r="B38" s="93" t="s">
        <v>16</v>
      </c>
      <c r="D38" s="93" t="s">
        <v>17</v>
      </c>
      <c r="E38" s="93" t="s">
        <v>17</v>
      </c>
      <c r="F38" s="594" t="str">
        <f t="shared" si="0"/>
        <v>035 プリンセスティアラ</v>
      </c>
      <c r="G38" s="576" t="s">
        <v>113</v>
      </c>
      <c r="H38" s="589" t="str">
        <f t="shared" si="1"/>
        <v>H:\Taniku\+おらいさん\035 プリンセスティアラ</v>
      </c>
      <c r="I38" s="576"/>
      <c r="J38" s="590" t="s">
        <v>19</v>
      </c>
      <c r="K38" s="572"/>
      <c r="L38" s="572"/>
      <c r="M38" s="576"/>
      <c r="N38" s="573"/>
      <c r="O38" s="574"/>
      <c r="P38" s="575"/>
      <c r="Q38" s="591" t="str">
        <f t="shared" si="2"/>
        <v>プリンセスティアラ</v>
      </c>
      <c r="S38" s="592" t="s">
        <v>114</v>
      </c>
      <c r="T38" s="446">
        <f t="shared" si="4"/>
        <v>10</v>
      </c>
    </row>
    <row r="39" spans="1:20" ht="15" customHeight="1">
      <c r="A39" s="443" t="s">
        <v>15</v>
      </c>
      <c r="B39" s="93" t="s">
        <v>16</v>
      </c>
      <c r="D39" s="93" t="s">
        <v>17</v>
      </c>
      <c r="E39" s="93" t="s">
        <v>17</v>
      </c>
      <c r="F39" s="594" t="str">
        <f t="shared" si="0"/>
        <v>036 霜飾り</v>
      </c>
      <c r="G39" s="576" t="s">
        <v>115</v>
      </c>
      <c r="H39" s="589" t="str">
        <f t="shared" si="1"/>
        <v>H:\Taniku\+おらいさん\036 霜飾り</v>
      </c>
      <c r="I39" s="576"/>
      <c r="J39" s="590" t="s">
        <v>19</v>
      </c>
      <c r="K39" s="572"/>
      <c r="L39" s="572"/>
      <c r="M39" s="576"/>
      <c r="N39" s="573"/>
      <c r="O39" s="574"/>
      <c r="P39" s="575"/>
      <c r="Q39" s="591" t="str">
        <f t="shared" si="2"/>
        <v>霜飾り</v>
      </c>
      <c r="S39" s="592" t="s">
        <v>116</v>
      </c>
      <c r="T39" s="446">
        <f t="shared" si="4"/>
        <v>10</v>
      </c>
    </row>
    <row r="40" spans="1:20" ht="15" customHeight="1">
      <c r="A40" s="443" t="s">
        <v>15</v>
      </c>
      <c r="B40" s="93" t="s">
        <v>16</v>
      </c>
      <c r="D40" s="93" t="s">
        <v>24</v>
      </c>
      <c r="E40" s="93" t="s">
        <v>24</v>
      </c>
      <c r="F40" s="588" t="str">
        <f t="shared" si="0"/>
        <v>037 イーゲルコット</v>
      </c>
      <c r="G40" s="576" t="s">
        <v>117</v>
      </c>
      <c r="H40" s="589" t="str">
        <f t="shared" si="1"/>
        <v>H:\Taniku\+おらいさん\037 イーゲルコット</v>
      </c>
      <c r="I40" s="576"/>
      <c r="J40" s="590" t="s">
        <v>19</v>
      </c>
      <c r="K40" s="572" t="s">
        <v>23</v>
      </c>
      <c r="L40" s="572" t="s">
        <v>48</v>
      </c>
      <c r="M40" s="576"/>
      <c r="N40" s="573"/>
      <c r="O40" s="574"/>
      <c r="P40" s="575"/>
      <c r="Q40" s="591" t="str">
        <f t="shared" si="2"/>
        <v>イーゲルコット</v>
      </c>
      <c r="S40" s="592" t="s">
        <v>118</v>
      </c>
      <c r="T40" s="446">
        <f t="shared" si="4"/>
        <v>11</v>
      </c>
    </row>
    <row r="41" spans="1:20" ht="15" customHeight="1">
      <c r="A41" s="443" t="s">
        <v>15</v>
      </c>
      <c r="B41" s="93" t="s">
        <v>16</v>
      </c>
      <c r="D41" s="93" t="s">
        <v>17</v>
      </c>
      <c r="E41" s="93" t="s">
        <v>17</v>
      </c>
      <c r="F41" s="594" t="str">
        <f t="shared" si="0"/>
        <v>038 ルビーライム</v>
      </c>
      <c r="G41" s="576" t="s">
        <v>119</v>
      </c>
      <c r="H41" s="589" t="str">
        <f t="shared" si="1"/>
        <v>H:\Taniku\+おらいさん\038 ルビーライム</v>
      </c>
      <c r="I41" s="576"/>
      <c r="J41" s="590" t="s">
        <v>19</v>
      </c>
      <c r="K41" s="572"/>
      <c r="L41" s="572"/>
      <c r="M41" s="576"/>
      <c r="N41" s="573"/>
      <c r="O41" s="574"/>
      <c r="P41" s="575"/>
      <c r="Q41" s="591" t="str">
        <f t="shared" si="2"/>
        <v>ルビーライム</v>
      </c>
      <c r="S41" s="592" t="s">
        <v>120</v>
      </c>
      <c r="T41" s="446">
        <f t="shared" si="4"/>
        <v>7</v>
      </c>
    </row>
    <row r="42" spans="1:20" ht="15" customHeight="1">
      <c r="A42" s="443" t="s">
        <v>15</v>
      </c>
      <c r="B42" s="93" t="s">
        <v>16</v>
      </c>
      <c r="D42" s="93" t="s">
        <v>17</v>
      </c>
      <c r="E42" s="93" t="s">
        <v>17</v>
      </c>
      <c r="F42" s="594" t="str">
        <f t="shared" si="0"/>
        <v>039 ベリースフレ</v>
      </c>
      <c r="G42" s="576" t="s">
        <v>121</v>
      </c>
      <c r="H42" s="589" t="str">
        <f t="shared" si="1"/>
        <v>H:\Taniku\+おらいさん\039 ベリースフレ</v>
      </c>
      <c r="I42" s="576"/>
      <c r="J42" s="590" t="s">
        <v>19</v>
      </c>
      <c r="K42" s="572"/>
      <c r="L42" s="572"/>
      <c r="M42" s="576"/>
      <c r="N42" s="573"/>
      <c r="O42" s="574"/>
      <c r="P42" s="575"/>
      <c r="Q42" s="591" t="str">
        <f t="shared" si="2"/>
        <v>ベリースフレ</v>
      </c>
      <c r="S42" s="592" t="s">
        <v>122</v>
      </c>
      <c r="T42" s="446">
        <f t="shared" si="4"/>
        <v>3</v>
      </c>
    </row>
    <row r="43" spans="1:20" ht="15" customHeight="1">
      <c r="A43" s="443" t="s">
        <v>15</v>
      </c>
      <c r="B43" s="93" t="s">
        <v>16</v>
      </c>
      <c r="D43" s="93" t="s">
        <v>24</v>
      </c>
      <c r="E43" s="93" t="s">
        <v>24</v>
      </c>
      <c r="F43" s="588" t="str">
        <f t="shared" si="0"/>
        <v>040 モルゲンロート</v>
      </c>
      <c r="G43" s="576" t="s">
        <v>123</v>
      </c>
      <c r="H43" s="589" t="str">
        <f t="shared" si="1"/>
        <v>H:\Taniku\+おらいさん\040 モルゲンロート</v>
      </c>
      <c r="I43" s="576"/>
      <c r="J43" s="590" t="s">
        <v>19</v>
      </c>
      <c r="K43" s="572" t="s">
        <v>23</v>
      </c>
      <c r="L43" s="572" t="s">
        <v>48</v>
      </c>
      <c r="M43" s="576"/>
      <c r="N43" s="573"/>
      <c r="O43" s="574"/>
      <c r="P43" s="575"/>
      <c r="Q43" s="591" t="str">
        <f t="shared" si="2"/>
        <v>モルゲンロート</v>
      </c>
      <c r="S43" s="592" t="s">
        <v>124</v>
      </c>
      <c r="T43" s="446">
        <f t="shared" si="4"/>
        <v>3</v>
      </c>
    </row>
    <row r="44" spans="1:20" ht="15" customHeight="1">
      <c r="A44" s="443" t="s">
        <v>15</v>
      </c>
      <c r="B44" s="93" t="s">
        <v>16</v>
      </c>
      <c r="D44" s="93" t="s">
        <v>17</v>
      </c>
      <c r="E44" s="93" t="s">
        <v>17</v>
      </c>
      <c r="F44" s="594" t="str">
        <f t="shared" si="0"/>
        <v>041 迷いの森</v>
      </c>
      <c r="G44" s="576" t="s">
        <v>125</v>
      </c>
      <c r="H44" s="589" t="str">
        <f t="shared" si="1"/>
        <v>H:\Taniku\+おらいさん\041 迷いの森</v>
      </c>
      <c r="I44" s="576"/>
      <c r="J44" s="590" t="s">
        <v>19</v>
      </c>
      <c r="K44" s="572"/>
      <c r="L44" s="572"/>
      <c r="M44" s="576"/>
      <c r="N44" s="573"/>
      <c r="O44" s="574"/>
      <c r="P44" s="575"/>
      <c r="Q44" s="591" t="str">
        <f t="shared" si="2"/>
        <v>迷いの森</v>
      </c>
      <c r="S44" s="592" t="s">
        <v>126</v>
      </c>
      <c r="T44" s="446">
        <f t="shared" si="4"/>
        <v>2</v>
      </c>
    </row>
    <row r="45" spans="1:20" ht="15" customHeight="1">
      <c r="A45" s="443" t="s">
        <v>15</v>
      </c>
      <c r="B45" s="93" t="s">
        <v>16</v>
      </c>
      <c r="D45" s="93" t="s">
        <v>17</v>
      </c>
      <c r="E45" s="93" t="s">
        <v>17</v>
      </c>
      <c r="F45" s="594" t="str">
        <f t="shared" si="0"/>
        <v>042 パステルブロッサム</v>
      </c>
      <c r="G45" s="576" t="s">
        <v>127</v>
      </c>
      <c r="H45" s="589" t="str">
        <f t="shared" si="1"/>
        <v>H:\Taniku\+おらいさん\042 パステルブロッサム</v>
      </c>
      <c r="I45" s="576"/>
      <c r="J45" s="590" t="s">
        <v>19</v>
      </c>
      <c r="K45" s="572"/>
      <c r="L45" s="572"/>
      <c r="M45" s="576"/>
      <c r="N45" s="573"/>
      <c r="O45" s="574"/>
      <c r="P45" s="575"/>
      <c r="Q45" s="591" t="str">
        <f t="shared" si="2"/>
        <v>パステルブロッサム</v>
      </c>
      <c r="S45" s="447" t="s">
        <v>52</v>
      </c>
      <c r="T45" s="446">
        <f t="shared" si="4"/>
        <v>0</v>
      </c>
    </row>
    <row r="46" spans="1:20" ht="15" customHeight="1">
      <c r="A46" s="443" t="s">
        <v>15</v>
      </c>
      <c r="B46" s="93" t="s">
        <v>16</v>
      </c>
      <c r="D46" s="93" t="s">
        <v>17</v>
      </c>
      <c r="E46" s="93" t="s">
        <v>17</v>
      </c>
      <c r="F46" s="594" t="str">
        <f t="shared" si="0"/>
        <v>043 木漏れ日</v>
      </c>
      <c r="G46" s="576" t="s">
        <v>128</v>
      </c>
      <c r="H46" s="589" t="str">
        <f t="shared" si="1"/>
        <v>H:\Taniku\+おらいさん\043 木漏れ日</v>
      </c>
      <c r="I46" s="576"/>
      <c r="J46" s="590" t="s">
        <v>19</v>
      </c>
      <c r="K46" s="572"/>
      <c r="L46" s="572"/>
      <c r="M46" s="576"/>
      <c r="N46" s="573"/>
      <c r="O46" s="574"/>
      <c r="P46" s="575"/>
      <c r="Q46" s="591" t="str">
        <f t="shared" si="2"/>
        <v>木漏れ日</v>
      </c>
      <c r="S46" s="593" t="s">
        <v>129</v>
      </c>
      <c r="T46" s="446">
        <f t="shared" si="4"/>
        <v>28</v>
      </c>
    </row>
    <row r="47" spans="1:20" ht="15" customHeight="1">
      <c r="A47" s="443" t="s">
        <v>15</v>
      </c>
      <c r="B47" s="93" t="s">
        <v>16</v>
      </c>
      <c r="D47" s="93" t="s">
        <v>24</v>
      </c>
      <c r="E47" s="93" t="s">
        <v>24</v>
      </c>
      <c r="F47" s="594" t="str">
        <f t="shared" si="0"/>
        <v>044 龍鱗蓮華</v>
      </c>
      <c r="G47" s="576" t="s">
        <v>130</v>
      </c>
      <c r="H47" s="589" t="str">
        <f t="shared" si="1"/>
        <v>H:\Taniku\+おらいさん\044 龍鱗蓮華</v>
      </c>
      <c r="I47" s="576"/>
      <c r="J47" s="590" t="s">
        <v>19</v>
      </c>
      <c r="K47" s="572" t="s">
        <v>23</v>
      </c>
      <c r="L47" s="572" t="s">
        <v>48</v>
      </c>
      <c r="M47" s="576"/>
      <c r="N47" s="573"/>
      <c r="O47" s="574"/>
      <c r="P47" s="575"/>
      <c r="Q47" s="591" t="str">
        <f t="shared" si="2"/>
        <v>龍鱗蓮華</v>
      </c>
      <c r="S47" s="593" t="s">
        <v>131</v>
      </c>
      <c r="T47" s="446">
        <f t="shared" si="4"/>
        <v>8</v>
      </c>
    </row>
    <row r="48" spans="1:20" ht="15" customHeight="1">
      <c r="A48" s="443" t="s">
        <v>15</v>
      </c>
      <c r="B48" s="93" t="s">
        <v>16</v>
      </c>
      <c r="D48" s="93" t="s">
        <v>24</v>
      </c>
      <c r="E48" s="93" t="s">
        <v>24</v>
      </c>
      <c r="F48" s="588" t="str">
        <f t="shared" si="0"/>
        <v>045 紫紺の矢</v>
      </c>
      <c r="G48" s="576" t="s">
        <v>132</v>
      </c>
      <c r="H48" s="589" t="str">
        <f t="shared" si="1"/>
        <v>H:\Taniku\+おらいさん\045 紫紺の矢</v>
      </c>
      <c r="I48" s="576"/>
      <c r="J48" s="590" t="s">
        <v>19</v>
      </c>
      <c r="K48" s="572" t="s">
        <v>23</v>
      </c>
      <c r="L48" s="572" t="s">
        <v>48</v>
      </c>
      <c r="M48" s="576"/>
      <c r="N48" s="573"/>
      <c r="O48" s="574"/>
      <c r="P48" s="575"/>
      <c r="Q48" s="591" t="str">
        <f t="shared" si="2"/>
        <v>紫紺の矢</v>
      </c>
      <c r="S48" s="593" t="s">
        <v>133</v>
      </c>
      <c r="T48" s="446">
        <f t="shared" si="4"/>
        <v>7</v>
      </c>
    </row>
    <row r="49" spans="1:20" ht="15" customHeight="1">
      <c r="A49" s="443" t="s">
        <v>15</v>
      </c>
      <c r="B49" s="93" t="s">
        <v>16</v>
      </c>
      <c r="D49" s="93" t="s">
        <v>24</v>
      </c>
      <c r="E49" s="93" t="s">
        <v>24</v>
      </c>
      <c r="F49" s="588" t="str">
        <f t="shared" si="0"/>
        <v>046 はじまりの花</v>
      </c>
      <c r="G49" s="576" t="s">
        <v>134</v>
      </c>
      <c r="H49" s="589" t="str">
        <f t="shared" si="1"/>
        <v>H:\Taniku\+おらいさん\046 はじまりの花</v>
      </c>
      <c r="I49" s="576"/>
      <c r="J49" s="590" t="s">
        <v>19</v>
      </c>
      <c r="K49" s="572" t="s">
        <v>27</v>
      </c>
      <c r="L49" s="572" t="s">
        <v>99</v>
      </c>
      <c r="M49" s="576"/>
      <c r="N49" s="573"/>
      <c r="O49" s="574"/>
      <c r="P49" s="575"/>
      <c r="Q49" s="591" t="str">
        <f t="shared" si="2"/>
        <v>はじまりの花</v>
      </c>
      <c r="S49" s="593" t="s">
        <v>135</v>
      </c>
      <c r="T49" s="446">
        <f t="shared" si="4"/>
        <v>2</v>
      </c>
    </row>
    <row r="50" spans="1:20" ht="15" customHeight="1">
      <c r="A50" s="443" t="s">
        <v>15</v>
      </c>
      <c r="B50" s="93" t="s">
        <v>16</v>
      </c>
      <c r="D50" s="93" t="s">
        <v>24</v>
      </c>
      <c r="E50" s="93" t="s">
        <v>24</v>
      </c>
      <c r="F50" s="588" t="str">
        <f t="shared" si="0"/>
        <v>047 ブルーバニラ</v>
      </c>
      <c r="G50" s="576" t="s">
        <v>136</v>
      </c>
      <c r="H50" s="589" t="str">
        <f t="shared" si="1"/>
        <v>H:\Taniku\+おらいさん\047 ブルーバニラ</v>
      </c>
      <c r="I50" s="576"/>
      <c r="J50" s="590" t="s">
        <v>19</v>
      </c>
      <c r="K50" s="572" t="s">
        <v>23</v>
      </c>
      <c r="L50" s="572" t="s">
        <v>48</v>
      </c>
      <c r="M50" s="576"/>
      <c r="N50" s="573"/>
      <c r="O50" s="574"/>
      <c r="P50" s="575"/>
      <c r="Q50" s="591" t="str">
        <f t="shared" si="2"/>
        <v>ブルーバニラ</v>
      </c>
    </row>
    <row r="51" spans="1:20" ht="15" customHeight="1">
      <c r="A51" s="443" t="s">
        <v>15</v>
      </c>
      <c r="B51" s="93" t="s">
        <v>16</v>
      </c>
      <c r="D51" s="93" t="s">
        <v>24</v>
      </c>
      <c r="E51" s="93" t="s">
        <v>24</v>
      </c>
      <c r="F51" s="588" t="str">
        <f t="shared" si="0"/>
        <v>048 ノスタルジックセピア</v>
      </c>
      <c r="G51" s="576" t="s">
        <v>137</v>
      </c>
      <c r="H51" s="589" t="str">
        <f t="shared" si="1"/>
        <v>H:\Taniku\+おらいさん\048 ノスタルジックセピア</v>
      </c>
      <c r="I51" s="576"/>
      <c r="J51" s="590" t="s">
        <v>19</v>
      </c>
      <c r="K51" s="572" t="s">
        <v>23</v>
      </c>
      <c r="L51" s="572" t="s">
        <v>48</v>
      </c>
      <c r="M51" s="576"/>
      <c r="N51" s="573"/>
      <c r="O51" s="574"/>
      <c r="P51" s="575"/>
      <c r="Q51" s="591" t="str">
        <f t="shared" si="2"/>
        <v>ノスタルジックセピア</v>
      </c>
    </row>
    <row r="52" spans="1:20" ht="15" customHeight="1">
      <c r="A52" s="443" t="s">
        <v>15</v>
      </c>
      <c r="B52" s="93" t="s">
        <v>16</v>
      </c>
      <c r="D52" s="93" t="s">
        <v>24</v>
      </c>
      <c r="E52" s="93" t="s">
        <v>24</v>
      </c>
      <c r="F52" s="588" t="str">
        <f t="shared" si="0"/>
        <v>049 いばら時計</v>
      </c>
      <c r="G52" s="576" t="s">
        <v>138</v>
      </c>
      <c r="H52" s="589" t="str">
        <f t="shared" si="1"/>
        <v>H:\Taniku\+おらいさん\049 いばら時計</v>
      </c>
      <c r="I52" s="576"/>
      <c r="J52" s="590" t="s">
        <v>19</v>
      </c>
      <c r="K52" s="572" t="s">
        <v>23</v>
      </c>
      <c r="L52" s="572" t="s">
        <v>48</v>
      </c>
      <c r="M52" s="576"/>
      <c r="N52" s="573"/>
      <c r="O52" s="574"/>
      <c r="P52" s="575"/>
      <c r="Q52" s="591" t="str">
        <f t="shared" si="2"/>
        <v>いばら時計</v>
      </c>
    </row>
    <row r="53" spans="1:20" ht="15" customHeight="1">
      <c r="A53" s="443" t="s">
        <v>15</v>
      </c>
      <c r="B53" s="93" t="s">
        <v>16</v>
      </c>
      <c r="D53" s="93" t="s">
        <v>17</v>
      </c>
      <c r="E53" s="93" t="s">
        <v>17</v>
      </c>
      <c r="F53" s="594" t="str">
        <f t="shared" si="0"/>
        <v>050 桃染華</v>
      </c>
      <c r="G53" s="576" t="s">
        <v>139</v>
      </c>
      <c r="H53" s="589" t="str">
        <f t="shared" si="1"/>
        <v>H:\Taniku\+おらいさん\050 桃染華</v>
      </c>
      <c r="I53" s="576"/>
      <c r="J53" s="590" t="s">
        <v>19</v>
      </c>
      <c r="K53" s="572"/>
      <c r="L53" s="572"/>
      <c r="M53" s="576"/>
      <c r="N53" s="573"/>
      <c r="O53" s="574"/>
      <c r="P53" s="575"/>
      <c r="Q53" s="591" t="str">
        <f t="shared" si="2"/>
        <v>桃染華</v>
      </c>
    </row>
    <row r="54" spans="1:20" ht="15" customHeight="1">
      <c r="A54" s="443" t="s">
        <v>15</v>
      </c>
      <c r="B54" s="93" t="s">
        <v>16</v>
      </c>
      <c r="D54" s="93" t="s">
        <v>24</v>
      </c>
      <c r="E54" s="93" t="s">
        <v>24</v>
      </c>
      <c r="F54" s="594" t="str">
        <f t="shared" si="0"/>
        <v>051 ぺったん</v>
      </c>
      <c r="G54" s="576" t="s">
        <v>140</v>
      </c>
      <c r="H54" s="589" t="str">
        <f t="shared" si="1"/>
        <v>H:\Taniku\+おらいさん\051 ぺったん</v>
      </c>
      <c r="I54" s="576"/>
      <c r="J54" s="590" t="s">
        <v>19</v>
      </c>
      <c r="K54" s="572" t="s">
        <v>23</v>
      </c>
      <c r="L54" s="572" t="s">
        <v>48</v>
      </c>
      <c r="M54" s="576"/>
      <c r="N54" s="573"/>
      <c r="O54" s="574"/>
      <c r="P54" s="575"/>
      <c r="Q54" s="591" t="str">
        <f t="shared" si="2"/>
        <v>ぺったん</v>
      </c>
    </row>
    <row r="55" spans="1:20" ht="15" customHeight="1">
      <c r="A55" s="443" t="s">
        <v>15</v>
      </c>
      <c r="B55" s="93" t="s">
        <v>16</v>
      </c>
      <c r="D55" s="93" t="s">
        <v>17</v>
      </c>
      <c r="E55" s="93" t="s">
        <v>17</v>
      </c>
      <c r="F55" s="594" t="str">
        <f t="shared" si="0"/>
        <v>052 ミステリアスグラス</v>
      </c>
      <c r="G55" s="576" t="s">
        <v>141</v>
      </c>
      <c r="H55" s="589" t="str">
        <f t="shared" si="1"/>
        <v>H:\Taniku\+おらいさん\052 ミステリアスグラス</v>
      </c>
      <c r="I55" s="576"/>
      <c r="J55" s="590" t="s">
        <v>19</v>
      </c>
      <c r="K55" s="572"/>
      <c r="L55" s="572"/>
      <c r="M55" s="576"/>
      <c r="N55" s="573"/>
      <c r="O55" s="574"/>
      <c r="P55" s="575"/>
      <c r="Q55" s="591" t="str">
        <f t="shared" si="2"/>
        <v>ミステリアスグラス</v>
      </c>
    </row>
    <row r="56" spans="1:20" ht="15" customHeight="1">
      <c r="A56" s="443" t="s">
        <v>15</v>
      </c>
      <c r="B56" s="93" t="s">
        <v>16</v>
      </c>
      <c r="D56" s="93" t="s">
        <v>24</v>
      </c>
      <c r="E56" s="93" t="s">
        <v>24</v>
      </c>
      <c r="F56" s="594" t="str">
        <f t="shared" si="0"/>
        <v>053 ピーチック</v>
      </c>
      <c r="G56" s="576" t="s">
        <v>142</v>
      </c>
      <c r="H56" s="589" t="str">
        <f t="shared" si="1"/>
        <v>H:\Taniku\+おらいさん\053 ピーチック</v>
      </c>
      <c r="I56" s="576"/>
      <c r="J56" s="590" t="s">
        <v>19</v>
      </c>
      <c r="K56" s="572" t="s">
        <v>23</v>
      </c>
      <c r="L56" s="572" t="s">
        <v>48</v>
      </c>
      <c r="M56" s="576"/>
      <c r="N56" s="573"/>
      <c r="O56" s="574"/>
      <c r="P56" s="575"/>
      <c r="Q56" s="591" t="str">
        <f t="shared" si="2"/>
        <v>ピーチック</v>
      </c>
    </row>
    <row r="57" spans="1:20" ht="15" customHeight="1">
      <c r="A57" s="443" t="s">
        <v>15</v>
      </c>
      <c r="B57" s="93" t="s">
        <v>16</v>
      </c>
      <c r="D57" s="93" t="s">
        <v>24</v>
      </c>
      <c r="E57" s="93" t="s">
        <v>24</v>
      </c>
      <c r="F57" s="588" t="str">
        <f t="shared" si="0"/>
        <v>054 芍薬牡丹</v>
      </c>
      <c r="G57" s="576" t="s">
        <v>143</v>
      </c>
      <c r="H57" s="589" t="str">
        <f t="shared" si="1"/>
        <v>H:\Taniku\+おらいさん\054 芍薬牡丹</v>
      </c>
      <c r="I57" s="576"/>
      <c r="J57" s="590" t="s">
        <v>19</v>
      </c>
      <c r="K57" s="572" t="s">
        <v>23</v>
      </c>
      <c r="L57" s="572" t="s">
        <v>48</v>
      </c>
      <c r="M57" s="576"/>
      <c r="N57" s="573"/>
      <c r="O57" s="574"/>
      <c r="P57" s="575"/>
      <c r="Q57" s="591" t="str">
        <f t="shared" si="2"/>
        <v>芍薬牡丹</v>
      </c>
    </row>
    <row r="58" spans="1:20" ht="15" customHeight="1">
      <c r="A58" s="443" t="s">
        <v>15</v>
      </c>
      <c r="B58" s="93" t="s">
        <v>16</v>
      </c>
      <c r="D58" s="93" t="s">
        <v>17</v>
      </c>
      <c r="E58" s="93" t="s">
        <v>17</v>
      </c>
      <c r="F58" s="594" t="str">
        <f t="shared" si="0"/>
        <v>055 百合牡丹</v>
      </c>
      <c r="G58" s="576" t="s">
        <v>144</v>
      </c>
      <c r="H58" s="589" t="str">
        <f t="shared" si="1"/>
        <v>H:\Taniku\+おらいさん\055 百合牡丹</v>
      </c>
      <c r="I58" s="576"/>
      <c r="J58" s="590" t="s">
        <v>19</v>
      </c>
      <c r="K58" s="572"/>
      <c r="L58" s="572"/>
      <c r="M58" s="576"/>
      <c r="N58" s="573"/>
      <c r="O58" s="574"/>
      <c r="P58" s="575"/>
      <c r="Q58" s="591" t="str">
        <f t="shared" si="2"/>
        <v>百合牡丹</v>
      </c>
    </row>
    <row r="59" spans="1:20" ht="15" customHeight="1">
      <c r="A59" s="443" t="s">
        <v>15</v>
      </c>
      <c r="B59" s="93" t="s">
        <v>16</v>
      </c>
      <c r="D59" s="93" t="s">
        <v>17</v>
      </c>
      <c r="E59" s="93" t="s">
        <v>24</v>
      </c>
      <c r="F59" s="594" t="str">
        <f t="shared" si="0"/>
        <v>056 サンセットグレイ</v>
      </c>
      <c r="G59" s="576" t="s">
        <v>145</v>
      </c>
      <c r="H59" s="589" t="str">
        <f t="shared" si="1"/>
        <v>H:\Taniku\+おらいさん\056 サンセットグレイ</v>
      </c>
      <c r="I59" s="576"/>
      <c r="J59" s="590" t="s">
        <v>19</v>
      </c>
      <c r="K59" s="572" t="s">
        <v>23</v>
      </c>
      <c r="L59" s="572" t="s">
        <v>72</v>
      </c>
      <c r="M59" s="576"/>
      <c r="N59" s="573"/>
      <c r="O59" s="574"/>
      <c r="P59" s="575"/>
      <c r="Q59" s="591" t="str">
        <f t="shared" si="2"/>
        <v>サンセットグレイ</v>
      </c>
    </row>
    <row r="60" spans="1:20" ht="15" customHeight="1">
      <c r="A60" s="443" t="s">
        <v>15</v>
      </c>
      <c r="B60" s="93" t="s">
        <v>16</v>
      </c>
      <c r="D60" s="93" t="s">
        <v>17</v>
      </c>
      <c r="E60" s="93" t="s">
        <v>17</v>
      </c>
      <c r="F60" s="594" t="str">
        <f t="shared" si="0"/>
        <v>057 白銀姫</v>
      </c>
      <c r="G60" s="576" t="s">
        <v>146</v>
      </c>
      <c r="H60" s="589" t="str">
        <f t="shared" si="1"/>
        <v>H:\Taniku\+おらいさん\057 白銀姫</v>
      </c>
      <c r="I60" s="576"/>
      <c r="J60" s="590" t="s">
        <v>19</v>
      </c>
      <c r="K60" s="572"/>
      <c r="L60" s="572"/>
      <c r="M60" s="576"/>
      <c r="N60" s="573"/>
      <c r="O60" s="574"/>
      <c r="P60" s="575"/>
      <c r="Q60" s="591" t="str">
        <f t="shared" si="2"/>
        <v>白銀姫</v>
      </c>
    </row>
    <row r="61" spans="1:20" ht="15" customHeight="1">
      <c r="A61" s="443" t="s">
        <v>15</v>
      </c>
      <c r="B61" s="93" t="s">
        <v>16</v>
      </c>
      <c r="D61" s="93" t="s">
        <v>24</v>
      </c>
      <c r="E61" s="93" t="s">
        <v>24</v>
      </c>
      <c r="F61" s="588" t="str">
        <f t="shared" si="0"/>
        <v>058 黒銀姫</v>
      </c>
      <c r="G61" s="576" t="s">
        <v>147</v>
      </c>
      <c r="H61" s="589" t="str">
        <f t="shared" si="1"/>
        <v>H:\Taniku\+おらいさん\058 黒銀姫</v>
      </c>
      <c r="I61" s="576"/>
      <c r="J61" s="590" t="s">
        <v>19</v>
      </c>
      <c r="K61" s="572" t="s">
        <v>23</v>
      </c>
      <c r="L61" s="572" t="s">
        <v>48</v>
      </c>
      <c r="M61" s="576"/>
      <c r="N61" s="573"/>
      <c r="O61" s="574"/>
      <c r="P61" s="575"/>
      <c r="Q61" s="591" t="str">
        <f t="shared" si="2"/>
        <v>黒銀姫</v>
      </c>
    </row>
    <row r="62" spans="1:20" ht="15" customHeight="1">
      <c r="A62" s="443" t="s">
        <v>15</v>
      </c>
      <c r="B62" s="93" t="s">
        <v>16</v>
      </c>
      <c r="D62" s="93" t="s">
        <v>17</v>
      </c>
      <c r="E62" s="93" t="s">
        <v>17</v>
      </c>
      <c r="F62" s="594" t="str">
        <f t="shared" si="0"/>
        <v>059 もみじ飴</v>
      </c>
      <c r="G62" s="576" t="s">
        <v>148</v>
      </c>
      <c r="H62" s="589" t="str">
        <f t="shared" si="1"/>
        <v>H:\Taniku\+おらいさん\059 もみじ飴</v>
      </c>
      <c r="I62" s="576"/>
      <c r="J62" s="590" t="s">
        <v>19</v>
      </c>
      <c r="K62" s="572"/>
      <c r="L62" s="572"/>
      <c r="M62" s="576"/>
      <c r="N62" s="573"/>
      <c r="O62" s="574"/>
      <c r="P62" s="575"/>
      <c r="Q62" s="591" t="str">
        <f t="shared" si="2"/>
        <v>もみじ飴</v>
      </c>
    </row>
    <row r="63" spans="1:20" ht="15" customHeight="1">
      <c r="A63" s="443" t="s">
        <v>15</v>
      </c>
      <c r="B63" s="93" t="s">
        <v>16</v>
      </c>
      <c r="D63" s="93" t="s">
        <v>24</v>
      </c>
      <c r="E63" s="93" t="s">
        <v>24</v>
      </c>
      <c r="F63" s="588" t="str">
        <f t="shared" si="0"/>
        <v>060 桜鬼</v>
      </c>
      <c r="G63" s="576" t="s">
        <v>149</v>
      </c>
      <c r="H63" s="589" t="str">
        <f t="shared" si="1"/>
        <v>H:\Taniku\+おらいさん\060 桜鬼</v>
      </c>
      <c r="I63" s="576"/>
      <c r="J63" s="590" t="s">
        <v>19</v>
      </c>
      <c r="K63" s="572" t="s">
        <v>23</v>
      </c>
      <c r="L63" s="572" t="s">
        <v>48</v>
      </c>
      <c r="M63" s="576"/>
      <c r="N63" s="573"/>
      <c r="O63" s="574"/>
      <c r="P63" s="575"/>
      <c r="Q63" s="591" t="str">
        <f t="shared" si="2"/>
        <v>桜鬼</v>
      </c>
    </row>
    <row r="64" spans="1:20" ht="15" customHeight="1">
      <c r="A64" s="443" t="s">
        <v>15</v>
      </c>
      <c r="B64" s="93" t="s">
        <v>16</v>
      </c>
      <c r="D64" s="93" t="s">
        <v>24</v>
      </c>
      <c r="E64" s="93" t="s">
        <v>24</v>
      </c>
      <c r="F64" s="588" t="str">
        <f t="shared" si="0"/>
        <v>061 スノーミルフィーユ</v>
      </c>
      <c r="G64" s="576" t="s">
        <v>150</v>
      </c>
      <c r="H64" s="589" t="str">
        <f t="shared" si="1"/>
        <v>H:\Taniku\+おらいさん\061 スノーミルフィーユ</v>
      </c>
      <c r="I64" s="576"/>
      <c r="J64" s="590" t="s">
        <v>19</v>
      </c>
      <c r="K64" s="572" t="s">
        <v>23</v>
      </c>
      <c r="L64" s="572" t="s">
        <v>48</v>
      </c>
      <c r="M64" s="576"/>
      <c r="N64" s="573"/>
      <c r="O64" s="574"/>
      <c r="P64" s="575"/>
      <c r="Q64" s="591" t="str">
        <f t="shared" si="2"/>
        <v>スノーミルフィーユ</v>
      </c>
    </row>
    <row r="65" spans="1:17" ht="15" customHeight="1">
      <c r="A65" s="443" t="s">
        <v>15</v>
      </c>
      <c r="B65" s="93" t="s">
        <v>16</v>
      </c>
      <c r="D65" s="93" t="s">
        <v>24</v>
      </c>
      <c r="E65" s="93" t="s">
        <v>24</v>
      </c>
      <c r="F65" s="588" t="str">
        <f t="shared" si="0"/>
        <v>062 珊瑚の花</v>
      </c>
      <c r="G65" s="576" t="s">
        <v>151</v>
      </c>
      <c r="H65" s="589" t="str">
        <f t="shared" si="1"/>
        <v>H:\Taniku\+おらいさん\062 珊瑚の花</v>
      </c>
      <c r="I65" s="576"/>
      <c r="J65" s="590" t="s">
        <v>19</v>
      </c>
      <c r="K65" s="572" t="s">
        <v>23</v>
      </c>
      <c r="L65" s="572" t="s">
        <v>48</v>
      </c>
      <c r="M65" s="576"/>
      <c r="N65" s="573"/>
      <c r="O65" s="574"/>
      <c r="P65" s="575"/>
      <c r="Q65" s="591" t="str">
        <f t="shared" si="2"/>
        <v>珊瑚の花</v>
      </c>
    </row>
    <row r="66" spans="1:17" ht="15" customHeight="1">
      <c r="A66" s="443" t="s">
        <v>15</v>
      </c>
      <c r="B66" s="93" t="s">
        <v>16</v>
      </c>
      <c r="D66" s="93" t="s">
        <v>24</v>
      </c>
      <c r="E66" s="93" t="s">
        <v>24</v>
      </c>
      <c r="F66" s="588" t="str">
        <f t="shared" si="0"/>
        <v>063 プラチナローズ</v>
      </c>
      <c r="G66" s="576" t="s">
        <v>152</v>
      </c>
      <c r="H66" s="589" t="str">
        <f t="shared" si="1"/>
        <v>H:\Taniku\+おらいさん\063 プラチナローズ</v>
      </c>
      <c r="I66" s="576"/>
      <c r="J66" s="590" t="s">
        <v>19</v>
      </c>
      <c r="K66" s="572" t="s">
        <v>23</v>
      </c>
      <c r="L66" s="572" t="s">
        <v>84</v>
      </c>
      <c r="M66" s="576"/>
      <c r="N66" s="573"/>
      <c r="O66" s="574"/>
      <c r="P66" s="575"/>
      <c r="Q66" s="591" t="str">
        <f t="shared" si="2"/>
        <v>プラチナローズ</v>
      </c>
    </row>
    <row r="67" spans="1:17" ht="15" customHeight="1">
      <c r="A67" s="443" t="s">
        <v>15</v>
      </c>
      <c r="B67" s="93" t="s">
        <v>16</v>
      </c>
      <c r="D67" s="93" t="s">
        <v>24</v>
      </c>
      <c r="E67" s="93" t="s">
        <v>24</v>
      </c>
      <c r="F67" s="595" t="str">
        <f t="shared" si="0"/>
        <v>064 白玉美尼</v>
      </c>
      <c r="G67" s="596" t="s">
        <v>153</v>
      </c>
      <c r="H67" s="589" t="str">
        <f t="shared" si="1"/>
        <v>H:\Taniku\+おらいさん\064 白玉美尼</v>
      </c>
      <c r="I67" s="576"/>
      <c r="J67" s="590" t="s">
        <v>19</v>
      </c>
      <c r="K67" s="572" t="s">
        <v>23</v>
      </c>
      <c r="L67" s="572" t="s">
        <v>84</v>
      </c>
      <c r="M67" s="576"/>
      <c r="N67" s="573"/>
      <c r="O67" s="574"/>
      <c r="P67" s="575"/>
      <c r="Q67" s="591" t="str">
        <f t="shared" si="2"/>
        <v>白玉美尼</v>
      </c>
    </row>
    <row r="68" spans="1:17" ht="15" customHeight="1">
      <c r="A68" s="443" t="s">
        <v>15</v>
      </c>
      <c r="B68" s="93" t="s">
        <v>16</v>
      </c>
      <c r="D68" s="93" t="s">
        <v>17</v>
      </c>
      <c r="E68" s="93" t="s">
        <v>17</v>
      </c>
      <c r="F68" s="595" t="str">
        <f t="shared" ref="F68:F79" si="5">HYPERLINK(H68,G68)</f>
        <v>065 祭囃子</v>
      </c>
      <c r="G68" s="596" t="s">
        <v>154</v>
      </c>
      <c r="H68" s="589" t="str">
        <f t="shared" ref="H68:H79" si="6">CONCATENATE("H:\Taniku\+おらいさん\",G68)</f>
        <v>H:\Taniku\+おらいさん\065 祭囃子</v>
      </c>
      <c r="I68" s="576"/>
      <c r="J68" s="590" t="s">
        <v>19</v>
      </c>
      <c r="K68" s="572"/>
      <c r="L68" s="572"/>
      <c r="M68" s="576"/>
      <c r="N68" s="573"/>
      <c r="O68" s="574"/>
      <c r="P68" s="575"/>
      <c r="Q68" s="591" t="str">
        <f t="shared" ref="Q68:Q76" si="7">MID(G68,5,LEN(G68)-4)</f>
        <v>祭囃子</v>
      </c>
    </row>
    <row r="69" spans="1:17" ht="15" customHeight="1">
      <c r="A69" s="443" t="s">
        <v>15</v>
      </c>
      <c r="B69" s="93" t="s">
        <v>16</v>
      </c>
      <c r="D69" s="93" t="s">
        <v>17</v>
      </c>
      <c r="E69" s="93" t="s">
        <v>17</v>
      </c>
      <c r="F69" s="595" t="str">
        <f t="shared" si="5"/>
        <v>066 マスカットキャンディ</v>
      </c>
      <c r="G69" s="596" t="s">
        <v>155</v>
      </c>
      <c r="H69" s="589" t="str">
        <f t="shared" si="6"/>
        <v>H:\Taniku\+おらいさん\066 マスカットキャンディ</v>
      </c>
      <c r="I69" s="576"/>
      <c r="J69" s="590" t="s">
        <v>19</v>
      </c>
      <c r="K69" s="572"/>
      <c r="L69" s="572"/>
      <c r="M69" s="576"/>
      <c r="N69" s="573"/>
      <c r="O69" s="574"/>
      <c r="P69" s="575"/>
      <c r="Q69" s="591" t="str">
        <f t="shared" si="7"/>
        <v>マスカットキャンディ</v>
      </c>
    </row>
    <row r="70" spans="1:17" ht="15" customHeight="1">
      <c r="A70" s="443" t="s">
        <v>15</v>
      </c>
      <c r="B70" s="93" t="s">
        <v>16</v>
      </c>
      <c r="D70" s="93" t="s">
        <v>24</v>
      </c>
      <c r="E70" s="93" t="s">
        <v>24</v>
      </c>
      <c r="F70" s="594" t="str">
        <f t="shared" si="5"/>
        <v>067 華切子</v>
      </c>
      <c r="G70" s="576" t="s">
        <v>156</v>
      </c>
      <c r="H70" s="589" t="str">
        <f t="shared" si="6"/>
        <v>H:\Taniku\+おらいさん\067 華切子</v>
      </c>
      <c r="I70" s="576"/>
      <c r="J70" s="590" t="s">
        <v>19</v>
      </c>
      <c r="K70" s="572" t="s">
        <v>23</v>
      </c>
      <c r="L70" s="572" t="s">
        <v>96</v>
      </c>
      <c r="M70" s="576"/>
      <c r="N70" s="573"/>
      <c r="O70" s="574"/>
      <c r="P70" s="575"/>
      <c r="Q70" s="591" t="str">
        <f t="shared" si="7"/>
        <v>華切子</v>
      </c>
    </row>
    <row r="71" spans="1:17" ht="15" customHeight="1">
      <c r="A71" s="443" t="s">
        <v>15</v>
      </c>
      <c r="B71" s="93" t="s">
        <v>16</v>
      </c>
      <c r="D71" s="93" t="s">
        <v>24</v>
      </c>
      <c r="E71" s="93" t="s">
        <v>24</v>
      </c>
      <c r="F71" s="594" t="str">
        <f t="shared" si="5"/>
        <v>068 ヴィンテージレター</v>
      </c>
      <c r="G71" s="576" t="s">
        <v>157</v>
      </c>
      <c r="H71" s="589" t="str">
        <f t="shared" si="6"/>
        <v>H:\Taniku\+おらいさん\068 ヴィンテージレター</v>
      </c>
      <c r="I71" s="576"/>
      <c r="J71" s="590" t="s">
        <v>19</v>
      </c>
      <c r="K71" s="572" t="s">
        <v>23</v>
      </c>
      <c r="L71" s="572" t="s">
        <v>48</v>
      </c>
      <c r="M71" s="576"/>
      <c r="N71" s="573"/>
      <c r="O71" s="574"/>
      <c r="P71" s="575"/>
      <c r="Q71" s="591" t="str">
        <f t="shared" si="7"/>
        <v>ヴィンテージレター</v>
      </c>
    </row>
    <row r="72" spans="1:17" ht="15" customHeight="1">
      <c r="A72" s="443" t="s">
        <v>15</v>
      </c>
      <c r="B72" s="93" t="s">
        <v>16</v>
      </c>
      <c r="D72" s="93" t="s">
        <v>24</v>
      </c>
      <c r="E72" s="93" t="s">
        <v>24</v>
      </c>
      <c r="F72" s="594" t="str">
        <f t="shared" si="5"/>
        <v>069 美紫妃</v>
      </c>
      <c r="G72" s="576" t="s">
        <v>158</v>
      </c>
      <c r="H72" s="589" t="str">
        <f t="shared" si="6"/>
        <v>H:\Taniku\+おらいさん\069 美紫妃</v>
      </c>
      <c r="I72" s="576"/>
      <c r="J72" s="590" t="s">
        <v>19</v>
      </c>
      <c r="K72" s="572" t="s">
        <v>23</v>
      </c>
      <c r="L72" s="572" t="s">
        <v>84</v>
      </c>
      <c r="M72" s="576"/>
      <c r="N72" s="573"/>
      <c r="O72" s="574"/>
      <c r="P72" s="575"/>
      <c r="Q72" s="591" t="str">
        <f t="shared" si="7"/>
        <v>美紫妃</v>
      </c>
    </row>
    <row r="73" spans="1:17" ht="15" customHeight="1">
      <c r="A73" s="443" t="s">
        <v>15</v>
      </c>
      <c r="B73" s="93" t="s">
        <v>16</v>
      </c>
      <c r="D73" s="93" t="s">
        <v>17</v>
      </c>
      <c r="E73" s="93" t="s">
        <v>17</v>
      </c>
      <c r="F73" s="594" t="str">
        <f t="shared" si="5"/>
        <v>071 苔生す</v>
      </c>
      <c r="G73" s="576" t="s">
        <v>3384</v>
      </c>
      <c r="H73" s="589" t="str">
        <f t="shared" si="6"/>
        <v>H:\Taniku\+おらいさん\071 苔生す</v>
      </c>
      <c r="I73" s="576"/>
      <c r="J73" s="590" t="s">
        <v>19</v>
      </c>
      <c r="K73" s="572"/>
      <c r="L73" s="572"/>
      <c r="M73" s="576"/>
      <c r="N73" s="573"/>
      <c r="O73" s="574"/>
      <c r="P73" s="575"/>
      <c r="Q73" s="591" t="str">
        <f t="shared" si="7"/>
        <v>苔生す</v>
      </c>
    </row>
    <row r="74" spans="1:17" ht="15" customHeight="1">
      <c r="A74" s="443" t="s">
        <v>15</v>
      </c>
      <c r="B74" s="93" t="s">
        <v>16</v>
      </c>
      <c r="D74" s="93" t="s">
        <v>17</v>
      </c>
      <c r="E74" s="93" t="s">
        <v>17</v>
      </c>
      <c r="F74" s="594" t="str">
        <f t="shared" si="5"/>
        <v>072 蛙の音</v>
      </c>
      <c r="G74" s="576" t="s">
        <v>159</v>
      </c>
      <c r="H74" s="589" t="str">
        <f t="shared" si="6"/>
        <v>H:\Taniku\+おらいさん\072 蛙の音</v>
      </c>
      <c r="I74" s="576"/>
      <c r="J74" s="590" t="s">
        <v>19</v>
      </c>
      <c r="K74" s="572"/>
      <c r="L74" s="572"/>
      <c r="M74" s="576"/>
      <c r="N74" s="573"/>
      <c r="O74" s="574"/>
      <c r="P74" s="575"/>
      <c r="Q74" s="591" t="str">
        <f t="shared" si="7"/>
        <v>蛙の音</v>
      </c>
    </row>
    <row r="75" spans="1:17" ht="15" customHeight="1">
      <c r="A75" s="443" t="s">
        <v>15</v>
      </c>
      <c r="B75" s="93" t="s">
        <v>16</v>
      </c>
      <c r="D75" s="93" t="s">
        <v>24</v>
      </c>
      <c r="E75" s="93" t="s">
        <v>24</v>
      </c>
      <c r="F75" s="594" t="str">
        <f t="shared" si="5"/>
        <v>073 ホットワイン</v>
      </c>
      <c r="G75" s="576" t="s">
        <v>3432</v>
      </c>
      <c r="H75" s="589" t="str">
        <f t="shared" si="6"/>
        <v>H:\Taniku\+おらいさん\073 ホットワイン</v>
      </c>
      <c r="I75" s="576"/>
      <c r="J75" s="590" t="s">
        <v>19</v>
      </c>
      <c r="K75" s="572" t="s">
        <v>23</v>
      </c>
      <c r="L75" s="572" t="s">
        <v>84</v>
      </c>
      <c r="M75" s="576"/>
      <c r="N75" s="573"/>
      <c r="O75" s="574"/>
      <c r="P75" s="575"/>
      <c r="Q75" s="591" t="str">
        <f t="shared" si="7"/>
        <v>ホットワイン</v>
      </c>
    </row>
    <row r="76" spans="1:17" ht="15" customHeight="1">
      <c r="A76" s="443" t="s">
        <v>15</v>
      </c>
      <c r="B76" s="93" t="s">
        <v>16</v>
      </c>
      <c r="D76" s="93" t="s">
        <v>17</v>
      </c>
      <c r="E76" s="93" t="s">
        <v>17</v>
      </c>
      <c r="F76" s="594" t="str">
        <f t="shared" si="5"/>
        <v>074 白染華</v>
      </c>
      <c r="G76" s="576" t="s">
        <v>160</v>
      </c>
      <c r="H76" s="589" t="str">
        <f t="shared" si="6"/>
        <v>H:\Taniku\+おらいさん\074 白染華</v>
      </c>
      <c r="I76" s="576"/>
      <c r="J76" s="590" t="s">
        <v>19</v>
      </c>
      <c r="K76" s="572"/>
      <c r="L76" s="572"/>
      <c r="M76" s="576"/>
      <c r="N76" s="573"/>
      <c r="O76" s="574"/>
      <c r="P76" s="575"/>
      <c r="Q76" s="591" t="str">
        <f t="shared" si="7"/>
        <v>白染華</v>
      </c>
    </row>
    <row r="77" spans="1:17" ht="15" customHeight="1">
      <c r="A77" s="93" t="s">
        <v>24</v>
      </c>
      <c r="B77" s="93" t="s">
        <v>21</v>
      </c>
      <c r="D77" s="93" t="s">
        <v>17</v>
      </c>
      <c r="E77" s="93" t="s">
        <v>24</v>
      </c>
      <c r="F77" s="594" t="str">
        <f t="shared" si="5"/>
        <v>フランシノxざわわ</v>
      </c>
      <c r="G77" s="576" t="s">
        <v>161</v>
      </c>
      <c r="H77" s="589" t="str">
        <f t="shared" si="6"/>
        <v>H:\Taniku\+おらいさん\フランシノxざわわ</v>
      </c>
      <c r="I77" s="576"/>
      <c r="J77" s="590" t="s">
        <v>19</v>
      </c>
      <c r="K77" s="572" t="s">
        <v>27</v>
      </c>
      <c r="L77" s="572" t="s">
        <v>122</v>
      </c>
      <c r="M77" s="576"/>
      <c r="N77" s="573" t="s">
        <v>162</v>
      </c>
      <c r="O77" s="572" t="s">
        <v>163</v>
      </c>
      <c r="P77" s="575" t="s">
        <v>164</v>
      </c>
      <c r="Q77" s="597"/>
    </row>
    <row r="78" spans="1:17" ht="15" customHeight="1">
      <c r="A78" s="93" t="s">
        <v>24</v>
      </c>
      <c r="B78" s="93" t="s">
        <v>21</v>
      </c>
      <c r="D78" s="93" t="s">
        <v>17</v>
      </c>
      <c r="E78" s="93" t="s">
        <v>24</v>
      </c>
      <c r="F78" s="594" t="str">
        <f t="shared" si="5"/>
        <v>ラウリンゼxラウ30</v>
      </c>
      <c r="G78" s="576" t="s">
        <v>165</v>
      </c>
      <c r="H78" s="589" t="str">
        <f t="shared" si="6"/>
        <v>H:\Taniku\+おらいさん\ラウリンゼxラウ30</v>
      </c>
      <c r="I78" s="576"/>
      <c r="J78" s="590" t="s">
        <v>19</v>
      </c>
      <c r="K78" s="572" t="s">
        <v>27</v>
      </c>
      <c r="L78" s="572" t="s">
        <v>122</v>
      </c>
      <c r="M78" s="576"/>
      <c r="N78" s="573" t="s">
        <v>166</v>
      </c>
      <c r="O78" s="572" t="s">
        <v>163</v>
      </c>
      <c r="P78" s="575" t="s">
        <v>167</v>
      </c>
      <c r="Q78" s="597"/>
    </row>
    <row r="79" spans="1:17" ht="15" customHeight="1" thickBot="1">
      <c r="A79" s="93" t="s">
        <v>24</v>
      </c>
      <c r="B79" s="93" t="s">
        <v>21</v>
      </c>
      <c r="D79" s="93" t="s">
        <v>17</v>
      </c>
      <c r="E79" s="93" t="s">
        <v>24</v>
      </c>
      <c r="F79" s="598" t="str">
        <f t="shared" si="5"/>
        <v>リンゼアナxざわわ</v>
      </c>
      <c r="G79" s="599" t="s">
        <v>168</v>
      </c>
      <c r="H79" s="600" t="str">
        <f t="shared" si="6"/>
        <v>H:\Taniku\+おらいさん\リンゼアナxざわわ</v>
      </c>
      <c r="I79" s="601"/>
      <c r="J79" s="602" t="s">
        <v>19</v>
      </c>
      <c r="K79" s="603" t="s">
        <v>23</v>
      </c>
      <c r="L79" s="604" t="s">
        <v>26</v>
      </c>
      <c r="M79" s="599"/>
      <c r="N79" s="605" t="s">
        <v>169</v>
      </c>
      <c r="O79" s="603" t="s">
        <v>163</v>
      </c>
      <c r="P79" s="606" t="s">
        <v>164</v>
      </c>
      <c r="Q79" s="607"/>
    </row>
    <row r="80" spans="1:17" ht="15" customHeight="1" thickTop="1">
      <c r="B80" s="262" t="s">
        <v>12</v>
      </c>
      <c r="C80" s="262" t="s">
        <v>12</v>
      </c>
      <c r="D80" s="262" t="s">
        <v>12</v>
      </c>
      <c r="E80" s="262" t="s">
        <v>12</v>
      </c>
    </row>
    <row r="81" spans="1:18" ht="15" customHeight="1" thickBot="1">
      <c r="B81" s="262" t="s">
        <v>12</v>
      </c>
      <c r="C81" s="262" t="s">
        <v>12</v>
      </c>
      <c r="D81" s="262" t="s">
        <v>12</v>
      </c>
      <c r="E81" s="262" t="s">
        <v>12</v>
      </c>
      <c r="F81" s="608" t="s">
        <v>170</v>
      </c>
      <c r="G81" s="609"/>
      <c r="H81" s="610"/>
      <c r="I81" s="609"/>
      <c r="J81" s="610"/>
      <c r="K81" s="610"/>
      <c r="L81" s="610"/>
      <c r="M81" s="609"/>
      <c r="N81" s="611"/>
      <c r="O81" s="612"/>
      <c r="P81" s="613"/>
      <c r="Q81" s="614"/>
      <c r="R81" s="445"/>
    </row>
    <row r="82" spans="1:18" ht="15" customHeight="1" thickTop="1">
      <c r="A82" s="443" t="s">
        <v>15</v>
      </c>
      <c r="B82" s="93" t="s">
        <v>21</v>
      </c>
      <c r="D82" s="93" t="s">
        <v>24</v>
      </c>
      <c r="E82" s="93" t="s">
        <v>24</v>
      </c>
      <c r="F82" s="615" t="str">
        <f t="shared" ref="F82:F95" si="8">HYPERLINK(H82,G82)</f>
        <v>アガボイデスサンタバーバラxエボニー</v>
      </c>
      <c r="G82" s="616" t="s">
        <v>171</v>
      </c>
      <c r="H82" s="617" t="str">
        <f t="shared" ref="H82:H95" si="9">CONCATENATE("H:\Taniku\+Miyaさん\",G82)</f>
        <v>H:\Taniku\+Miyaさん\アガボイデスサンタバーバラxエボニー</v>
      </c>
      <c r="I82" s="614"/>
      <c r="J82" s="618" t="s">
        <v>172</v>
      </c>
      <c r="K82" s="619" t="s">
        <v>23</v>
      </c>
      <c r="L82" s="619" t="s">
        <v>48</v>
      </c>
      <c r="M82" s="616"/>
      <c r="N82" s="620" t="s">
        <v>173</v>
      </c>
      <c r="O82" s="621" t="s">
        <v>163</v>
      </c>
      <c r="P82" s="622" t="s">
        <v>174</v>
      </c>
      <c r="Q82" s="623"/>
    </row>
    <row r="83" spans="1:18" ht="15" customHeight="1">
      <c r="A83" s="443" t="s">
        <v>15</v>
      </c>
      <c r="B83" s="93" t="s">
        <v>21</v>
      </c>
      <c r="D83" s="93" t="s">
        <v>24</v>
      </c>
      <c r="E83" s="93" t="s">
        <v>24</v>
      </c>
      <c r="F83" s="624" t="str">
        <f t="shared" si="8"/>
        <v>コロラータ アテマハックxトバレンシス トバー</v>
      </c>
      <c r="G83" s="614" t="s">
        <v>175</v>
      </c>
      <c r="H83" s="625" t="str">
        <f t="shared" si="9"/>
        <v>H:\Taniku\+Miyaさん\コロラータ アテマハックxトバレンシス トバー</v>
      </c>
      <c r="I83" s="614"/>
      <c r="J83" s="626" t="s">
        <v>172</v>
      </c>
      <c r="K83" s="610" t="s">
        <v>23</v>
      </c>
      <c r="L83" s="610" t="s">
        <v>69</v>
      </c>
      <c r="M83" s="614"/>
      <c r="N83" s="611" t="s">
        <v>176</v>
      </c>
      <c r="O83" s="610" t="s">
        <v>163</v>
      </c>
      <c r="P83" s="613" t="s">
        <v>177</v>
      </c>
      <c r="Q83" s="627"/>
    </row>
    <row r="84" spans="1:18" ht="15" customHeight="1">
      <c r="A84" s="443" t="s">
        <v>15</v>
      </c>
      <c r="B84" s="93" t="s">
        <v>21</v>
      </c>
      <c r="D84" s="93" t="s">
        <v>24</v>
      </c>
      <c r="E84" s="93" t="s">
        <v>24</v>
      </c>
      <c r="F84" s="624" t="str">
        <f t="shared" si="8"/>
        <v>コロラータ タパルパxトバレンシス トバー</v>
      </c>
      <c r="G84" s="614" t="s">
        <v>178</v>
      </c>
      <c r="H84" s="625" t="str">
        <f t="shared" si="9"/>
        <v>H:\Taniku\+Miyaさん\コロラータ タパルパxトバレンシス トバー</v>
      </c>
      <c r="I84" s="614"/>
      <c r="J84" s="626" t="s">
        <v>172</v>
      </c>
      <c r="K84" s="610" t="s">
        <v>23</v>
      </c>
      <c r="L84" s="610" t="s">
        <v>69</v>
      </c>
      <c r="M84" s="614"/>
      <c r="N84" s="611" t="s">
        <v>179</v>
      </c>
      <c r="O84" s="610" t="s">
        <v>163</v>
      </c>
      <c r="P84" s="613" t="s">
        <v>177</v>
      </c>
      <c r="Q84" s="627"/>
    </row>
    <row r="85" spans="1:18" ht="15" customHeight="1">
      <c r="A85" s="80" t="s">
        <v>180</v>
      </c>
      <c r="B85" s="93" t="s">
        <v>21</v>
      </c>
      <c r="D85" s="93" t="s">
        <v>17</v>
      </c>
      <c r="E85" s="93" t="s">
        <v>24</v>
      </c>
      <c r="F85" s="628" t="str">
        <f t="shared" si="8"/>
        <v>白蓮華xブラッククイーン</v>
      </c>
      <c r="G85" s="614" t="s">
        <v>181</v>
      </c>
      <c r="H85" s="625" t="str">
        <f t="shared" si="9"/>
        <v>H:\Taniku\+Miyaさん\白蓮華xブラッククイーン</v>
      </c>
      <c r="I85" s="614"/>
      <c r="J85" s="626" t="s">
        <v>172</v>
      </c>
      <c r="K85" s="610" t="s">
        <v>23</v>
      </c>
      <c r="L85" s="610" t="s">
        <v>81</v>
      </c>
      <c r="M85" s="614"/>
      <c r="N85" s="611" t="s">
        <v>182</v>
      </c>
      <c r="O85" s="610" t="s">
        <v>163</v>
      </c>
      <c r="P85" s="613" t="s">
        <v>183</v>
      </c>
      <c r="Q85" s="627"/>
    </row>
    <row r="86" spans="1:18" ht="15" customHeight="1">
      <c r="A86" s="443" t="s">
        <v>15</v>
      </c>
      <c r="B86" s="93" t="s">
        <v>21</v>
      </c>
      <c r="D86" s="93" t="s">
        <v>24</v>
      </c>
      <c r="E86" s="93" t="s">
        <v>24</v>
      </c>
      <c r="F86" s="624" t="str">
        <f t="shared" si="8"/>
        <v>下山コロラータxいろは</v>
      </c>
      <c r="G86" s="614" t="s">
        <v>184</v>
      </c>
      <c r="H86" s="625" t="str">
        <f t="shared" si="9"/>
        <v>H:\Taniku\+Miyaさん\下山コロラータxいろは</v>
      </c>
      <c r="I86" s="614"/>
      <c r="J86" s="626" t="s">
        <v>172</v>
      </c>
      <c r="K86" s="610" t="s">
        <v>23</v>
      </c>
      <c r="L86" s="610" t="s">
        <v>69</v>
      </c>
      <c r="M86" s="614"/>
      <c r="N86" s="611" t="s">
        <v>185</v>
      </c>
      <c r="O86" s="610" t="s">
        <v>163</v>
      </c>
      <c r="P86" s="613" t="s">
        <v>186</v>
      </c>
      <c r="Q86" s="627"/>
    </row>
    <row r="87" spans="1:18" ht="15" customHeight="1">
      <c r="A87" s="443" t="s">
        <v>15</v>
      </c>
      <c r="B87" s="93" t="s">
        <v>21</v>
      </c>
      <c r="D87" s="93" t="s">
        <v>24</v>
      </c>
      <c r="E87" s="93" t="s">
        <v>24</v>
      </c>
      <c r="F87" s="624" t="str">
        <f t="shared" si="8"/>
        <v>チェリークイーンxブラックライン</v>
      </c>
      <c r="G87" s="629" t="s">
        <v>187</v>
      </c>
      <c r="H87" s="625" t="str">
        <f t="shared" si="9"/>
        <v>H:\Taniku\+Miyaさん\チェリークイーンxブラックライン</v>
      </c>
      <c r="I87" s="630"/>
      <c r="J87" s="631" t="s">
        <v>172</v>
      </c>
      <c r="K87" s="612" t="s">
        <v>23</v>
      </c>
      <c r="L87" s="612" t="s">
        <v>48</v>
      </c>
      <c r="M87" s="629"/>
      <c r="N87" s="632" t="s">
        <v>188</v>
      </c>
      <c r="O87" s="612" t="s">
        <v>163</v>
      </c>
      <c r="P87" s="633" t="s">
        <v>189</v>
      </c>
      <c r="Q87" s="634"/>
    </row>
    <row r="88" spans="1:18" ht="15" customHeight="1">
      <c r="A88" s="93" t="s">
        <v>24</v>
      </c>
      <c r="B88" s="93" t="s">
        <v>21</v>
      </c>
      <c r="D88" s="93" t="s">
        <v>17</v>
      </c>
      <c r="E88" s="93" t="s">
        <v>24</v>
      </c>
      <c r="F88" s="624" t="str">
        <f t="shared" si="8"/>
        <v>つむぎxエイプス</v>
      </c>
      <c r="G88" s="629" t="s">
        <v>190</v>
      </c>
      <c r="H88" s="625" t="str">
        <f t="shared" si="9"/>
        <v>H:\Taniku\+Miyaさん\つむぎxエイプス</v>
      </c>
      <c r="I88" s="630"/>
      <c r="J88" s="631" t="s">
        <v>172</v>
      </c>
      <c r="K88" s="612" t="s">
        <v>23</v>
      </c>
      <c r="L88" s="610" t="s">
        <v>81</v>
      </c>
      <c r="M88" s="629"/>
      <c r="N88" s="632" t="s">
        <v>191</v>
      </c>
      <c r="O88" s="612" t="s">
        <v>163</v>
      </c>
      <c r="P88" s="633" t="s">
        <v>192</v>
      </c>
      <c r="Q88" s="634"/>
    </row>
    <row r="89" spans="1:18" ht="15" customHeight="1">
      <c r="A89" s="443" t="s">
        <v>15</v>
      </c>
      <c r="B89" s="93" t="s">
        <v>21</v>
      </c>
      <c r="D89" s="93" t="s">
        <v>24</v>
      </c>
      <c r="E89" s="93" t="s">
        <v>24</v>
      </c>
      <c r="F89" s="624" t="str">
        <f t="shared" si="8"/>
        <v>なぎxリラシナ</v>
      </c>
      <c r="G89" s="614" t="s">
        <v>193</v>
      </c>
      <c r="H89" s="625" t="str">
        <f t="shared" si="9"/>
        <v>H:\Taniku\+Miyaさん\なぎxリラシナ</v>
      </c>
      <c r="I89" s="614"/>
      <c r="J89" s="626" t="s">
        <v>172</v>
      </c>
      <c r="K89" s="610" t="s">
        <v>23</v>
      </c>
      <c r="L89" s="610" t="s">
        <v>69</v>
      </c>
      <c r="M89" s="614"/>
      <c r="N89" s="611" t="s">
        <v>194</v>
      </c>
      <c r="O89" s="610" t="s">
        <v>195</v>
      </c>
      <c r="P89" s="613" t="s">
        <v>196</v>
      </c>
      <c r="Q89" s="627"/>
    </row>
    <row r="90" spans="1:18" ht="15" customHeight="1">
      <c r="A90" s="443" t="s">
        <v>15</v>
      </c>
      <c r="B90" s="93" t="s">
        <v>21</v>
      </c>
      <c r="D90" s="93" t="s">
        <v>24</v>
      </c>
      <c r="E90" s="93" t="s">
        <v>24</v>
      </c>
      <c r="F90" s="624" t="str">
        <f t="shared" si="8"/>
        <v>なぎxホワイトリンゼアナ</v>
      </c>
      <c r="G90" s="614" t="s">
        <v>197</v>
      </c>
      <c r="H90" s="625" t="str">
        <f t="shared" si="9"/>
        <v>H:\Taniku\+Miyaさん\なぎxホワイトリンゼアナ</v>
      </c>
      <c r="I90" s="614"/>
      <c r="J90" s="626" t="s">
        <v>172</v>
      </c>
      <c r="K90" s="610" t="s">
        <v>23</v>
      </c>
      <c r="L90" s="610" t="s">
        <v>69</v>
      </c>
      <c r="M90" s="614"/>
      <c r="N90" s="611" t="s">
        <v>194</v>
      </c>
      <c r="O90" s="610" t="s">
        <v>195</v>
      </c>
      <c r="P90" s="613" t="s">
        <v>198</v>
      </c>
      <c r="Q90" s="627"/>
    </row>
    <row r="91" spans="1:18" ht="15" customHeight="1">
      <c r="A91" s="443" t="s">
        <v>15</v>
      </c>
      <c r="B91" s="93" t="s">
        <v>21</v>
      </c>
      <c r="D91" s="93" t="s">
        <v>24</v>
      </c>
      <c r="E91" s="93" t="s">
        <v>24</v>
      </c>
      <c r="F91" s="624" t="str">
        <f t="shared" si="8"/>
        <v>ヒアリナ サンルイスデラパスxコロラータ アテマハック</v>
      </c>
      <c r="G91" s="614" t="s">
        <v>199</v>
      </c>
      <c r="H91" s="625" t="str">
        <f t="shared" si="9"/>
        <v>H:\Taniku\+Miyaさん\ヒアリナ サンルイスデラパスxコロラータ アテマハック</v>
      </c>
      <c r="I91" s="614"/>
      <c r="J91" s="626" t="s">
        <v>172</v>
      </c>
      <c r="K91" s="610" t="s">
        <v>23</v>
      </c>
      <c r="L91" s="610" t="s">
        <v>69</v>
      </c>
      <c r="M91" s="614"/>
      <c r="N91" s="611" t="s">
        <v>200</v>
      </c>
      <c r="O91" s="612" t="s">
        <v>163</v>
      </c>
      <c r="P91" s="613" t="s">
        <v>176</v>
      </c>
      <c r="Q91" s="627"/>
    </row>
    <row r="92" spans="1:18" ht="15" customHeight="1">
      <c r="A92" s="443" t="s">
        <v>15</v>
      </c>
      <c r="B92" s="93" t="s">
        <v>21</v>
      </c>
      <c r="D92" s="93" t="s">
        <v>24</v>
      </c>
      <c r="E92" s="93" t="s">
        <v>24</v>
      </c>
      <c r="F92" s="624" t="str">
        <f t="shared" si="8"/>
        <v>ヒアリナ サントドミンゴxひびき</v>
      </c>
      <c r="G92" s="614" t="s">
        <v>201</v>
      </c>
      <c r="H92" s="625" t="str">
        <f t="shared" si="9"/>
        <v>H:\Taniku\+Miyaさん\ヒアリナ サントドミンゴxひびき</v>
      </c>
      <c r="I92" s="614"/>
      <c r="J92" s="626" t="s">
        <v>172</v>
      </c>
      <c r="K92" s="610" t="s">
        <v>23</v>
      </c>
      <c r="L92" s="610" t="s">
        <v>69</v>
      </c>
      <c r="M92" s="614"/>
      <c r="N92" s="611" t="s">
        <v>202</v>
      </c>
      <c r="O92" s="612" t="s">
        <v>163</v>
      </c>
      <c r="P92" s="613" t="s">
        <v>203</v>
      </c>
      <c r="Q92" s="627"/>
    </row>
    <row r="93" spans="1:18" ht="15" customHeight="1">
      <c r="A93" s="443" t="s">
        <v>15</v>
      </c>
      <c r="B93" s="93" t="s">
        <v>21</v>
      </c>
      <c r="D93" s="93" t="s">
        <v>24</v>
      </c>
      <c r="E93" s="93" t="s">
        <v>24</v>
      </c>
      <c r="F93" s="624" t="str">
        <f t="shared" si="8"/>
        <v>ひなの</v>
      </c>
      <c r="G93" s="614" t="s">
        <v>204</v>
      </c>
      <c r="H93" s="625" t="str">
        <f t="shared" si="9"/>
        <v>H:\Taniku\+Miyaさん\ひなの</v>
      </c>
      <c r="I93" s="614"/>
      <c r="J93" s="626" t="s">
        <v>172</v>
      </c>
      <c r="K93" s="610" t="s">
        <v>23</v>
      </c>
      <c r="L93" s="610" t="s">
        <v>69</v>
      </c>
      <c r="M93" s="614"/>
      <c r="N93" s="611" t="s">
        <v>205</v>
      </c>
      <c r="O93" s="610" t="s">
        <v>195</v>
      </c>
      <c r="P93" s="613" t="s">
        <v>206</v>
      </c>
      <c r="Q93" s="627"/>
    </row>
    <row r="94" spans="1:18" ht="15" customHeight="1">
      <c r="A94" s="443" t="s">
        <v>15</v>
      </c>
      <c r="B94" s="93" t="s">
        <v>21</v>
      </c>
      <c r="D94" s="93" t="s">
        <v>24</v>
      </c>
      <c r="E94" s="93" t="s">
        <v>24</v>
      </c>
      <c r="F94" s="624" t="str">
        <f t="shared" si="8"/>
        <v>モラニーxルンヨニー</v>
      </c>
      <c r="G94" s="614" t="s">
        <v>207</v>
      </c>
      <c r="H94" s="625" t="str">
        <f t="shared" si="9"/>
        <v>H:\Taniku\+Miyaさん\モラニーxルンヨニー</v>
      </c>
      <c r="I94" s="614"/>
      <c r="J94" s="626" t="s">
        <v>172</v>
      </c>
      <c r="K94" s="610" t="s">
        <v>23</v>
      </c>
      <c r="L94" s="610" t="s">
        <v>48</v>
      </c>
      <c r="M94" s="614"/>
      <c r="N94" s="611" t="s">
        <v>208</v>
      </c>
      <c r="O94" s="612" t="s">
        <v>163</v>
      </c>
      <c r="P94" s="613" t="s">
        <v>209</v>
      </c>
      <c r="Q94" s="627"/>
    </row>
    <row r="95" spans="1:18" ht="15" customHeight="1" thickBot="1">
      <c r="A95" s="443" t="s">
        <v>15</v>
      </c>
      <c r="B95" s="93" t="s">
        <v>21</v>
      </c>
      <c r="D95" s="93" t="s">
        <v>24</v>
      </c>
      <c r="E95" s="93" t="s">
        <v>24</v>
      </c>
      <c r="F95" s="635" t="str">
        <f t="shared" si="8"/>
        <v>リンゼアナ(2)</v>
      </c>
      <c r="G95" s="636" t="s">
        <v>210</v>
      </c>
      <c r="H95" s="637" t="str">
        <f t="shared" si="9"/>
        <v>H:\Taniku\+Miyaさん\リンゼアナ(2)</v>
      </c>
      <c r="I95" s="614"/>
      <c r="J95" s="638" t="s">
        <v>172</v>
      </c>
      <c r="K95" s="639" t="s">
        <v>23</v>
      </c>
      <c r="L95" s="639" t="s">
        <v>69</v>
      </c>
      <c r="M95" s="636"/>
      <c r="N95" s="640"/>
      <c r="O95" s="641"/>
      <c r="P95" s="642"/>
      <c r="Q95" s="643"/>
    </row>
    <row r="96" spans="1:18" ht="15" customHeight="1" thickTop="1">
      <c r="B96" s="262" t="s">
        <v>12</v>
      </c>
      <c r="C96" s="262" t="s">
        <v>12</v>
      </c>
      <c r="D96" s="262" t="s">
        <v>12</v>
      </c>
      <c r="E96" s="262" t="s">
        <v>12</v>
      </c>
    </row>
    <row r="97" spans="1:17" ht="15" customHeight="1" thickBot="1">
      <c r="B97" s="262" t="s">
        <v>12</v>
      </c>
      <c r="C97" s="262" t="s">
        <v>12</v>
      </c>
      <c r="D97" s="262" t="s">
        <v>12</v>
      </c>
      <c r="E97" s="262" t="s">
        <v>12</v>
      </c>
      <c r="F97" s="644" t="s">
        <v>211</v>
      </c>
      <c r="G97" s="645"/>
      <c r="H97" s="646"/>
      <c r="I97" s="645"/>
      <c r="J97" s="646"/>
      <c r="K97" s="646"/>
      <c r="L97" s="646"/>
      <c r="M97" s="645"/>
      <c r="N97" s="647"/>
      <c r="O97" s="648"/>
      <c r="P97" s="649"/>
      <c r="Q97" s="650"/>
    </row>
    <row r="98" spans="1:17" ht="15" customHeight="1" thickTop="1">
      <c r="A98" s="93" t="s">
        <v>24</v>
      </c>
      <c r="B98" s="93" t="s">
        <v>28</v>
      </c>
      <c r="D98" s="93" t="s">
        <v>24</v>
      </c>
      <c r="E98" s="93" t="s">
        <v>24</v>
      </c>
      <c r="F98" s="651" t="str">
        <f t="shared" ref="F98:F109" si="10">HYPERLINK(H98,G98)</f>
        <v>ACRE AUREUM</v>
      </c>
      <c r="G98" s="652" t="s">
        <v>212</v>
      </c>
      <c r="H98" s="653" t="str">
        <f t="shared" ref="H98:H109" si="11">CONCATENATE("H:\Taniku\",G98)</f>
        <v>H:\Taniku\ACRE AUREUM</v>
      </c>
      <c r="I98" s="650"/>
      <c r="J98" s="654"/>
      <c r="K98" s="655" t="s">
        <v>30</v>
      </c>
      <c r="L98" s="655" t="s">
        <v>129</v>
      </c>
      <c r="M98" s="652"/>
      <c r="N98" s="656"/>
      <c r="O98" s="657"/>
      <c r="P98" s="658"/>
      <c r="Q98" s="659"/>
    </row>
    <row r="99" spans="1:17" ht="15" customHeight="1">
      <c r="A99" s="93" t="s">
        <v>24</v>
      </c>
      <c r="B99" s="93" t="s">
        <v>21</v>
      </c>
      <c r="E99" s="93" t="s">
        <v>24</v>
      </c>
      <c r="F99" s="660" t="str">
        <f t="shared" si="10"/>
        <v>Agavoides SantaBarbara</v>
      </c>
      <c r="G99" s="650" t="s">
        <v>213</v>
      </c>
      <c r="H99" s="661" t="str">
        <f t="shared" si="11"/>
        <v>H:\Taniku\Agavoides SantaBarbara</v>
      </c>
      <c r="I99" s="650"/>
      <c r="J99" s="662"/>
      <c r="K99" s="646" t="s">
        <v>23</v>
      </c>
      <c r="L99" s="646" t="s">
        <v>55</v>
      </c>
      <c r="M99" s="650"/>
      <c r="N99" s="647" t="s">
        <v>214</v>
      </c>
      <c r="O99" s="648" t="s">
        <v>215</v>
      </c>
      <c r="P99" s="649" t="s">
        <v>216</v>
      </c>
      <c r="Q99" s="663"/>
    </row>
    <row r="100" spans="1:17" ht="15" customHeight="1">
      <c r="A100" s="443" t="s">
        <v>15</v>
      </c>
      <c r="B100" s="93" t="s">
        <v>21</v>
      </c>
      <c r="D100" s="93" t="s">
        <v>17</v>
      </c>
      <c r="E100" s="93" t="s">
        <v>24</v>
      </c>
      <c r="F100" s="664" t="str">
        <f t="shared" si="10"/>
        <v>CS-NO-07</v>
      </c>
      <c r="G100" s="650" t="s">
        <v>217</v>
      </c>
      <c r="H100" s="661" t="str">
        <f t="shared" si="11"/>
        <v>H:\Taniku\CS-NO-07</v>
      </c>
      <c r="I100" s="650"/>
      <c r="J100" s="662"/>
      <c r="K100" s="646" t="s">
        <v>23</v>
      </c>
      <c r="L100" s="646" t="s">
        <v>55</v>
      </c>
      <c r="M100" s="650"/>
      <c r="N100" s="647" t="s">
        <v>218</v>
      </c>
      <c r="O100" s="648" t="s">
        <v>163</v>
      </c>
      <c r="P100" s="649" t="s">
        <v>219</v>
      </c>
      <c r="Q100" s="663"/>
    </row>
    <row r="101" spans="1:17" ht="15" customHeight="1">
      <c r="A101" s="80" t="s">
        <v>180</v>
      </c>
      <c r="E101" s="93" t="s">
        <v>24</v>
      </c>
      <c r="F101" s="660" t="str">
        <f t="shared" si="10"/>
        <v>Elbarco</v>
      </c>
      <c r="G101" s="650" t="s">
        <v>220</v>
      </c>
      <c r="H101" s="661" t="str">
        <f t="shared" si="11"/>
        <v>H:\Taniku\Elbarco</v>
      </c>
      <c r="I101" s="650"/>
      <c r="J101" s="662"/>
      <c r="K101" s="646" t="s">
        <v>27</v>
      </c>
      <c r="L101" s="646" t="s">
        <v>114</v>
      </c>
      <c r="M101" s="650"/>
      <c r="N101" s="647"/>
      <c r="O101" s="648"/>
      <c r="P101" s="649"/>
      <c r="Q101" s="663"/>
    </row>
    <row r="102" spans="1:17" ht="15" customHeight="1">
      <c r="A102" s="93" t="s">
        <v>24</v>
      </c>
      <c r="B102" s="93" t="s">
        <v>21</v>
      </c>
      <c r="E102" s="93" t="s">
        <v>24</v>
      </c>
      <c r="F102" s="660" t="str">
        <f t="shared" si="10"/>
        <v>Forever</v>
      </c>
      <c r="G102" s="650" t="s">
        <v>221</v>
      </c>
      <c r="H102" s="661" t="str">
        <f t="shared" si="11"/>
        <v>H:\Taniku\Forever</v>
      </c>
      <c r="I102" s="650"/>
      <c r="J102" s="662"/>
      <c r="K102" s="646" t="s">
        <v>23</v>
      </c>
      <c r="L102" s="646" t="s">
        <v>60</v>
      </c>
      <c r="M102" s="650"/>
      <c r="N102" s="647" t="s">
        <v>222</v>
      </c>
      <c r="O102" s="648" t="s">
        <v>163</v>
      </c>
      <c r="P102" s="649" t="s">
        <v>223</v>
      </c>
      <c r="Q102" s="663"/>
    </row>
    <row r="103" spans="1:17" ht="15" customHeight="1">
      <c r="A103" s="93" t="s">
        <v>24</v>
      </c>
      <c r="B103" s="93" t="s">
        <v>21</v>
      </c>
      <c r="E103" s="93" t="s">
        <v>24</v>
      </c>
      <c r="F103" s="660" t="str">
        <f t="shared" si="10"/>
        <v>Leemon</v>
      </c>
      <c r="G103" s="650" t="s">
        <v>224</v>
      </c>
      <c r="H103" s="661" t="str">
        <f t="shared" si="11"/>
        <v>H:\Taniku\Leemon</v>
      </c>
      <c r="I103" s="650"/>
      <c r="J103" s="662"/>
      <c r="K103" s="646" t="s">
        <v>23</v>
      </c>
      <c r="L103" s="646" t="s">
        <v>60</v>
      </c>
      <c r="M103" s="650"/>
      <c r="N103" s="647"/>
      <c r="O103" s="648"/>
      <c r="P103" s="649"/>
      <c r="Q103" s="663"/>
    </row>
    <row r="104" spans="1:17" ht="15" customHeight="1">
      <c r="A104" s="93" t="s">
        <v>24</v>
      </c>
      <c r="B104" s="93" t="s">
        <v>39</v>
      </c>
      <c r="D104" s="93" t="s">
        <v>24</v>
      </c>
      <c r="E104" s="93" t="s">
        <v>24</v>
      </c>
      <c r="F104" s="660" t="str">
        <f t="shared" si="10"/>
        <v>LILAC MIST</v>
      </c>
      <c r="G104" s="650" t="s">
        <v>225</v>
      </c>
      <c r="H104" s="661" t="str">
        <f t="shared" si="11"/>
        <v>H:\Taniku\LILAC MIST</v>
      </c>
      <c r="I104" s="650"/>
      <c r="J104" s="662" t="s">
        <v>226</v>
      </c>
      <c r="K104" s="646" t="s">
        <v>30</v>
      </c>
      <c r="L104" s="646" t="s">
        <v>129</v>
      </c>
      <c r="M104" s="650"/>
      <c r="N104" s="647"/>
      <c r="O104" s="648"/>
      <c r="P104" s="649"/>
      <c r="Q104" s="663"/>
    </row>
    <row r="105" spans="1:17" ht="15" customHeight="1">
      <c r="A105" s="80" t="s">
        <v>17</v>
      </c>
      <c r="E105" s="93" t="s">
        <v>24</v>
      </c>
      <c r="F105" s="660" t="str">
        <f t="shared" si="10"/>
        <v>Minos</v>
      </c>
      <c r="G105" s="650" t="s">
        <v>227</v>
      </c>
      <c r="H105" s="661" t="str">
        <f t="shared" si="11"/>
        <v>H:\Taniku\Minos</v>
      </c>
      <c r="I105" s="650"/>
      <c r="J105" s="662"/>
      <c r="K105" s="646" t="s">
        <v>23</v>
      </c>
      <c r="L105" s="646" t="s">
        <v>60</v>
      </c>
      <c r="M105" s="650"/>
      <c r="N105" s="647"/>
      <c r="O105" s="648"/>
      <c r="P105" s="649"/>
      <c r="Q105" s="663"/>
    </row>
    <row r="106" spans="1:17" ht="15" customHeight="1">
      <c r="A106" s="93" t="s">
        <v>24</v>
      </c>
      <c r="B106" s="93" t="s">
        <v>21</v>
      </c>
      <c r="E106" s="93" t="s">
        <v>24</v>
      </c>
      <c r="F106" s="660" t="str">
        <f t="shared" si="10"/>
        <v>Prodidity</v>
      </c>
      <c r="G106" s="650" t="s">
        <v>228</v>
      </c>
      <c r="H106" s="661" t="str">
        <f t="shared" si="11"/>
        <v>H:\Taniku\Prodidity</v>
      </c>
      <c r="I106" s="650"/>
      <c r="J106" s="662"/>
      <c r="K106" s="646" t="s">
        <v>27</v>
      </c>
      <c r="L106" s="646" t="s">
        <v>106</v>
      </c>
      <c r="M106" s="650"/>
      <c r="N106" s="647"/>
      <c r="O106" s="648"/>
      <c r="P106" s="649"/>
      <c r="Q106" s="663"/>
    </row>
    <row r="107" spans="1:17" ht="15" customHeight="1">
      <c r="A107" s="93" t="s">
        <v>24</v>
      </c>
      <c r="B107" s="93" t="s">
        <v>21</v>
      </c>
      <c r="D107" s="93" t="s">
        <v>24</v>
      </c>
      <c r="E107" s="93" t="s">
        <v>24</v>
      </c>
      <c r="F107" s="660" t="str">
        <f t="shared" si="10"/>
        <v>PARVA</v>
      </c>
      <c r="G107" s="650" t="s">
        <v>229</v>
      </c>
      <c r="H107" s="661" t="str">
        <f t="shared" si="11"/>
        <v>H:\Taniku\PARVA</v>
      </c>
      <c r="I107" s="650"/>
      <c r="J107" s="662"/>
      <c r="K107" s="646" t="s">
        <v>23</v>
      </c>
      <c r="L107" s="646" t="s">
        <v>63</v>
      </c>
      <c r="M107" s="650"/>
      <c r="N107" s="647" t="s">
        <v>230</v>
      </c>
      <c r="O107" s="648" t="s">
        <v>231</v>
      </c>
      <c r="P107" s="649" t="s">
        <v>232</v>
      </c>
      <c r="Q107" s="663"/>
    </row>
    <row r="108" spans="1:17" ht="15" customHeight="1">
      <c r="A108" s="93" t="s">
        <v>17</v>
      </c>
      <c r="D108" s="93" t="s">
        <v>24</v>
      </c>
      <c r="E108" s="93" t="s">
        <v>24</v>
      </c>
      <c r="F108" s="660" t="str">
        <f t="shared" si="10"/>
        <v>Purimila</v>
      </c>
      <c r="G108" s="650" t="s">
        <v>233</v>
      </c>
      <c r="H108" s="661" t="str">
        <f t="shared" si="11"/>
        <v>H:\Taniku\Purimila</v>
      </c>
      <c r="I108" s="650"/>
      <c r="J108" s="662"/>
      <c r="K108" s="646" t="s">
        <v>23</v>
      </c>
      <c r="L108" s="646" t="s">
        <v>66</v>
      </c>
      <c r="M108" s="650"/>
      <c r="N108" s="647"/>
      <c r="O108" s="648"/>
      <c r="P108" s="649"/>
      <c r="Q108" s="663"/>
    </row>
    <row r="109" spans="1:17" ht="15" customHeight="1" thickBot="1">
      <c r="A109" s="93" t="s">
        <v>24</v>
      </c>
      <c r="B109" s="93" t="s">
        <v>21</v>
      </c>
      <c r="D109" s="93" t="s">
        <v>24</v>
      </c>
      <c r="E109" s="93" t="s">
        <v>24</v>
      </c>
      <c r="F109" s="665" t="str">
        <f t="shared" si="10"/>
        <v>VIOLET</v>
      </c>
      <c r="G109" s="666" t="s">
        <v>234</v>
      </c>
      <c r="H109" s="667" t="str">
        <f t="shared" si="11"/>
        <v>H:\Taniku\VIOLET</v>
      </c>
      <c r="I109" s="650"/>
      <c r="J109" s="668"/>
      <c r="K109" s="669" t="s">
        <v>30</v>
      </c>
      <c r="L109" s="669" t="s">
        <v>129</v>
      </c>
      <c r="M109" s="666"/>
      <c r="N109" s="670"/>
      <c r="O109" s="671"/>
      <c r="P109" s="672"/>
      <c r="Q109" s="673"/>
    </row>
    <row r="110" spans="1:17" ht="15" customHeight="1" thickTop="1">
      <c r="B110" s="262" t="s">
        <v>12</v>
      </c>
      <c r="C110" s="262" t="s">
        <v>12</v>
      </c>
      <c r="D110" s="262"/>
      <c r="E110" s="262" t="s">
        <v>12</v>
      </c>
    </row>
    <row r="111" spans="1:17" ht="15" customHeight="1" thickBot="1">
      <c r="B111" s="262" t="s">
        <v>12</v>
      </c>
      <c r="C111" s="262" t="s">
        <v>12</v>
      </c>
      <c r="D111" s="262"/>
      <c r="E111" s="262" t="s">
        <v>12</v>
      </c>
      <c r="F111" s="674" t="s">
        <v>235</v>
      </c>
      <c r="G111" s="674"/>
      <c r="H111" s="675"/>
      <c r="I111" s="674"/>
      <c r="J111" s="675"/>
      <c r="K111" s="675"/>
      <c r="L111" s="675"/>
      <c r="M111" s="674"/>
      <c r="N111" s="676"/>
      <c r="O111" s="677"/>
      <c r="P111" s="678"/>
      <c r="Q111" s="679"/>
    </row>
    <row r="112" spans="1:17" ht="15" customHeight="1" thickTop="1">
      <c r="A112" s="93" t="s">
        <v>24</v>
      </c>
      <c r="B112" s="93" t="s">
        <v>21</v>
      </c>
      <c r="E112" s="93" t="s">
        <v>24</v>
      </c>
      <c r="F112" s="680" t="str">
        <f t="shared" ref="F112:F129" si="12">HYPERLINK(H112,G112)</f>
        <v>アイスグリーン</v>
      </c>
      <c r="G112" s="681" t="s">
        <v>236</v>
      </c>
      <c r="H112" s="682" t="str">
        <f t="shared" ref="H112:H129" si="13">CONCATENATE("H:\Taniku\",G112)</f>
        <v>H:\Taniku\アイスグリーン</v>
      </c>
      <c r="I112" s="679"/>
      <c r="J112" s="683"/>
      <c r="K112" s="684" t="s">
        <v>27</v>
      </c>
      <c r="L112" s="684" t="s">
        <v>108</v>
      </c>
      <c r="M112" s="681"/>
      <c r="N112" s="685" t="s">
        <v>237</v>
      </c>
      <c r="O112" s="686" t="s">
        <v>163</v>
      </c>
      <c r="P112" s="687" t="s">
        <v>238</v>
      </c>
      <c r="Q112" s="688"/>
    </row>
    <row r="113" spans="1:23" ht="15" customHeight="1">
      <c r="A113" s="93" t="s">
        <v>24</v>
      </c>
      <c r="B113" s="93" t="s">
        <v>21</v>
      </c>
      <c r="E113" s="93" t="s">
        <v>24</v>
      </c>
      <c r="F113" s="689" t="str">
        <f t="shared" si="12"/>
        <v>アガボイデスルブラ</v>
      </c>
      <c r="G113" s="679" t="s">
        <v>239</v>
      </c>
      <c r="H113" s="690" t="str">
        <f t="shared" si="13"/>
        <v>H:\Taniku\アガボイデスルブラ</v>
      </c>
      <c r="I113" s="679"/>
      <c r="J113" s="691"/>
      <c r="K113" s="675" t="s">
        <v>27</v>
      </c>
      <c r="L113" s="675" t="s">
        <v>118</v>
      </c>
      <c r="M113" s="679"/>
      <c r="N113" s="676" t="s">
        <v>214</v>
      </c>
      <c r="O113" s="677" t="s">
        <v>215</v>
      </c>
      <c r="P113" s="678" t="s">
        <v>240</v>
      </c>
      <c r="Q113" s="692"/>
    </row>
    <row r="114" spans="1:23" ht="15" customHeight="1">
      <c r="A114" s="93" t="s">
        <v>24</v>
      </c>
      <c r="B114" s="93" t="s">
        <v>21</v>
      </c>
      <c r="E114" s="93" t="s">
        <v>24</v>
      </c>
      <c r="F114" s="689" t="str">
        <f t="shared" si="12"/>
        <v>アガボイデスルメール</v>
      </c>
      <c r="G114" s="679" t="s">
        <v>241</v>
      </c>
      <c r="H114" s="690" t="str">
        <f t="shared" si="13"/>
        <v>H:\Taniku\アガボイデスルメール</v>
      </c>
      <c r="I114" s="679"/>
      <c r="J114" s="691"/>
      <c r="K114" s="675" t="s">
        <v>27</v>
      </c>
      <c r="L114" s="675" t="s">
        <v>120</v>
      </c>
      <c r="M114" s="679"/>
      <c r="N114" s="676"/>
      <c r="O114" s="677"/>
      <c r="P114" s="678"/>
      <c r="Q114" s="692"/>
    </row>
    <row r="115" spans="1:23" ht="15" customHeight="1">
      <c r="A115" s="93" t="s">
        <v>24</v>
      </c>
      <c r="B115" s="93" t="s">
        <v>46</v>
      </c>
      <c r="E115" s="93" t="s">
        <v>24</v>
      </c>
      <c r="F115" s="689" t="str">
        <f t="shared" si="12"/>
        <v>アサンテサナ</v>
      </c>
      <c r="G115" s="679" t="s">
        <v>242</v>
      </c>
      <c r="H115" s="690" t="str">
        <f t="shared" si="13"/>
        <v>H:\Taniku\アサンテサナ</v>
      </c>
      <c r="I115" s="679"/>
      <c r="J115" s="691"/>
      <c r="K115" s="675" t="s">
        <v>27</v>
      </c>
      <c r="L115" s="675" t="s">
        <v>120</v>
      </c>
      <c r="M115" s="679"/>
      <c r="N115" s="676" t="s">
        <v>196</v>
      </c>
      <c r="O115" s="677" t="s">
        <v>163</v>
      </c>
      <c r="P115" s="678" t="s">
        <v>243</v>
      </c>
      <c r="Q115" s="692"/>
    </row>
    <row r="116" spans="1:23" ht="15" customHeight="1">
      <c r="A116" s="93" t="s">
        <v>24</v>
      </c>
      <c r="B116" s="93" t="s">
        <v>28</v>
      </c>
      <c r="D116" s="93" t="s">
        <v>24</v>
      </c>
      <c r="E116" s="93" t="s">
        <v>24</v>
      </c>
      <c r="F116" s="689" t="str">
        <f t="shared" si="12"/>
        <v>アトランティス</v>
      </c>
      <c r="G116" s="679" t="s">
        <v>244</v>
      </c>
      <c r="H116" s="690" t="str">
        <f t="shared" si="13"/>
        <v>H:\Taniku\アトランティス</v>
      </c>
      <c r="I116" s="679"/>
      <c r="J116" s="691"/>
      <c r="K116" s="675" t="s">
        <v>23</v>
      </c>
      <c r="L116" s="675" t="s">
        <v>100</v>
      </c>
      <c r="M116" s="679"/>
      <c r="N116" s="676" t="s">
        <v>245</v>
      </c>
      <c r="O116" s="677" t="s">
        <v>215</v>
      </c>
      <c r="P116" s="678" t="s">
        <v>246</v>
      </c>
      <c r="Q116" s="692"/>
    </row>
    <row r="117" spans="1:23" ht="15" customHeight="1">
      <c r="A117" s="93" t="s">
        <v>24</v>
      </c>
      <c r="B117" s="93" t="s">
        <v>21</v>
      </c>
      <c r="E117" s="93" t="s">
        <v>24</v>
      </c>
      <c r="F117" s="689" t="str">
        <f t="shared" si="12"/>
        <v>アプス</v>
      </c>
      <c r="G117" s="679" t="s">
        <v>247</v>
      </c>
      <c r="H117" s="690" t="str">
        <f t="shared" si="13"/>
        <v>H:\Taniku\アプス</v>
      </c>
      <c r="I117" s="679"/>
      <c r="J117" s="691"/>
      <c r="K117" s="675" t="s">
        <v>27</v>
      </c>
      <c r="L117" s="675" t="s">
        <v>106</v>
      </c>
      <c r="M117" s="679"/>
      <c r="N117" s="676" t="s">
        <v>248</v>
      </c>
      <c r="O117" s="677" t="s">
        <v>163</v>
      </c>
      <c r="P117" s="678" t="s">
        <v>238</v>
      </c>
      <c r="Q117" s="692"/>
    </row>
    <row r="118" spans="1:23" ht="15" customHeight="1">
      <c r="A118" s="93" t="s">
        <v>24</v>
      </c>
      <c r="B118" s="93" t="s">
        <v>21</v>
      </c>
      <c r="E118" s="93" t="s">
        <v>24</v>
      </c>
      <c r="F118" s="689" t="str">
        <f t="shared" si="12"/>
        <v>アボガドクリーム</v>
      </c>
      <c r="G118" s="679" t="s">
        <v>249</v>
      </c>
      <c r="H118" s="690" t="str">
        <f t="shared" si="13"/>
        <v>H:\Taniku\アボガドクリーム</v>
      </c>
      <c r="I118" s="679"/>
      <c r="J118" s="691"/>
      <c r="K118" s="675" t="s">
        <v>20</v>
      </c>
      <c r="L118" s="675" t="s">
        <v>45</v>
      </c>
      <c r="M118" s="679"/>
      <c r="N118" s="676"/>
      <c r="O118" s="677"/>
      <c r="P118" s="678"/>
      <c r="Q118" s="692"/>
    </row>
    <row r="119" spans="1:23" ht="15" customHeight="1">
      <c r="A119" s="93" t="s">
        <v>24</v>
      </c>
      <c r="B119" s="93" t="s">
        <v>21</v>
      </c>
      <c r="E119" s="93" t="s">
        <v>24</v>
      </c>
      <c r="F119" s="689" t="str">
        <f t="shared" si="12"/>
        <v>アマビレ</v>
      </c>
      <c r="G119" s="679" t="s">
        <v>250</v>
      </c>
      <c r="H119" s="690" t="str">
        <f t="shared" si="13"/>
        <v>H:\Taniku\アマビレ</v>
      </c>
      <c r="I119" s="679"/>
      <c r="J119" s="691"/>
      <c r="K119" s="675" t="s">
        <v>23</v>
      </c>
      <c r="L119" s="675" t="s">
        <v>55</v>
      </c>
      <c r="M119" s="679"/>
      <c r="N119" s="676"/>
      <c r="O119" s="677"/>
      <c r="P119" s="678"/>
      <c r="Q119" s="692"/>
      <c r="S119" s="448"/>
      <c r="T119" s="292"/>
      <c r="V119" s="448"/>
      <c r="W119" s="292"/>
    </row>
    <row r="120" spans="1:23" ht="15" customHeight="1">
      <c r="A120" s="93" t="s">
        <v>24</v>
      </c>
      <c r="B120" s="93" t="s">
        <v>21</v>
      </c>
      <c r="E120" s="93" t="s">
        <v>24</v>
      </c>
      <c r="F120" s="689" t="str">
        <f t="shared" si="12"/>
        <v>アミスター</v>
      </c>
      <c r="G120" s="679" t="s">
        <v>251</v>
      </c>
      <c r="H120" s="690" t="str">
        <f t="shared" si="13"/>
        <v>H:\Taniku\アミスター</v>
      </c>
      <c r="I120" s="679"/>
      <c r="J120" s="691"/>
      <c r="K120" s="675" t="s">
        <v>23</v>
      </c>
      <c r="L120" s="675" t="s">
        <v>60</v>
      </c>
      <c r="M120" s="679"/>
      <c r="N120" s="676"/>
      <c r="O120" s="677"/>
      <c r="P120" s="678"/>
      <c r="Q120" s="692"/>
      <c r="S120" s="448"/>
      <c r="T120" s="292"/>
      <c r="V120" s="448"/>
      <c r="W120" s="292"/>
    </row>
    <row r="121" spans="1:23" ht="15" customHeight="1">
      <c r="A121" s="93" t="s">
        <v>24</v>
      </c>
      <c r="B121" s="93" t="s">
        <v>21</v>
      </c>
      <c r="E121" s="93" t="s">
        <v>24</v>
      </c>
      <c r="F121" s="689" t="str">
        <f t="shared" si="12"/>
        <v>アメイジンググレイス</v>
      </c>
      <c r="G121" s="679" t="s">
        <v>252</v>
      </c>
      <c r="H121" s="690" t="str">
        <f t="shared" si="13"/>
        <v>H:\Taniku\アメイジンググレイス</v>
      </c>
      <c r="I121" s="679"/>
      <c r="J121" s="691"/>
      <c r="K121" s="675" t="s">
        <v>27</v>
      </c>
      <c r="L121" s="675" t="s">
        <v>108</v>
      </c>
      <c r="M121" s="679"/>
      <c r="N121" s="676" t="s">
        <v>253</v>
      </c>
      <c r="O121" s="677" t="s">
        <v>163</v>
      </c>
      <c r="P121" s="678" t="s">
        <v>237</v>
      </c>
      <c r="Q121" s="692"/>
      <c r="S121" s="448"/>
      <c r="T121" s="292"/>
      <c r="V121" s="448"/>
      <c r="W121" s="292"/>
    </row>
    <row r="122" spans="1:23" ht="15" customHeight="1">
      <c r="A122" s="93" t="s">
        <v>24</v>
      </c>
      <c r="B122" s="93" t="s">
        <v>42</v>
      </c>
      <c r="C122" s="93" t="s">
        <v>24</v>
      </c>
      <c r="E122" s="93" t="s">
        <v>24</v>
      </c>
      <c r="F122" s="689" t="str">
        <f t="shared" si="12"/>
        <v>アメチスチヌム</v>
      </c>
      <c r="G122" s="679" t="s">
        <v>254</v>
      </c>
      <c r="H122" s="690" t="str">
        <f t="shared" si="13"/>
        <v>H:\Taniku\アメチスチヌム</v>
      </c>
      <c r="I122" s="679"/>
      <c r="J122" s="691"/>
      <c r="K122" s="675" t="s">
        <v>27</v>
      </c>
      <c r="L122" s="675" t="s">
        <v>108</v>
      </c>
      <c r="M122" s="679"/>
      <c r="N122" s="676"/>
      <c r="O122" s="677"/>
      <c r="P122" s="678"/>
      <c r="Q122" s="692"/>
    </row>
    <row r="123" spans="1:23" ht="15" customHeight="1">
      <c r="A123" s="93" t="s">
        <v>24</v>
      </c>
      <c r="B123" s="93" t="s">
        <v>28</v>
      </c>
      <c r="E123" s="93" t="s">
        <v>24</v>
      </c>
      <c r="F123" s="689" t="str">
        <f t="shared" si="12"/>
        <v>アラントイデス</v>
      </c>
      <c r="G123" s="679" t="s">
        <v>255</v>
      </c>
      <c r="H123" s="690" t="str">
        <f t="shared" si="13"/>
        <v>H:\Taniku\アラントイデス</v>
      </c>
      <c r="I123" s="679"/>
      <c r="J123" s="691"/>
      <c r="K123" s="675" t="s">
        <v>23</v>
      </c>
      <c r="L123" s="675" t="s">
        <v>63</v>
      </c>
      <c r="M123" s="679"/>
      <c r="N123" s="676"/>
      <c r="O123" s="677"/>
      <c r="P123" s="678"/>
      <c r="Q123" s="692"/>
    </row>
    <row r="124" spans="1:23" ht="15" customHeight="1">
      <c r="A124" s="93" t="s">
        <v>24</v>
      </c>
      <c r="B124" s="93" t="s">
        <v>21</v>
      </c>
      <c r="D124" s="93" t="s">
        <v>24</v>
      </c>
      <c r="E124" s="93" t="s">
        <v>24</v>
      </c>
      <c r="F124" s="689" t="str">
        <f t="shared" si="12"/>
        <v>アルビパルマ</v>
      </c>
      <c r="G124" s="679" t="s">
        <v>256</v>
      </c>
      <c r="H124" s="690" t="str">
        <f t="shared" si="13"/>
        <v>H:\Taniku\アルビパルマ</v>
      </c>
      <c r="I124" s="679"/>
      <c r="J124" s="691" t="s">
        <v>131</v>
      </c>
      <c r="K124" s="675" t="s">
        <v>30</v>
      </c>
      <c r="L124" s="675" t="s">
        <v>131</v>
      </c>
      <c r="M124" s="679"/>
      <c r="N124" s="676"/>
      <c r="O124" s="677"/>
      <c r="P124" s="678"/>
      <c r="Q124" s="692"/>
    </row>
    <row r="125" spans="1:23" ht="15" customHeight="1">
      <c r="A125" s="93" t="s">
        <v>24</v>
      </c>
      <c r="B125" s="93" t="s">
        <v>21</v>
      </c>
      <c r="E125" s="93" t="s">
        <v>24</v>
      </c>
      <c r="F125" s="693" t="str">
        <f t="shared" si="12"/>
        <v>アルフレッド</v>
      </c>
      <c r="G125" s="679" t="s">
        <v>257</v>
      </c>
      <c r="H125" s="690" t="str">
        <f t="shared" si="13"/>
        <v>H:\Taniku\アルフレッド</v>
      </c>
      <c r="I125" s="679"/>
      <c r="J125" s="691"/>
      <c r="K125" s="675" t="s">
        <v>27</v>
      </c>
      <c r="L125" s="675" t="s">
        <v>106</v>
      </c>
      <c r="M125" s="679"/>
      <c r="N125" s="676" t="s">
        <v>248</v>
      </c>
      <c r="O125" s="677" t="s">
        <v>163</v>
      </c>
      <c r="P125" s="678" t="s">
        <v>258</v>
      </c>
      <c r="Q125" s="692"/>
    </row>
    <row r="126" spans="1:23" ht="15" customHeight="1">
      <c r="A126" s="93" t="s">
        <v>24</v>
      </c>
      <c r="B126" s="93" t="s">
        <v>85</v>
      </c>
      <c r="E126" s="93" t="s">
        <v>24</v>
      </c>
      <c r="F126" s="689" t="str">
        <f t="shared" si="12"/>
        <v>アロマティカス</v>
      </c>
      <c r="G126" s="679" t="s">
        <v>259</v>
      </c>
      <c r="H126" s="690" t="str">
        <f t="shared" si="13"/>
        <v>H:\Taniku\アロマティカス</v>
      </c>
      <c r="I126" s="679"/>
      <c r="J126" s="691"/>
      <c r="K126" s="675" t="s">
        <v>260</v>
      </c>
      <c r="L126" s="675" t="s">
        <v>261</v>
      </c>
      <c r="M126" s="679"/>
      <c r="N126" s="676"/>
      <c r="O126" s="677"/>
      <c r="P126" s="678"/>
      <c r="Q126" s="692"/>
    </row>
    <row r="127" spans="1:23" ht="15" customHeight="1">
      <c r="A127" s="93" t="s">
        <v>24</v>
      </c>
      <c r="B127" s="93" t="s">
        <v>34</v>
      </c>
      <c r="E127" s="93" t="s">
        <v>24</v>
      </c>
      <c r="F127" s="689" t="str">
        <f t="shared" si="12"/>
        <v>アワユキ</v>
      </c>
      <c r="G127" s="679" t="s">
        <v>262</v>
      </c>
      <c r="H127" s="690" t="str">
        <f t="shared" si="13"/>
        <v>H:\Taniku\アワユキ</v>
      </c>
      <c r="I127" s="679"/>
      <c r="J127" s="691"/>
      <c r="K127" s="675" t="s">
        <v>20</v>
      </c>
      <c r="L127" s="675" t="s">
        <v>45</v>
      </c>
      <c r="M127" s="679"/>
      <c r="N127" s="676" t="s">
        <v>254</v>
      </c>
      <c r="O127" s="677" t="s">
        <v>163</v>
      </c>
      <c r="P127" s="678" t="s">
        <v>263</v>
      </c>
      <c r="Q127" s="692"/>
    </row>
    <row r="128" spans="1:23" ht="15" customHeight="1">
      <c r="A128" s="93" t="s">
        <v>24</v>
      </c>
      <c r="B128" s="93" t="s">
        <v>28</v>
      </c>
      <c r="E128" s="93" t="s">
        <v>24</v>
      </c>
      <c r="F128" s="689" t="str">
        <f t="shared" si="12"/>
        <v>アンジェリーナ</v>
      </c>
      <c r="G128" s="679" t="s">
        <v>264</v>
      </c>
      <c r="H128" s="690" t="str">
        <f t="shared" si="13"/>
        <v>H:\Taniku\アンジェリーナ</v>
      </c>
      <c r="I128" s="679"/>
      <c r="J128" s="691"/>
      <c r="K128" s="675" t="s">
        <v>23</v>
      </c>
      <c r="L128" s="675" t="s">
        <v>72</v>
      </c>
      <c r="M128" s="679"/>
      <c r="N128" s="676" t="s">
        <v>265</v>
      </c>
      <c r="O128" s="677" t="s">
        <v>215</v>
      </c>
      <c r="P128" s="678" t="s">
        <v>266</v>
      </c>
      <c r="Q128" s="692"/>
    </row>
    <row r="129" spans="1:17" ht="15" customHeight="1" thickBot="1">
      <c r="A129" s="93" t="s">
        <v>24</v>
      </c>
      <c r="B129" s="93" t="s">
        <v>21</v>
      </c>
      <c r="E129" s="93" t="s">
        <v>24</v>
      </c>
      <c r="F129" s="694" t="str">
        <f t="shared" si="12"/>
        <v>あんみつ姫</v>
      </c>
      <c r="G129" s="695" t="s">
        <v>267</v>
      </c>
      <c r="H129" s="696" t="str">
        <f t="shared" si="13"/>
        <v>H:\Taniku\あんみつ姫</v>
      </c>
      <c r="I129" s="679"/>
      <c r="J129" s="697"/>
      <c r="K129" s="698" t="s">
        <v>27</v>
      </c>
      <c r="L129" s="698" t="s">
        <v>118</v>
      </c>
      <c r="M129" s="695"/>
      <c r="N129" s="699" t="s">
        <v>268</v>
      </c>
      <c r="O129" s="700" t="s">
        <v>231</v>
      </c>
      <c r="P129" s="701" t="s">
        <v>269</v>
      </c>
      <c r="Q129" s="702"/>
    </row>
    <row r="130" spans="1:17" ht="15" customHeight="1" thickTop="1">
      <c r="B130" s="262" t="s">
        <v>12</v>
      </c>
      <c r="C130" s="262" t="s">
        <v>12</v>
      </c>
      <c r="D130" s="262"/>
      <c r="E130" s="262" t="s">
        <v>12</v>
      </c>
      <c r="F130" s="679"/>
      <c r="G130" s="679"/>
      <c r="H130" s="675"/>
      <c r="I130" s="679"/>
      <c r="J130" s="675"/>
      <c r="K130" s="675"/>
      <c r="L130" s="675"/>
      <c r="M130" s="679"/>
      <c r="N130" s="676"/>
      <c r="O130" s="677"/>
      <c r="P130" s="678"/>
      <c r="Q130" s="679"/>
    </row>
    <row r="131" spans="1:17" ht="15" customHeight="1" thickBot="1">
      <c r="B131" s="262" t="s">
        <v>12</v>
      </c>
      <c r="C131" s="262" t="s">
        <v>12</v>
      </c>
      <c r="D131" s="262"/>
      <c r="E131" s="262" t="s">
        <v>12</v>
      </c>
      <c r="F131" s="703" t="s">
        <v>270</v>
      </c>
      <c r="G131" s="703"/>
      <c r="H131" s="675"/>
      <c r="I131" s="703"/>
      <c r="J131" s="675"/>
      <c r="K131" s="675"/>
      <c r="L131" s="675"/>
      <c r="M131" s="703"/>
      <c r="N131" s="676"/>
      <c r="O131" s="677"/>
      <c r="P131" s="678"/>
      <c r="Q131" s="679"/>
    </row>
    <row r="132" spans="1:17" ht="15" customHeight="1" thickTop="1">
      <c r="A132" s="443" t="s">
        <v>15</v>
      </c>
      <c r="B132" s="93" t="s">
        <v>21</v>
      </c>
      <c r="D132" s="93" t="s">
        <v>24</v>
      </c>
      <c r="E132" s="93" t="s">
        <v>24</v>
      </c>
      <c r="F132" s="704" t="str">
        <f>HYPERLINK(H132,G132)</f>
        <v>伊弉諾(イザナギ)</v>
      </c>
      <c r="G132" s="705" t="s">
        <v>271</v>
      </c>
      <c r="H132" s="706" t="str">
        <f>CONCATENATE("H:\Taniku\",G132)</f>
        <v>H:\Taniku\伊弉諾(イザナギ)</v>
      </c>
      <c r="I132" s="707"/>
      <c r="J132" s="706" t="s">
        <v>272</v>
      </c>
      <c r="K132" s="706" t="s">
        <v>23</v>
      </c>
      <c r="L132" s="706" t="s">
        <v>84</v>
      </c>
      <c r="M132" s="705"/>
      <c r="N132" s="708"/>
      <c r="O132" s="709"/>
      <c r="P132" s="710"/>
      <c r="Q132" s="711"/>
    </row>
    <row r="133" spans="1:17" ht="15" customHeight="1">
      <c r="A133" s="93" t="s">
        <v>24</v>
      </c>
      <c r="B133" s="93" t="s">
        <v>21</v>
      </c>
      <c r="D133" s="93" t="s">
        <v>17</v>
      </c>
      <c r="E133" s="93" t="s">
        <v>24</v>
      </c>
      <c r="F133" s="712" t="str">
        <f>HYPERLINK(H133,G133)</f>
        <v>伊奘冉(イザナミ)</v>
      </c>
      <c r="G133" s="679" t="s">
        <v>273</v>
      </c>
      <c r="H133" s="713" t="str">
        <f>CONCATENATE("H:\Taniku\",G133)</f>
        <v>H:\Taniku\伊奘冉(イザナミ)</v>
      </c>
      <c r="I133" s="679"/>
      <c r="J133" s="714" t="s">
        <v>272</v>
      </c>
      <c r="K133" s="675" t="s">
        <v>23</v>
      </c>
      <c r="L133" s="675" t="s">
        <v>26</v>
      </c>
      <c r="M133" s="679"/>
      <c r="N133" s="676"/>
      <c r="O133" s="677"/>
      <c r="P133" s="678"/>
      <c r="Q133" s="715"/>
    </row>
    <row r="134" spans="1:17" ht="15" customHeight="1" thickBot="1">
      <c r="A134" s="93" t="s">
        <v>24</v>
      </c>
      <c r="B134" s="93" t="s">
        <v>274</v>
      </c>
      <c r="E134" s="93" t="s">
        <v>24</v>
      </c>
      <c r="F134" s="716" t="str">
        <f>HYPERLINK(H134,G134)</f>
        <v>インディカ</v>
      </c>
      <c r="G134" s="717" t="s">
        <v>275</v>
      </c>
      <c r="H134" s="718" t="str">
        <f>CONCATENATE("H:\Taniku\",G134)</f>
        <v>H:\Taniku\インディカ</v>
      </c>
      <c r="I134" s="679"/>
      <c r="J134" s="719"/>
      <c r="K134" s="720" t="s">
        <v>20</v>
      </c>
      <c r="L134" s="720" t="s">
        <v>49</v>
      </c>
      <c r="M134" s="717"/>
      <c r="N134" s="721"/>
      <c r="O134" s="720"/>
      <c r="P134" s="722"/>
      <c r="Q134" s="723"/>
    </row>
    <row r="135" spans="1:17" ht="15" customHeight="1" thickTop="1">
      <c r="B135" s="262" t="s">
        <v>12</v>
      </c>
      <c r="C135" s="262" t="s">
        <v>12</v>
      </c>
      <c r="D135" s="262"/>
      <c r="E135" s="262" t="s">
        <v>12</v>
      </c>
      <c r="F135" s="679"/>
      <c r="G135" s="679"/>
      <c r="H135" s="675"/>
      <c r="I135" s="679"/>
      <c r="J135" s="675"/>
      <c r="K135" s="675"/>
      <c r="L135" s="675"/>
      <c r="M135" s="679"/>
      <c r="N135" s="676"/>
      <c r="O135" s="677"/>
      <c r="P135" s="678"/>
      <c r="Q135" s="679"/>
    </row>
    <row r="136" spans="1:17" ht="15" customHeight="1" thickBot="1">
      <c r="B136" s="262" t="s">
        <v>12</v>
      </c>
      <c r="C136" s="262" t="s">
        <v>12</v>
      </c>
      <c r="D136" s="262"/>
      <c r="E136" s="262" t="s">
        <v>12</v>
      </c>
      <c r="F136" s="724" t="s">
        <v>276</v>
      </c>
      <c r="G136" s="724"/>
      <c r="H136" s="675"/>
      <c r="I136" s="724"/>
      <c r="J136" s="675"/>
      <c r="K136" s="675"/>
      <c r="L136" s="675"/>
      <c r="M136" s="724"/>
      <c r="N136" s="676"/>
      <c r="O136" s="677"/>
      <c r="P136" s="678"/>
      <c r="Q136" s="679"/>
    </row>
    <row r="137" spans="1:17" ht="15" customHeight="1" thickTop="1">
      <c r="A137" s="80" t="s">
        <v>17</v>
      </c>
      <c r="B137" s="93" t="s">
        <v>21</v>
      </c>
      <c r="E137" s="93" t="s">
        <v>24</v>
      </c>
      <c r="F137" s="725" t="str">
        <f>HYPERLINK(H137,G137)</f>
        <v>ヴィーナス錦</v>
      </c>
      <c r="G137" s="726" t="s">
        <v>277</v>
      </c>
      <c r="H137" s="727" t="str">
        <f>CONCATENATE("H:\Taniku\",G137)</f>
        <v>H:\Taniku\ヴィーナス錦</v>
      </c>
      <c r="I137" s="679"/>
      <c r="J137" s="728"/>
      <c r="K137" s="729" t="s">
        <v>23</v>
      </c>
      <c r="L137" s="729" t="s">
        <v>60</v>
      </c>
      <c r="M137" s="726"/>
      <c r="N137" s="730"/>
      <c r="O137" s="731"/>
      <c r="P137" s="732"/>
      <c r="Q137" s="733"/>
    </row>
    <row r="138" spans="1:17" ht="15" customHeight="1">
      <c r="A138" s="93" t="s">
        <v>24</v>
      </c>
      <c r="B138" s="93" t="s">
        <v>21</v>
      </c>
      <c r="C138" s="93" t="s">
        <v>24</v>
      </c>
      <c r="D138" s="93" t="s">
        <v>24</v>
      </c>
      <c r="E138" s="93" t="s">
        <v>24</v>
      </c>
      <c r="F138" s="734" t="str">
        <f>HYPERLINK(H138,G138)</f>
        <v>ヴィヴァーチェ</v>
      </c>
      <c r="G138" s="679" t="s">
        <v>278</v>
      </c>
      <c r="H138" s="735" t="str">
        <f>CONCATENATE("H:\Taniku\",G138)</f>
        <v>H:\Taniku\ヴィヴァーチェ</v>
      </c>
      <c r="I138" s="679"/>
      <c r="J138" s="736"/>
      <c r="K138" s="675" t="s">
        <v>30</v>
      </c>
      <c r="L138" s="675" t="s">
        <v>131</v>
      </c>
      <c r="M138" s="679"/>
      <c r="N138" s="676"/>
      <c r="O138" s="677"/>
      <c r="P138" s="678"/>
      <c r="Q138" s="737"/>
    </row>
    <row r="139" spans="1:17" ht="15" customHeight="1">
      <c r="A139" s="93" t="s">
        <v>24</v>
      </c>
      <c r="B139" s="93" t="s">
        <v>21</v>
      </c>
      <c r="E139" s="93" t="s">
        <v>24</v>
      </c>
      <c r="F139" s="738" t="str">
        <f>HYPERLINK(H139,G139)</f>
        <v>ウエストレインボー</v>
      </c>
      <c r="G139" s="679" t="s">
        <v>279</v>
      </c>
      <c r="H139" s="735" t="str">
        <f>CONCATENATE("H:\Taniku\",G139)</f>
        <v>H:\Taniku\ウエストレインボー</v>
      </c>
      <c r="I139" s="679"/>
      <c r="J139" s="736"/>
      <c r="K139" s="675" t="s">
        <v>23</v>
      </c>
      <c r="L139" s="675" t="s">
        <v>81</v>
      </c>
      <c r="M139" s="679"/>
      <c r="N139" s="676" t="s">
        <v>280</v>
      </c>
      <c r="O139" s="677" t="s">
        <v>215</v>
      </c>
      <c r="P139" s="678" t="s">
        <v>246</v>
      </c>
      <c r="Q139" s="737"/>
    </row>
    <row r="140" spans="1:17" ht="15" customHeight="1">
      <c r="A140" s="93" t="s">
        <v>24</v>
      </c>
      <c r="B140" s="93" t="s">
        <v>21</v>
      </c>
      <c r="E140" s="93" t="s">
        <v>24</v>
      </c>
      <c r="F140" s="734" t="str">
        <f>HYPERLINK(H140,G140)</f>
        <v>ウオーターリリー</v>
      </c>
      <c r="G140" s="679" t="s">
        <v>281</v>
      </c>
      <c r="H140" s="735" t="str">
        <f>CONCATENATE("H:\Taniku\",G140)</f>
        <v>H:\Taniku\ウオーターリリー</v>
      </c>
      <c r="I140" s="679"/>
      <c r="J140" s="736"/>
      <c r="K140" s="675" t="s">
        <v>23</v>
      </c>
      <c r="L140" s="675" t="s">
        <v>60</v>
      </c>
      <c r="M140" s="679"/>
      <c r="N140" s="676" t="s">
        <v>268</v>
      </c>
      <c r="O140" s="677" t="s">
        <v>231</v>
      </c>
      <c r="P140" s="678" t="s">
        <v>282</v>
      </c>
      <c r="Q140" s="737"/>
    </row>
    <row r="141" spans="1:17" ht="15" customHeight="1" thickBot="1">
      <c r="A141" s="93" t="s">
        <v>24</v>
      </c>
      <c r="E141" s="93" t="s">
        <v>24</v>
      </c>
      <c r="F141" s="739" t="str">
        <f>HYPERLINK(H141,G141)</f>
        <v>薄化粧, ミロッティー, ピンクベリー</v>
      </c>
      <c r="G141" s="740" t="s">
        <v>283</v>
      </c>
      <c r="H141" s="741" t="str">
        <f>CONCATENATE("H:\Taniku\",G141)</f>
        <v>H:\Taniku\薄化粧, ミロッティー, ピンクベリー</v>
      </c>
      <c r="I141" s="679"/>
      <c r="J141" s="742"/>
      <c r="K141" s="743" t="s">
        <v>284</v>
      </c>
      <c r="L141" s="743"/>
      <c r="M141" s="740"/>
      <c r="N141" s="744"/>
      <c r="O141" s="745"/>
      <c r="P141" s="746"/>
      <c r="Q141" s="747"/>
    </row>
    <row r="142" spans="1:17" ht="15" customHeight="1" thickTop="1">
      <c r="B142" s="262" t="s">
        <v>12</v>
      </c>
      <c r="C142" s="262" t="s">
        <v>12</v>
      </c>
      <c r="D142" s="262"/>
      <c r="E142" s="262" t="s">
        <v>12</v>
      </c>
      <c r="F142" s="679"/>
      <c r="G142" s="679"/>
      <c r="H142" s="675"/>
      <c r="I142" s="679"/>
      <c r="J142" s="675"/>
      <c r="K142" s="675"/>
      <c r="L142" s="675"/>
      <c r="M142" s="679"/>
      <c r="N142" s="676"/>
      <c r="O142" s="677"/>
      <c r="P142" s="678"/>
      <c r="Q142" s="679"/>
    </row>
    <row r="143" spans="1:17" ht="15" customHeight="1" thickBot="1">
      <c r="B143" s="262" t="s">
        <v>12</v>
      </c>
      <c r="C143" s="262" t="s">
        <v>12</v>
      </c>
      <c r="D143" s="262"/>
      <c r="E143" s="262" t="s">
        <v>12</v>
      </c>
      <c r="F143" s="748" t="s">
        <v>285</v>
      </c>
      <c r="G143" s="748"/>
      <c r="H143" s="675"/>
      <c r="I143" s="748"/>
      <c r="J143" s="675"/>
      <c r="K143" s="675"/>
      <c r="L143" s="675"/>
      <c r="M143" s="748"/>
      <c r="N143" s="676"/>
      <c r="O143" s="677"/>
      <c r="P143" s="678"/>
      <c r="Q143" s="679"/>
    </row>
    <row r="144" spans="1:17" ht="15" customHeight="1" thickTop="1">
      <c r="A144" s="93" t="s">
        <v>24</v>
      </c>
      <c r="B144" s="93" t="s">
        <v>21</v>
      </c>
      <c r="E144" s="93" t="s">
        <v>24</v>
      </c>
      <c r="F144" s="749" t="str">
        <f>HYPERLINK(H144,G144)</f>
        <v>エアケア</v>
      </c>
      <c r="G144" s="750" t="s">
        <v>286</v>
      </c>
      <c r="H144" s="751" t="str">
        <f>CONCATENATE("H:\Taniku\",G144)</f>
        <v>H:\Taniku\エアケア</v>
      </c>
      <c r="I144" s="679"/>
      <c r="J144" s="752"/>
      <c r="K144" s="753" t="s">
        <v>27</v>
      </c>
      <c r="L144" s="753" t="s">
        <v>106</v>
      </c>
      <c r="M144" s="750"/>
      <c r="N144" s="754" t="s">
        <v>287</v>
      </c>
      <c r="O144" s="755" t="s">
        <v>288</v>
      </c>
      <c r="P144" s="756" t="s">
        <v>289</v>
      </c>
      <c r="Q144" s="757"/>
    </row>
    <row r="145" spans="1:17" ht="15" customHeight="1">
      <c r="A145" s="93" t="s">
        <v>24</v>
      </c>
      <c r="B145" s="93" t="s">
        <v>21</v>
      </c>
      <c r="E145" s="93" t="s">
        <v>24</v>
      </c>
      <c r="F145" s="758" t="str">
        <f>HYPERLINK(H145,G145)</f>
        <v>エボニー</v>
      </c>
      <c r="G145" s="679" t="s">
        <v>174</v>
      </c>
      <c r="H145" s="759" t="str">
        <f>CONCATENATE("H:\Taniku\",G145)</f>
        <v>H:\Taniku\エボニー</v>
      </c>
      <c r="I145" s="679"/>
      <c r="J145" s="760"/>
      <c r="K145" s="675" t="s">
        <v>27</v>
      </c>
      <c r="L145" s="675" t="s">
        <v>106</v>
      </c>
      <c r="M145" s="679"/>
      <c r="N145" s="676" t="s">
        <v>214</v>
      </c>
      <c r="O145" s="677" t="s">
        <v>215</v>
      </c>
      <c r="P145" s="678" t="s">
        <v>216</v>
      </c>
      <c r="Q145" s="761"/>
    </row>
    <row r="146" spans="1:17" ht="15" customHeight="1">
      <c r="A146" s="80" t="s">
        <v>24</v>
      </c>
      <c r="B146" s="93" t="s">
        <v>21</v>
      </c>
      <c r="E146" s="93" t="s">
        <v>24</v>
      </c>
      <c r="F146" s="758" t="str">
        <f>HYPERLINK(H146,G146)</f>
        <v>エリザベス</v>
      </c>
      <c r="G146" s="679" t="s">
        <v>290</v>
      </c>
      <c r="H146" s="759" t="str">
        <f>CONCATENATE("H:\Taniku\",G146)</f>
        <v>H:\Taniku\エリザベス</v>
      </c>
      <c r="I146" s="679"/>
      <c r="J146" s="760"/>
      <c r="K146" s="675" t="s">
        <v>23</v>
      </c>
      <c r="L146" s="675" t="s">
        <v>55</v>
      </c>
      <c r="M146" s="679"/>
      <c r="N146" s="676"/>
      <c r="O146" s="677"/>
      <c r="P146" s="678"/>
      <c r="Q146" s="761"/>
    </row>
    <row r="147" spans="1:17" ht="15" customHeight="1">
      <c r="A147" s="80" t="s">
        <v>24</v>
      </c>
      <c r="B147" s="93" t="s">
        <v>21</v>
      </c>
      <c r="C147" s="93" t="s">
        <v>24</v>
      </c>
      <c r="D147" s="93" t="s">
        <v>24</v>
      </c>
      <c r="E147" s="93" t="s">
        <v>24</v>
      </c>
      <c r="F147" s="758" t="str">
        <f>HYPERLINK(H147,G147)</f>
        <v>エレガンス</v>
      </c>
      <c r="G147" s="679" t="s">
        <v>238</v>
      </c>
      <c r="H147" s="759" t="str">
        <f>CONCATENATE("H:\Taniku\",G147)</f>
        <v>H:\Taniku\エレガンス</v>
      </c>
      <c r="I147" s="679"/>
      <c r="J147" s="760"/>
      <c r="K147" s="675" t="s">
        <v>30</v>
      </c>
      <c r="L147" s="675" t="s">
        <v>131</v>
      </c>
      <c r="M147" s="679"/>
      <c r="N147" s="676"/>
      <c r="O147" s="677"/>
      <c r="P147" s="678"/>
      <c r="Q147" s="761"/>
    </row>
    <row r="148" spans="1:17" ht="15" customHeight="1" thickBot="1">
      <c r="A148" s="93" t="s">
        <v>24</v>
      </c>
      <c r="B148" s="93" t="s">
        <v>50</v>
      </c>
      <c r="E148" s="93" t="s">
        <v>24</v>
      </c>
      <c r="F148" s="762" t="str">
        <f>HYPERLINK(H148,G148)</f>
        <v>エンジェルティアーズ</v>
      </c>
      <c r="G148" s="763" t="s">
        <v>291</v>
      </c>
      <c r="H148" s="764" t="str">
        <f>CONCATENATE("H:\Taniku\",G148)</f>
        <v>H:\Taniku\エンジェルティアーズ</v>
      </c>
      <c r="I148" s="679"/>
      <c r="J148" s="765"/>
      <c r="K148" s="766" t="s">
        <v>27</v>
      </c>
      <c r="L148" s="766" t="s">
        <v>44</v>
      </c>
      <c r="M148" s="763"/>
      <c r="N148" s="767" t="s">
        <v>292</v>
      </c>
      <c r="O148" s="768" t="s">
        <v>215</v>
      </c>
      <c r="P148" s="769" t="s">
        <v>246</v>
      </c>
      <c r="Q148" s="770"/>
    </row>
    <row r="149" spans="1:17" ht="15" customHeight="1" thickTop="1">
      <c r="B149" s="262" t="s">
        <v>12</v>
      </c>
      <c r="C149" s="262" t="s">
        <v>12</v>
      </c>
      <c r="D149" s="262"/>
      <c r="E149" s="262" t="s">
        <v>12</v>
      </c>
      <c r="F149" s="679"/>
      <c r="G149" s="679"/>
      <c r="H149" s="675"/>
      <c r="I149" s="679"/>
      <c r="J149" s="675"/>
      <c r="K149" s="675"/>
      <c r="L149" s="675"/>
      <c r="M149" s="679"/>
      <c r="N149" s="676"/>
      <c r="O149" s="677"/>
      <c r="P149" s="678"/>
      <c r="Q149" s="679"/>
    </row>
    <row r="150" spans="1:17" ht="15" customHeight="1" thickBot="1">
      <c r="B150" s="262" t="s">
        <v>12</v>
      </c>
      <c r="C150" s="262" t="s">
        <v>12</v>
      </c>
      <c r="D150" s="262"/>
      <c r="E150" s="262" t="s">
        <v>12</v>
      </c>
      <c r="F150" s="771" t="s">
        <v>293</v>
      </c>
      <c r="G150" s="771"/>
      <c r="H150" s="675"/>
      <c r="I150" s="771"/>
      <c r="J150" s="675"/>
      <c r="K150" s="675"/>
      <c r="L150" s="675"/>
      <c r="M150" s="771"/>
      <c r="N150" s="676"/>
      <c r="O150" s="677"/>
      <c r="P150" s="678"/>
      <c r="Q150" s="679"/>
    </row>
    <row r="151" spans="1:17" ht="15" customHeight="1" thickTop="1">
      <c r="A151" s="93" t="s">
        <v>24</v>
      </c>
      <c r="B151" s="93" t="s">
        <v>28</v>
      </c>
      <c r="E151" s="93" t="s">
        <v>24</v>
      </c>
      <c r="F151" s="772" t="str">
        <f t="shared" ref="F151:F167" si="14">HYPERLINK(H151,G151)</f>
        <v>黄金細葉万年草</v>
      </c>
      <c r="G151" s="773" t="s">
        <v>294</v>
      </c>
      <c r="H151" s="774" t="str">
        <f t="shared" ref="H151:H167" si="15">CONCATENATE("H:\Taniku\",G151)</f>
        <v>H:\Taniku\黄金細葉万年草</v>
      </c>
      <c r="I151" s="679"/>
      <c r="J151" s="775"/>
      <c r="K151" s="776" t="s">
        <v>27</v>
      </c>
      <c r="L151" s="776" t="s">
        <v>112</v>
      </c>
      <c r="M151" s="773"/>
      <c r="N151" s="777" t="s">
        <v>268</v>
      </c>
      <c r="O151" s="778" t="s">
        <v>231</v>
      </c>
      <c r="P151" s="779" t="s">
        <v>295</v>
      </c>
      <c r="Q151" s="780"/>
    </row>
    <row r="152" spans="1:17" ht="15" customHeight="1">
      <c r="A152" s="93" t="s">
        <v>24</v>
      </c>
      <c r="B152" s="93" t="s">
        <v>28</v>
      </c>
      <c r="E152" s="93" t="s">
        <v>24</v>
      </c>
      <c r="F152" s="781" t="str">
        <f t="shared" si="14"/>
        <v>黄金丸葉万年草</v>
      </c>
      <c r="G152" s="679" t="s">
        <v>296</v>
      </c>
      <c r="H152" s="782" t="str">
        <f t="shared" si="15"/>
        <v>H:\Taniku\黄金丸葉万年草</v>
      </c>
      <c r="I152" s="679"/>
      <c r="J152" s="783"/>
      <c r="K152" s="675" t="s">
        <v>27</v>
      </c>
      <c r="L152" s="675" t="s">
        <v>112</v>
      </c>
      <c r="M152" s="679"/>
      <c r="N152" s="676" t="s">
        <v>297</v>
      </c>
      <c r="O152" s="677" t="s">
        <v>298</v>
      </c>
      <c r="P152" s="678" t="s">
        <v>299</v>
      </c>
      <c r="Q152" s="784"/>
    </row>
    <row r="153" spans="1:17" ht="15" customHeight="1">
      <c r="A153" s="93" t="s">
        <v>24</v>
      </c>
      <c r="B153" s="93" t="s">
        <v>28</v>
      </c>
      <c r="E153" s="93" t="s">
        <v>24</v>
      </c>
      <c r="F153" s="785" t="str">
        <f t="shared" si="14"/>
        <v>黄麗</v>
      </c>
      <c r="G153" s="679" t="s">
        <v>300</v>
      </c>
      <c r="H153" s="782" t="str">
        <f t="shared" si="15"/>
        <v>H:\Taniku\黄麗</v>
      </c>
      <c r="I153" s="679"/>
      <c r="J153" s="783"/>
      <c r="K153" s="675" t="s">
        <v>23</v>
      </c>
      <c r="L153" s="675" t="s">
        <v>93</v>
      </c>
      <c r="M153" s="679"/>
      <c r="N153" s="676"/>
      <c r="O153" s="677"/>
      <c r="P153" s="678"/>
      <c r="Q153" s="784"/>
    </row>
    <row r="154" spans="1:17" ht="15" customHeight="1">
      <c r="A154" s="93" t="s">
        <v>24</v>
      </c>
      <c r="B154" s="93" t="s">
        <v>21</v>
      </c>
      <c r="E154" s="93" t="s">
        <v>24</v>
      </c>
      <c r="F154" s="781" t="str">
        <f t="shared" si="14"/>
        <v>オーストラリアキャプテンヘイ</v>
      </c>
      <c r="G154" s="679" t="s">
        <v>301</v>
      </c>
      <c r="H154" s="782" t="str">
        <f t="shared" si="15"/>
        <v>H:\Taniku\オーストラリアキャプテンヘイ</v>
      </c>
      <c r="I154" s="679"/>
      <c r="J154" s="783"/>
      <c r="K154" s="675" t="s">
        <v>23</v>
      </c>
      <c r="L154" s="675" t="s">
        <v>55</v>
      </c>
      <c r="M154" s="679"/>
      <c r="N154" s="676" t="s">
        <v>302</v>
      </c>
      <c r="O154" s="677" t="s">
        <v>163</v>
      </c>
      <c r="P154" s="678" t="s">
        <v>303</v>
      </c>
      <c r="Q154" s="784"/>
    </row>
    <row r="155" spans="1:17" ht="15" customHeight="1">
      <c r="A155" s="93" t="s">
        <v>24</v>
      </c>
      <c r="B155" s="93" t="s">
        <v>21</v>
      </c>
      <c r="E155" s="93" t="s">
        <v>24</v>
      </c>
      <c r="F155" s="781" t="str">
        <f t="shared" si="14"/>
        <v>オーストラリアジョイ</v>
      </c>
      <c r="G155" s="679" t="s">
        <v>304</v>
      </c>
      <c r="H155" s="782" t="str">
        <f t="shared" si="15"/>
        <v>H:\Taniku\オーストラリアジョイ</v>
      </c>
      <c r="I155" s="679"/>
      <c r="J155" s="783"/>
      <c r="K155" s="675" t="s">
        <v>23</v>
      </c>
      <c r="L155" s="675" t="s">
        <v>60</v>
      </c>
      <c r="M155" s="679"/>
      <c r="N155" s="676" t="s">
        <v>268</v>
      </c>
      <c r="O155" s="677" t="s">
        <v>231</v>
      </c>
      <c r="P155" s="678" t="s">
        <v>305</v>
      </c>
      <c r="Q155" s="784"/>
    </row>
    <row r="156" spans="1:17" ht="15" customHeight="1">
      <c r="A156" s="93" t="s">
        <v>24</v>
      </c>
      <c r="B156" s="93" t="s">
        <v>28</v>
      </c>
      <c r="E156" s="93" t="s">
        <v>24</v>
      </c>
      <c r="F156" s="781" t="str">
        <f t="shared" si="14"/>
        <v>オーレウス</v>
      </c>
      <c r="G156" s="679" t="s">
        <v>306</v>
      </c>
      <c r="H156" s="782" t="str">
        <f t="shared" si="15"/>
        <v>H:\Taniku\オーレウス</v>
      </c>
      <c r="I156" s="679"/>
      <c r="J156" s="783"/>
      <c r="K156" s="675" t="s">
        <v>23</v>
      </c>
      <c r="L156" s="675" t="s">
        <v>55</v>
      </c>
      <c r="M156" s="679"/>
      <c r="N156" s="676"/>
      <c r="O156" s="677"/>
      <c r="P156" s="678"/>
      <c r="Q156" s="784"/>
    </row>
    <row r="157" spans="1:17" ht="15" customHeight="1">
      <c r="A157" s="93" t="s">
        <v>24</v>
      </c>
      <c r="B157" s="93" t="s">
        <v>28</v>
      </c>
      <c r="E157" s="93" t="s">
        <v>24</v>
      </c>
      <c r="F157" s="781" t="str">
        <f t="shared" si="14"/>
        <v>オーロラ</v>
      </c>
      <c r="G157" s="679" t="s">
        <v>307</v>
      </c>
      <c r="H157" s="782" t="str">
        <f t="shared" si="15"/>
        <v>H:\Taniku\オーロラ</v>
      </c>
      <c r="I157" s="679"/>
      <c r="J157" s="783"/>
      <c r="K157" s="675" t="s">
        <v>30</v>
      </c>
      <c r="L157" s="675" t="s">
        <v>129</v>
      </c>
      <c r="M157" s="679"/>
      <c r="N157" s="676"/>
      <c r="O157" s="677"/>
      <c r="P157" s="678"/>
      <c r="Q157" s="784"/>
    </row>
    <row r="158" spans="1:17" ht="15" customHeight="1">
      <c r="A158" s="93" t="s">
        <v>24</v>
      </c>
      <c r="B158" s="93" t="s">
        <v>28</v>
      </c>
      <c r="E158" s="93" t="s">
        <v>24</v>
      </c>
      <c r="F158" s="781" t="str">
        <f t="shared" si="14"/>
        <v>オカタイトゴメ</v>
      </c>
      <c r="G158" s="679" t="s">
        <v>308</v>
      </c>
      <c r="H158" s="782" t="str">
        <f t="shared" si="15"/>
        <v>H:\Taniku\オカタイトゴメ</v>
      </c>
      <c r="I158" s="679"/>
      <c r="J158" s="783"/>
      <c r="K158" s="675" t="s">
        <v>27</v>
      </c>
      <c r="L158" s="675" t="s">
        <v>112</v>
      </c>
      <c r="M158" s="679"/>
      <c r="N158" s="676"/>
      <c r="O158" s="677"/>
      <c r="P158" s="678"/>
      <c r="Q158" s="784"/>
    </row>
    <row r="159" spans="1:17" ht="15" customHeight="1">
      <c r="A159" s="93" t="s">
        <v>24</v>
      </c>
      <c r="B159" s="93" t="s">
        <v>28</v>
      </c>
      <c r="E159" s="93" t="s">
        <v>24</v>
      </c>
      <c r="F159" s="785" t="str">
        <f t="shared" si="14"/>
        <v>乙女心</v>
      </c>
      <c r="G159" s="679" t="s">
        <v>309</v>
      </c>
      <c r="H159" s="782" t="str">
        <f t="shared" si="15"/>
        <v>H:\Taniku\乙女心</v>
      </c>
      <c r="I159" s="679"/>
      <c r="J159" s="783"/>
      <c r="K159" s="675" t="s">
        <v>23</v>
      </c>
      <c r="L159" s="675" t="s">
        <v>55</v>
      </c>
      <c r="M159" s="679"/>
      <c r="N159" s="676" t="s">
        <v>268</v>
      </c>
      <c r="O159" s="677" t="s">
        <v>231</v>
      </c>
      <c r="P159" s="678" t="s">
        <v>310</v>
      </c>
      <c r="Q159" s="784"/>
    </row>
    <row r="160" spans="1:17" ht="15" customHeight="1">
      <c r="A160" s="443" t="s">
        <v>15</v>
      </c>
      <c r="B160" s="93" t="s">
        <v>34</v>
      </c>
      <c r="E160" s="93" t="s">
        <v>24</v>
      </c>
      <c r="F160" s="781" t="str">
        <f t="shared" si="14"/>
        <v>オパリナxアメトルム</v>
      </c>
      <c r="G160" s="679" t="s">
        <v>311</v>
      </c>
      <c r="H160" s="782" t="str">
        <f t="shared" si="15"/>
        <v>H:\Taniku\オパリナxアメトルム</v>
      </c>
      <c r="I160" s="679"/>
      <c r="J160" s="783"/>
      <c r="K160" s="675" t="s">
        <v>27</v>
      </c>
      <c r="L160" s="675" t="s">
        <v>118</v>
      </c>
      <c r="M160" s="679"/>
      <c r="N160" s="676" t="s">
        <v>312</v>
      </c>
      <c r="O160" s="677" t="s">
        <v>163</v>
      </c>
      <c r="P160" s="678" t="s">
        <v>313</v>
      </c>
      <c r="Q160" s="784"/>
    </row>
    <row r="161" spans="1:17" ht="15" customHeight="1">
      <c r="A161" s="93" t="s">
        <v>24</v>
      </c>
      <c r="B161" s="93" t="s">
        <v>21</v>
      </c>
      <c r="E161" s="93" t="s">
        <v>24</v>
      </c>
      <c r="F161" s="781" t="str">
        <f t="shared" si="14"/>
        <v>オリオン</v>
      </c>
      <c r="G161" s="679" t="s">
        <v>314</v>
      </c>
      <c r="H161" s="782" t="str">
        <f t="shared" si="15"/>
        <v>H:\Taniku\オリオン</v>
      </c>
      <c r="I161" s="679"/>
      <c r="J161" s="783" t="s">
        <v>315</v>
      </c>
      <c r="K161" s="675" t="s">
        <v>27</v>
      </c>
      <c r="L161" s="675" t="s">
        <v>116</v>
      </c>
      <c r="M161" s="679"/>
      <c r="N161" s="676" t="s">
        <v>316</v>
      </c>
      <c r="O161" s="677" t="s">
        <v>163</v>
      </c>
      <c r="P161" s="678" t="s">
        <v>317</v>
      </c>
      <c r="Q161" s="784"/>
    </row>
    <row r="162" spans="1:17" ht="15" customHeight="1">
      <c r="A162" s="93" t="s">
        <v>24</v>
      </c>
      <c r="B162" s="93" t="s">
        <v>318</v>
      </c>
      <c r="E162" s="93" t="s">
        <v>24</v>
      </c>
      <c r="F162" s="781" t="str">
        <f t="shared" si="14"/>
        <v>オリビア</v>
      </c>
      <c r="G162" s="679" t="s">
        <v>319</v>
      </c>
      <c r="H162" s="782" t="str">
        <f t="shared" si="15"/>
        <v>H:\Taniku\オリビア</v>
      </c>
      <c r="I162" s="679"/>
      <c r="J162" s="783" t="s">
        <v>320</v>
      </c>
      <c r="K162" s="675" t="s">
        <v>20</v>
      </c>
      <c r="L162" s="675" t="s">
        <v>49</v>
      </c>
      <c r="M162" s="679"/>
      <c r="N162" s="676"/>
      <c r="O162" s="677"/>
      <c r="P162" s="678"/>
      <c r="Q162" s="784"/>
    </row>
    <row r="163" spans="1:17" ht="15" customHeight="1">
      <c r="A163" s="93" t="s">
        <v>24</v>
      </c>
      <c r="B163" s="93" t="s">
        <v>21</v>
      </c>
      <c r="E163" s="93" t="s">
        <v>24</v>
      </c>
      <c r="F163" s="781" t="str">
        <f t="shared" si="14"/>
        <v>オルペット</v>
      </c>
      <c r="G163" s="679" t="s">
        <v>321</v>
      </c>
      <c r="H163" s="782" t="str">
        <f t="shared" si="15"/>
        <v>H:\Taniku\オルペット</v>
      </c>
      <c r="I163" s="679"/>
      <c r="J163" s="783"/>
      <c r="K163" s="675" t="s">
        <v>23</v>
      </c>
      <c r="L163" s="675" t="s">
        <v>60</v>
      </c>
      <c r="M163" s="679"/>
      <c r="N163" s="676"/>
      <c r="O163" s="677"/>
      <c r="P163" s="678"/>
      <c r="Q163" s="784"/>
    </row>
    <row r="164" spans="1:17" ht="15" customHeight="1">
      <c r="A164" s="93" t="s">
        <v>24</v>
      </c>
      <c r="B164" s="93" t="s">
        <v>21</v>
      </c>
      <c r="E164" s="93" t="s">
        <v>24</v>
      </c>
      <c r="F164" s="785" t="str">
        <f t="shared" si="14"/>
        <v>オレンジモンロー</v>
      </c>
      <c r="G164" s="679" t="s">
        <v>322</v>
      </c>
      <c r="H164" s="782" t="str">
        <f t="shared" si="15"/>
        <v>H:\Taniku\オレンジモンロー</v>
      </c>
      <c r="I164" s="679"/>
      <c r="J164" s="783"/>
      <c r="K164" s="675" t="s">
        <v>27</v>
      </c>
      <c r="L164" s="675" t="s">
        <v>108</v>
      </c>
      <c r="M164" s="679"/>
      <c r="N164" s="676" t="s">
        <v>237</v>
      </c>
      <c r="O164" s="677" t="s">
        <v>163</v>
      </c>
      <c r="P164" s="678" t="s">
        <v>169</v>
      </c>
      <c r="Q164" s="784"/>
    </row>
    <row r="165" spans="1:17" ht="15" customHeight="1">
      <c r="A165" s="443" t="s">
        <v>15</v>
      </c>
      <c r="B165" s="93" t="s">
        <v>46</v>
      </c>
      <c r="E165" s="93" t="s">
        <v>24</v>
      </c>
      <c r="F165" s="781" t="str">
        <f t="shared" si="14"/>
        <v>オレンジモンローxフレーベル</v>
      </c>
      <c r="G165" s="679" t="s">
        <v>323</v>
      </c>
      <c r="H165" s="782" t="str">
        <f t="shared" si="15"/>
        <v>H:\Taniku\オレンジモンローxフレーベル</v>
      </c>
      <c r="I165" s="679"/>
      <c r="J165" s="783"/>
      <c r="K165" s="675" t="s">
        <v>23</v>
      </c>
      <c r="L165" s="675" t="s">
        <v>75</v>
      </c>
      <c r="M165" s="679"/>
      <c r="N165" s="676"/>
      <c r="O165" s="677"/>
      <c r="P165" s="678"/>
      <c r="Q165" s="784"/>
    </row>
    <row r="166" spans="1:17" ht="15" customHeight="1">
      <c r="A166" s="80" t="s">
        <v>180</v>
      </c>
      <c r="B166" s="93" t="s">
        <v>21</v>
      </c>
      <c r="E166" s="93" t="s">
        <v>24</v>
      </c>
      <c r="F166" s="781" t="str">
        <f t="shared" si="14"/>
        <v>オレンジ大福</v>
      </c>
      <c r="G166" s="679" t="s">
        <v>324</v>
      </c>
      <c r="H166" s="782" t="str">
        <f t="shared" si="15"/>
        <v>H:\Taniku\オレンジ大福</v>
      </c>
      <c r="I166" s="679"/>
      <c r="J166" s="783" t="s">
        <v>325</v>
      </c>
      <c r="K166" s="675" t="s">
        <v>23</v>
      </c>
      <c r="L166" s="675" t="s">
        <v>60</v>
      </c>
      <c r="M166" s="679"/>
      <c r="N166" s="676"/>
      <c r="O166" s="677"/>
      <c r="P166" s="678"/>
      <c r="Q166" s="784"/>
    </row>
    <row r="167" spans="1:17" ht="15" customHeight="1" thickBot="1">
      <c r="A167" s="93" t="s">
        <v>24</v>
      </c>
      <c r="B167" s="93" t="s">
        <v>21</v>
      </c>
      <c r="E167" s="93" t="s">
        <v>24</v>
      </c>
      <c r="F167" s="786" t="str">
        <f t="shared" si="14"/>
        <v>オンスロー</v>
      </c>
      <c r="G167" s="787" t="s">
        <v>326</v>
      </c>
      <c r="H167" s="788" t="str">
        <f t="shared" si="15"/>
        <v>H:\Taniku\オンスロー</v>
      </c>
      <c r="I167" s="679"/>
      <c r="J167" s="789"/>
      <c r="K167" s="790" t="s">
        <v>23</v>
      </c>
      <c r="L167" s="790" t="s">
        <v>55</v>
      </c>
      <c r="M167" s="787"/>
      <c r="N167" s="791"/>
      <c r="O167" s="792"/>
      <c r="P167" s="793"/>
      <c r="Q167" s="794"/>
    </row>
    <row r="168" spans="1:17" ht="15" customHeight="1" thickTop="1">
      <c r="B168" s="262" t="s">
        <v>12</v>
      </c>
      <c r="C168" s="262" t="s">
        <v>12</v>
      </c>
      <c r="D168" s="262"/>
      <c r="E168" s="262" t="s">
        <v>12</v>
      </c>
    </row>
    <row r="169" spans="1:17" ht="15" customHeight="1" thickBot="1">
      <c r="B169" s="262" t="s">
        <v>12</v>
      </c>
      <c r="C169" s="262" t="s">
        <v>12</v>
      </c>
      <c r="D169" s="262"/>
      <c r="E169" s="262" t="s">
        <v>12</v>
      </c>
      <c r="F169" s="795" t="s">
        <v>327</v>
      </c>
      <c r="G169" s="795"/>
      <c r="H169" s="646"/>
      <c r="I169" s="795"/>
      <c r="J169" s="646"/>
      <c r="K169" s="646"/>
      <c r="L169" s="646"/>
      <c r="M169" s="795"/>
      <c r="N169" s="647"/>
      <c r="O169" s="796"/>
      <c r="P169" s="649"/>
      <c r="Q169" s="650"/>
    </row>
    <row r="170" spans="1:17" ht="15" customHeight="1" thickTop="1">
      <c r="A170" s="443" t="s">
        <v>15</v>
      </c>
      <c r="B170" s="93" t="s">
        <v>21</v>
      </c>
      <c r="D170" s="93" t="s">
        <v>24</v>
      </c>
      <c r="E170" s="93" t="s">
        <v>24</v>
      </c>
      <c r="F170" s="797" t="str">
        <f t="shared" ref="F170:F179" si="16">HYPERLINK(H170,G170)</f>
        <v>火炎車</v>
      </c>
      <c r="G170" s="798" t="s">
        <v>328</v>
      </c>
      <c r="H170" s="799" t="str">
        <f t="shared" ref="H170:H179" si="17">CONCATENATE("H:\Taniku\",G170)</f>
        <v>H:\Taniku\火炎車</v>
      </c>
      <c r="I170" s="650"/>
      <c r="J170" s="800" t="s">
        <v>48</v>
      </c>
      <c r="K170" s="801" t="s">
        <v>23</v>
      </c>
      <c r="L170" s="801" t="s">
        <v>48</v>
      </c>
      <c r="M170" s="798"/>
      <c r="N170" s="802" t="s">
        <v>329</v>
      </c>
      <c r="O170" s="801"/>
      <c r="P170" s="803"/>
      <c r="Q170" s="804"/>
    </row>
    <row r="171" spans="1:17" ht="15" customHeight="1">
      <c r="A171" s="443" t="s">
        <v>15</v>
      </c>
      <c r="B171" s="93" t="s">
        <v>21</v>
      </c>
      <c r="D171" s="93" t="s">
        <v>24</v>
      </c>
      <c r="E171" s="93" t="s">
        <v>24</v>
      </c>
      <c r="F171" s="805" t="str">
        <f t="shared" si="16"/>
        <v>火炎の花</v>
      </c>
      <c r="G171" s="650" t="s">
        <v>330</v>
      </c>
      <c r="H171" s="806" t="str">
        <f t="shared" si="17"/>
        <v>H:\Taniku\火炎の花</v>
      </c>
      <c r="I171" s="650"/>
      <c r="J171" s="807" t="s">
        <v>48</v>
      </c>
      <c r="K171" s="646" t="s">
        <v>23</v>
      </c>
      <c r="L171" s="646" t="s">
        <v>48</v>
      </c>
      <c r="M171" s="650"/>
      <c r="N171" s="647" t="s">
        <v>331</v>
      </c>
      <c r="O171" s="646"/>
      <c r="P171" s="649"/>
      <c r="Q171" s="808"/>
    </row>
    <row r="172" spans="1:17" ht="15" customHeight="1">
      <c r="A172" s="93" t="s">
        <v>24</v>
      </c>
      <c r="B172" s="93" t="s">
        <v>21</v>
      </c>
      <c r="C172" s="93" t="s">
        <v>24</v>
      </c>
      <c r="E172" s="93" t="s">
        <v>24</v>
      </c>
      <c r="F172" s="809" t="str">
        <f t="shared" si="16"/>
        <v>カナディアン</v>
      </c>
      <c r="G172" s="650" t="s">
        <v>332</v>
      </c>
      <c r="H172" s="806" t="str">
        <f t="shared" si="17"/>
        <v>H:\Taniku\カナディアン</v>
      </c>
      <c r="I172" s="650"/>
      <c r="J172" s="807"/>
      <c r="K172" s="646" t="s">
        <v>27</v>
      </c>
      <c r="L172" s="646" t="s">
        <v>108</v>
      </c>
      <c r="M172" s="650"/>
      <c r="N172" s="647" t="s">
        <v>268</v>
      </c>
      <c r="O172" s="646" t="s">
        <v>231</v>
      </c>
      <c r="P172" s="649" t="s">
        <v>333</v>
      </c>
      <c r="Q172" s="808"/>
    </row>
    <row r="173" spans="1:17" ht="15" customHeight="1">
      <c r="A173" s="93" t="s">
        <v>24</v>
      </c>
      <c r="B173" s="93" t="s">
        <v>28</v>
      </c>
      <c r="E173" s="93" t="s">
        <v>24</v>
      </c>
      <c r="F173" s="809" t="str">
        <f t="shared" si="16"/>
        <v>カメレオン</v>
      </c>
      <c r="G173" s="650" t="s">
        <v>334</v>
      </c>
      <c r="H173" s="806" t="str">
        <f t="shared" si="17"/>
        <v>H:\Taniku\カメレオン</v>
      </c>
      <c r="I173" s="650"/>
      <c r="J173" s="807"/>
      <c r="K173" s="646" t="s">
        <v>20</v>
      </c>
      <c r="L173" s="646" t="s">
        <v>45</v>
      </c>
      <c r="M173" s="650"/>
      <c r="N173" s="647"/>
      <c r="O173" s="646"/>
      <c r="P173" s="649"/>
      <c r="Q173" s="808"/>
    </row>
    <row r="174" spans="1:17" ht="15" customHeight="1">
      <c r="A174" s="93" t="s">
        <v>24</v>
      </c>
      <c r="B174" s="93" t="s">
        <v>28</v>
      </c>
      <c r="E174" s="93" t="s">
        <v>24</v>
      </c>
      <c r="F174" s="809" t="str">
        <f t="shared" si="16"/>
        <v>カメレオン錦</v>
      </c>
      <c r="G174" s="650" t="s">
        <v>335</v>
      </c>
      <c r="H174" s="806" t="str">
        <f t="shared" si="17"/>
        <v>H:\Taniku\カメレオン錦</v>
      </c>
      <c r="I174" s="650"/>
      <c r="J174" s="807"/>
      <c r="K174" s="646" t="s">
        <v>27</v>
      </c>
      <c r="L174" s="646" t="s">
        <v>110</v>
      </c>
      <c r="M174" s="650"/>
      <c r="N174" s="647"/>
      <c r="O174" s="646"/>
      <c r="P174" s="649"/>
      <c r="Q174" s="808"/>
    </row>
    <row r="175" spans="1:17" ht="15" customHeight="1">
      <c r="A175" s="93" t="s">
        <v>24</v>
      </c>
      <c r="B175" s="93" t="s">
        <v>28</v>
      </c>
      <c r="E175" s="93" t="s">
        <v>24</v>
      </c>
      <c r="F175" s="809" t="str">
        <f t="shared" si="16"/>
        <v>カラスバミセバヤ</v>
      </c>
      <c r="G175" s="650" t="s">
        <v>336</v>
      </c>
      <c r="H175" s="806" t="str">
        <f t="shared" si="17"/>
        <v>H:\Taniku\カラスバミセバヤ</v>
      </c>
      <c r="I175" s="650"/>
      <c r="J175" s="807"/>
      <c r="K175" s="646" t="s">
        <v>23</v>
      </c>
      <c r="L175" s="646" t="s">
        <v>102</v>
      </c>
      <c r="M175" s="650"/>
      <c r="N175" s="647"/>
      <c r="O175" s="646"/>
      <c r="P175" s="649"/>
      <c r="Q175" s="808"/>
    </row>
    <row r="176" spans="1:17" ht="15" customHeight="1">
      <c r="A176" s="93" t="s">
        <v>24</v>
      </c>
      <c r="B176" s="93" t="s">
        <v>58</v>
      </c>
      <c r="E176" s="93" t="s">
        <v>24</v>
      </c>
      <c r="F176" s="809" t="str">
        <f t="shared" si="16"/>
        <v>カリシアショーン</v>
      </c>
      <c r="G176" s="650" t="s">
        <v>337</v>
      </c>
      <c r="H176" s="806" t="str">
        <f t="shared" si="17"/>
        <v>H:\Taniku\カリシアショーン</v>
      </c>
      <c r="I176" s="650"/>
      <c r="J176" s="807"/>
      <c r="K176" s="646" t="s">
        <v>27</v>
      </c>
      <c r="L176" s="646" t="s">
        <v>338</v>
      </c>
      <c r="M176" s="650"/>
      <c r="N176" s="647"/>
      <c r="O176" s="646"/>
      <c r="P176" s="649"/>
      <c r="Q176" s="808"/>
    </row>
    <row r="177" spans="1:17" ht="15" customHeight="1">
      <c r="A177" s="93" t="s">
        <v>24</v>
      </c>
      <c r="B177" s="93" t="s">
        <v>58</v>
      </c>
      <c r="E177" s="93" t="s">
        <v>24</v>
      </c>
      <c r="F177" s="809" t="str">
        <f t="shared" si="16"/>
        <v>カリシアロザート</v>
      </c>
      <c r="G177" s="650" t="s">
        <v>339</v>
      </c>
      <c r="H177" s="806" t="str">
        <f t="shared" si="17"/>
        <v>H:\Taniku\カリシアロザート</v>
      </c>
      <c r="I177" s="650"/>
      <c r="J177" s="807"/>
      <c r="K177" s="646" t="s">
        <v>27</v>
      </c>
      <c r="L177" s="646" t="s">
        <v>340</v>
      </c>
      <c r="M177" s="650"/>
      <c r="N177" s="647"/>
      <c r="O177" s="646"/>
      <c r="P177" s="649"/>
      <c r="Q177" s="808"/>
    </row>
    <row r="178" spans="1:17" ht="15" customHeight="1">
      <c r="A178" s="93" t="s">
        <v>24</v>
      </c>
      <c r="B178" s="93" t="s">
        <v>64</v>
      </c>
      <c r="E178" s="93" t="s">
        <v>24</v>
      </c>
      <c r="F178" s="809" t="str">
        <f t="shared" si="16"/>
        <v>カリフォルニアサンセット</v>
      </c>
      <c r="G178" s="650" t="s">
        <v>341</v>
      </c>
      <c r="H178" s="806" t="str">
        <f t="shared" si="17"/>
        <v>H:\Taniku\カリフォルニアサンセット</v>
      </c>
      <c r="I178" s="650"/>
      <c r="J178" s="807"/>
      <c r="K178" s="646" t="s">
        <v>30</v>
      </c>
      <c r="L178" s="646" t="s">
        <v>129</v>
      </c>
      <c r="M178" s="650"/>
      <c r="N178" s="647" t="s">
        <v>263</v>
      </c>
      <c r="O178" s="646" t="s">
        <v>163</v>
      </c>
      <c r="P178" s="649" t="s">
        <v>300</v>
      </c>
      <c r="Q178" s="808"/>
    </row>
    <row r="179" spans="1:17" ht="15" customHeight="1" thickBot="1">
      <c r="A179" s="93" t="s">
        <v>342</v>
      </c>
      <c r="B179" s="93" t="s">
        <v>21</v>
      </c>
      <c r="C179" s="93" t="s">
        <v>24</v>
      </c>
      <c r="E179" s="93" t="s">
        <v>24</v>
      </c>
      <c r="F179" s="810" t="str">
        <f t="shared" si="16"/>
        <v>カンテ</v>
      </c>
      <c r="G179" s="811" t="s">
        <v>343</v>
      </c>
      <c r="H179" s="812" t="str">
        <f t="shared" si="17"/>
        <v>H:\Taniku\カンテ</v>
      </c>
      <c r="I179" s="650"/>
      <c r="J179" s="813"/>
      <c r="K179" s="814" t="s">
        <v>23</v>
      </c>
      <c r="L179" s="814" t="s">
        <v>72</v>
      </c>
      <c r="M179" s="811"/>
      <c r="N179" s="815"/>
      <c r="O179" s="814"/>
      <c r="P179" s="816"/>
      <c r="Q179" s="817"/>
    </row>
    <row r="180" spans="1:17" ht="15" customHeight="1" thickTop="1">
      <c r="B180" s="262" t="s">
        <v>12</v>
      </c>
      <c r="C180" s="262" t="s">
        <v>12</v>
      </c>
      <c r="D180" s="262"/>
      <c r="E180" s="262" t="s">
        <v>12</v>
      </c>
      <c r="F180" s="650"/>
      <c r="G180" s="650"/>
      <c r="H180" s="646"/>
      <c r="I180" s="650"/>
      <c r="J180" s="646"/>
      <c r="K180" s="646"/>
      <c r="L180" s="646"/>
      <c r="M180" s="650"/>
      <c r="N180" s="647"/>
      <c r="O180" s="646"/>
      <c r="P180" s="649"/>
      <c r="Q180" s="650"/>
    </row>
    <row r="181" spans="1:17" ht="15" customHeight="1" thickBot="1">
      <c r="B181" s="262" t="s">
        <v>12</v>
      </c>
      <c r="C181" s="262" t="s">
        <v>12</v>
      </c>
      <c r="D181" s="262"/>
      <c r="E181" s="262" t="s">
        <v>12</v>
      </c>
      <c r="F181" s="818" t="s">
        <v>344</v>
      </c>
      <c r="G181" s="818"/>
      <c r="H181" s="646"/>
      <c r="I181" s="818"/>
      <c r="J181" s="646"/>
      <c r="K181" s="646"/>
      <c r="L181" s="646"/>
      <c r="M181" s="818"/>
      <c r="N181" s="647"/>
      <c r="O181" s="819"/>
      <c r="P181" s="649"/>
      <c r="Q181" s="650"/>
    </row>
    <row r="182" spans="1:17" ht="15" customHeight="1" thickTop="1">
      <c r="A182" s="93" t="s">
        <v>24</v>
      </c>
      <c r="B182" s="93" t="s">
        <v>21</v>
      </c>
      <c r="E182" s="93" t="s">
        <v>24</v>
      </c>
      <c r="F182" s="820" t="str">
        <f t="shared" ref="F182:F192" si="18">HYPERLINK(H182,G182)</f>
        <v>キャラメルスプライト</v>
      </c>
      <c r="G182" s="821" t="s">
        <v>345</v>
      </c>
      <c r="H182" s="822" t="str">
        <f t="shared" ref="H182:H192" si="19">CONCATENATE("H:\Taniku\",G182)</f>
        <v>H:\Taniku\キャラメルスプライト</v>
      </c>
      <c r="I182" s="650"/>
      <c r="J182" s="823"/>
      <c r="K182" s="824" t="s">
        <v>23</v>
      </c>
      <c r="L182" s="824" t="s">
        <v>55</v>
      </c>
      <c r="M182" s="821"/>
      <c r="N182" s="825" t="s">
        <v>268</v>
      </c>
      <c r="O182" s="824" t="s">
        <v>231</v>
      </c>
      <c r="P182" s="826" t="s">
        <v>346</v>
      </c>
      <c r="Q182" s="827"/>
    </row>
    <row r="183" spans="1:17" ht="15" customHeight="1">
      <c r="A183" s="93" t="s">
        <v>24</v>
      </c>
      <c r="B183" s="93" t="s">
        <v>21</v>
      </c>
      <c r="E183" s="93" t="s">
        <v>24</v>
      </c>
      <c r="F183" s="828" t="str">
        <f t="shared" si="18"/>
        <v>キャラリアン</v>
      </c>
      <c r="G183" s="650" t="s">
        <v>347</v>
      </c>
      <c r="H183" s="829" t="str">
        <f t="shared" si="19"/>
        <v>H:\Taniku\キャラリアン</v>
      </c>
      <c r="I183" s="650"/>
      <c r="J183" s="830"/>
      <c r="K183" s="646" t="s">
        <v>27</v>
      </c>
      <c r="L183" s="646" t="s">
        <v>108</v>
      </c>
      <c r="M183" s="650"/>
      <c r="N183" s="647"/>
      <c r="O183" s="646"/>
      <c r="P183" s="649"/>
      <c r="Q183" s="831"/>
    </row>
    <row r="184" spans="1:17" ht="15" customHeight="1">
      <c r="A184" s="93" t="s">
        <v>24</v>
      </c>
      <c r="B184" s="93" t="s">
        <v>21</v>
      </c>
      <c r="E184" s="93" t="s">
        <v>24</v>
      </c>
      <c r="F184" s="828" t="str">
        <f t="shared" si="18"/>
        <v>キュービックフロスト</v>
      </c>
      <c r="G184" s="650" t="s">
        <v>348</v>
      </c>
      <c r="H184" s="829" t="str">
        <f t="shared" si="19"/>
        <v>H:\Taniku\キュービックフロスト</v>
      </c>
      <c r="I184" s="650"/>
      <c r="J184" s="830" t="s">
        <v>320</v>
      </c>
      <c r="K184" s="646"/>
      <c r="L184" s="646"/>
      <c r="M184" s="650"/>
      <c r="N184" s="647" t="s">
        <v>349</v>
      </c>
      <c r="O184" s="646" t="s">
        <v>163</v>
      </c>
      <c r="P184" s="649" t="s">
        <v>350</v>
      </c>
      <c r="Q184" s="831"/>
    </row>
    <row r="185" spans="1:17" ht="15" customHeight="1">
      <c r="A185" s="93" t="s">
        <v>24</v>
      </c>
      <c r="B185" s="93" t="s">
        <v>28</v>
      </c>
      <c r="E185" s="93" t="s">
        <v>24</v>
      </c>
      <c r="F185" s="828" t="str">
        <f t="shared" si="18"/>
        <v>キリンソウ</v>
      </c>
      <c r="G185" s="650" t="s">
        <v>351</v>
      </c>
      <c r="H185" s="829" t="str">
        <f t="shared" si="19"/>
        <v>H:\Taniku\キリンソウ</v>
      </c>
      <c r="I185" s="650"/>
      <c r="J185" s="830"/>
      <c r="K185" s="646" t="s">
        <v>23</v>
      </c>
      <c r="L185" s="646" t="s">
        <v>55</v>
      </c>
      <c r="M185" s="650"/>
      <c r="N185" s="647"/>
      <c r="O185" s="646"/>
      <c r="P185" s="649"/>
      <c r="Q185" s="831"/>
    </row>
    <row r="186" spans="1:17" ht="15" customHeight="1">
      <c r="A186" s="93" t="s">
        <v>24</v>
      </c>
      <c r="B186" s="93" t="s">
        <v>21</v>
      </c>
      <c r="E186" s="93" t="s">
        <v>24</v>
      </c>
      <c r="F186" s="828" t="str">
        <f t="shared" si="18"/>
        <v>ギルバ</v>
      </c>
      <c r="G186" s="650" t="s">
        <v>352</v>
      </c>
      <c r="H186" s="829" t="str">
        <f t="shared" si="19"/>
        <v>H:\Taniku\ギルバ</v>
      </c>
      <c r="I186" s="650"/>
      <c r="J186" s="830"/>
      <c r="K186" s="646" t="s">
        <v>20</v>
      </c>
      <c r="L186" s="646" t="s">
        <v>49</v>
      </c>
      <c r="M186" s="650"/>
      <c r="N186" s="647" t="s">
        <v>214</v>
      </c>
      <c r="O186" s="646" t="s">
        <v>163</v>
      </c>
      <c r="P186" s="649" t="s">
        <v>238</v>
      </c>
      <c r="Q186" s="831"/>
    </row>
    <row r="187" spans="1:17" ht="15" customHeight="1">
      <c r="A187" s="93" t="s">
        <v>24</v>
      </c>
      <c r="B187" s="93" t="s">
        <v>21</v>
      </c>
      <c r="E187" s="93" t="s">
        <v>24</v>
      </c>
      <c r="F187" s="828" t="str">
        <f t="shared" si="18"/>
        <v>ギルバノバラ</v>
      </c>
      <c r="G187" s="650" t="s">
        <v>353</v>
      </c>
      <c r="H187" s="829" t="str">
        <f t="shared" si="19"/>
        <v>H:\Taniku\ギルバノバラ</v>
      </c>
      <c r="I187" s="650"/>
      <c r="J187" s="830"/>
      <c r="K187" s="646" t="s">
        <v>23</v>
      </c>
      <c r="L187" s="646" t="s">
        <v>354</v>
      </c>
      <c r="M187" s="650"/>
      <c r="N187" s="647" t="s">
        <v>352</v>
      </c>
      <c r="O187" s="646" t="s">
        <v>163</v>
      </c>
      <c r="P187" s="649" t="s">
        <v>355</v>
      </c>
      <c r="Q187" s="831"/>
    </row>
    <row r="188" spans="1:17" ht="15" customHeight="1">
      <c r="A188" s="443" t="s">
        <v>15</v>
      </c>
      <c r="B188" s="93" t="s">
        <v>21</v>
      </c>
      <c r="E188" s="93" t="s">
        <v>24</v>
      </c>
      <c r="F188" s="832" t="str">
        <f t="shared" si="18"/>
        <v>ギロxヒューミリスHyb</v>
      </c>
      <c r="G188" s="650" t="s">
        <v>356</v>
      </c>
      <c r="H188" s="829" t="str">
        <f t="shared" si="19"/>
        <v>H:\Taniku\ギロxヒューミリスHyb</v>
      </c>
      <c r="I188" s="650"/>
      <c r="J188" s="830"/>
      <c r="K188" s="646" t="s">
        <v>23</v>
      </c>
      <c r="L188" s="646" t="s">
        <v>81</v>
      </c>
      <c r="M188" s="650"/>
      <c r="N188" s="647"/>
      <c r="O188" s="646"/>
      <c r="P188" s="649"/>
      <c r="Q188" s="831"/>
    </row>
    <row r="189" spans="1:17" ht="15" customHeight="1">
      <c r="A189" s="93" t="s">
        <v>24</v>
      </c>
      <c r="B189" s="93" t="s">
        <v>21</v>
      </c>
      <c r="E189" s="93" t="s">
        <v>24</v>
      </c>
      <c r="F189" s="832" t="str">
        <f t="shared" si="18"/>
        <v>キングミダス</v>
      </c>
      <c r="G189" s="650" t="s">
        <v>357</v>
      </c>
      <c r="H189" s="829" t="str">
        <f t="shared" si="19"/>
        <v>H:\Taniku\キングミダス</v>
      </c>
      <c r="I189" s="650"/>
      <c r="J189" s="830"/>
      <c r="K189" s="646" t="s">
        <v>27</v>
      </c>
      <c r="L189" s="646" t="s">
        <v>106</v>
      </c>
      <c r="M189" s="650"/>
      <c r="N189" s="647"/>
      <c r="O189" s="646"/>
      <c r="P189" s="649"/>
      <c r="Q189" s="831"/>
    </row>
    <row r="190" spans="1:17" ht="15" customHeight="1">
      <c r="A190" s="93" t="s">
        <v>24</v>
      </c>
      <c r="B190" s="93" t="s">
        <v>31</v>
      </c>
      <c r="E190" s="93" t="s">
        <v>24</v>
      </c>
      <c r="F190" s="828" t="str">
        <f t="shared" si="18"/>
        <v>銀箭</v>
      </c>
      <c r="G190" s="650" t="s">
        <v>358</v>
      </c>
      <c r="H190" s="829" t="str">
        <f t="shared" si="19"/>
        <v>H:\Taniku\銀箭</v>
      </c>
      <c r="I190" s="650"/>
      <c r="J190" s="830"/>
      <c r="K190" s="646" t="s">
        <v>23</v>
      </c>
      <c r="L190" s="646" t="s">
        <v>63</v>
      </c>
      <c r="M190" s="650"/>
      <c r="N190" s="647"/>
      <c r="O190" s="646"/>
      <c r="P190" s="649"/>
      <c r="Q190" s="831"/>
    </row>
    <row r="191" spans="1:17" ht="15" customHeight="1">
      <c r="A191" s="93" t="s">
        <v>24</v>
      </c>
      <c r="B191" s="93" t="s">
        <v>21</v>
      </c>
      <c r="E191" s="93" t="s">
        <v>24</v>
      </c>
      <c r="F191" s="832" t="str">
        <f t="shared" si="18"/>
        <v>銀明色</v>
      </c>
      <c r="G191" s="650" t="s">
        <v>359</v>
      </c>
      <c r="H191" s="829" t="str">
        <f t="shared" si="19"/>
        <v>H:\Taniku\銀明色</v>
      </c>
      <c r="I191" s="650"/>
      <c r="J191" s="830"/>
      <c r="K191" s="646" t="s">
        <v>23</v>
      </c>
      <c r="L191" s="646" t="s">
        <v>75</v>
      </c>
      <c r="M191" s="650"/>
      <c r="N191" s="647" t="s">
        <v>268</v>
      </c>
      <c r="O191" s="646" t="s">
        <v>231</v>
      </c>
      <c r="P191" s="649" t="s">
        <v>360</v>
      </c>
      <c r="Q191" s="831"/>
    </row>
    <row r="192" spans="1:17" ht="15" customHeight="1" thickBot="1">
      <c r="A192" s="93" t="s">
        <v>17</v>
      </c>
      <c r="B192" s="93" t="s">
        <v>21</v>
      </c>
      <c r="E192" s="93" t="s">
        <v>24</v>
      </c>
      <c r="F192" s="833" t="str">
        <f t="shared" si="18"/>
        <v>銀武源</v>
      </c>
      <c r="G192" s="834" t="s">
        <v>361</v>
      </c>
      <c r="H192" s="835" t="str">
        <f t="shared" si="19"/>
        <v>H:\Taniku\銀武源</v>
      </c>
      <c r="I192" s="650"/>
      <c r="J192" s="836"/>
      <c r="K192" s="837" t="s">
        <v>27</v>
      </c>
      <c r="L192" s="837" t="s">
        <v>124</v>
      </c>
      <c r="M192" s="834"/>
      <c r="N192" s="838" t="s">
        <v>359</v>
      </c>
      <c r="O192" s="837" t="s">
        <v>163</v>
      </c>
      <c r="P192" s="839" t="s">
        <v>362</v>
      </c>
      <c r="Q192" s="840"/>
    </row>
    <row r="193" spans="1:17" ht="15" customHeight="1" thickTop="1">
      <c r="B193" s="262" t="s">
        <v>12</v>
      </c>
      <c r="C193" s="262" t="s">
        <v>12</v>
      </c>
      <c r="D193" s="262"/>
      <c r="E193" s="262" t="s">
        <v>12</v>
      </c>
      <c r="F193" s="650"/>
      <c r="G193" s="650"/>
      <c r="H193" s="646"/>
      <c r="I193" s="650"/>
      <c r="J193" s="646"/>
      <c r="K193" s="646"/>
      <c r="L193" s="646"/>
      <c r="M193" s="650"/>
      <c r="N193" s="647"/>
      <c r="O193" s="646"/>
      <c r="P193" s="649"/>
      <c r="Q193" s="650"/>
    </row>
    <row r="194" spans="1:17" ht="15" customHeight="1" thickBot="1">
      <c r="B194" s="262" t="s">
        <v>12</v>
      </c>
      <c r="C194" s="262" t="s">
        <v>12</v>
      </c>
      <c r="D194" s="262"/>
      <c r="E194" s="262" t="s">
        <v>12</v>
      </c>
      <c r="F194" s="841" t="s">
        <v>363</v>
      </c>
      <c r="G194" s="841"/>
      <c r="H194" s="646"/>
      <c r="I194" s="841"/>
      <c r="J194" s="646"/>
      <c r="K194" s="646"/>
      <c r="L194" s="646"/>
      <c r="M194" s="841"/>
      <c r="N194" s="647"/>
      <c r="O194" s="842"/>
      <c r="P194" s="649"/>
      <c r="Q194" s="650"/>
    </row>
    <row r="195" spans="1:17" ht="15" customHeight="1" thickTop="1">
      <c r="A195" s="93" t="s">
        <v>24</v>
      </c>
      <c r="B195" s="93" t="s">
        <v>56</v>
      </c>
      <c r="E195" s="93" t="s">
        <v>24</v>
      </c>
      <c r="F195" s="843" t="str">
        <f t="shared" ref="F195:F211" si="20">HYPERLINK(H195,G195)</f>
        <v>熊童子錦</v>
      </c>
      <c r="G195" s="844" t="s">
        <v>364</v>
      </c>
      <c r="H195" s="845" t="str">
        <f>CONCATENATE("H:\Taniku\",G195)</f>
        <v>H:\Taniku\熊童子錦</v>
      </c>
      <c r="I195" s="650"/>
      <c r="J195" s="846"/>
      <c r="K195" s="847" t="s">
        <v>23</v>
      </c>
      <c r="L195" s="847" t="s">
        <v>55</v>
      </c>
      <c r="M195" s="844"/>
      <c r="N195" s="848"/>
      <c r="O195" s="847"/>
      <c r="P195" s="849"/>
      <c r="Q195" s="850"/>
    </row>
    <row r="196" spans="1:17" ht="15" customHeight="1">
      <c r="A196" s="443" t="s">
        <v>15</v>
      </c>
      <c r="B196" s="93" t="s">
        <v>21</v>
      </c>
      <c r="D196" s="93" t="s">
        <v>24</v>
      </c>
      <c r="E196" s="93" t="s">
        <v>24</v>
      </c>
      <c r="F196" s="851" t="str">
        <f t="shared" si="20"/>
        <v>クスピダータ ピンクフォーム</v>
      </c>
      <c r="G196" s="650" t="s">
        <v>365</v>
      </c>
      <c r="H196" s="852" t="str">
        <f>CONCATENATE("H:\Taniku\",G196)</f>
        <v>H:\Taniku\クスピダータ ピンクフォーム</v>
      </c>
      <c r="I196" s="650"/>
      <c r="J196" s="853" t="s">
        <v>366</v>
      </c>
      <c r="K196" s="646" t="s">
        <v>23</v>
      </c>
      <c r="L196" s="646" t="s">
        <v>90</v>
      </c>
      <c r="M196" s="650"/>
      <c r="N196" s="647"/>
      <c r="O196" s="646"/>
      <c r="P196" s="649"/>
      <c r="Q196" s="854"/>
    </row>
    <row r="197" spans="1:17" ht="15" customHeight="1">
      <c r="A197" s="93" t="s">
        <v>24</v>
      </c>
      <c r="B197" s="93" t="s">
        <v>21</v>
      </c>
      <c r="D197" s="93" t="s">
        <v>24</v>
      </c>
      <c r="E197" s="93" t="s">
        <v>24</v>
      </c>
      <c r="F197" s="855" t="str">
        <f t="shared" si="20"/>
        <v>久米の里</v>
      </c>
      <c r="G197" s="650" t="s">
        <v>367</v>
      </c>
      <c r="H197" s="852" t="str">
        <f>CONCATENATE("H:\Taniku\",G197)</f>
        <v>H:\Taniku\久米の里</v>
      </c>
      <c r="I197" s="650"/>
      <c r="J197" s="853"/>
      <c r="K197" s="646" t="s">
        <v>30</v>
      </c>
      <c r="L197" s="646" t="s">
        <v>129</v>
      </c>
      <c r="M197" s="650"/>
      <c r="N197" s="647" t="s">
        <v>368</v>
      </c>
      <c r="O197" s="646" t="s">
        <v>163</v>
      </c>
      <c r="P197" s="649" t="s">
        <v>359</v>
      </c>
      <c r="Q197" s="854"/>
    </row>
    <row r="198" spans="1:17" ht="15" customHeight="1">
      <c r="A198" s="93" t="s">
        <v>24</v>
      </c>
      <c r="B198" s="93" t="s">
        <v>28</v>
      </c>
      <c r="E198" s="93" t="s">
        <v>24</v>
      </c>
      <c r="F198" s="855" t="str">
        <f t="shared" si="20"/>
        <v>グラウコフィラム</v>
      </c>
      <c r="G198" s="650" t="s">
        <v>369</v>
      </c>
      <c r="H198" s="852" t="s">
        <v>370</v>
      </c>
      <c r="I198" s="650"/>
      <c r="J198" s="853"/>
      <c r="K198" s="646" t="s">
        <v>20</v>
      </c>
      <c r="L198" s="646" t="s">
        <v>45</v>
      </c>
      <c r="M198" s="650"/>
      <c r="N198" s="647" t="s">
        <v>371</v>
      </c>
      <c r="O198" s="646" t="s">
        <v>215</v>
      </c>
      <c r="P198" s="649" t="s">
        <v>28</v>
      </c>
      <c r="Q198" s="854"/>
    </row>
    <row r="199" spans="1:17" ht="15" customHeight="1">
      <c r="A199" s="93" t="s">
        <v>17</v>
      </c>
      <c r="B199" s="93" t="s">
        <v>31</v>
      </c>
      <c r="E199" s="93" t="s">
        <v>24</v>
      </c>
      <c r="F199" s="855" t="str">
        <f t="shared" si="20"/>
        <v>クラッスラ</v>
      </c>
      <c r="G199" s="650" t="s">
        <v>31</v>
      </c>
      <c r="H199" s="852" t="str">
        <f t="shared" ref="H199:H211" si="21">CONCATENATE("H:\Taniku\",G199)</f>
        <v>H:\Taniku\クラッスラ</v>
      </c>
      <c r="I199" s="650"/>
      <c r="J199" s="853"/>
      <c r="K199" s="646" t="s">
        <v>20</v>
      </c>
      <c r="L199" s="646" t="s">
        <v>45</v>
      </c>
      <c r="M199" s="650"/>
      <c r="N199" s="647" t="s">
        <v>372</v>
      </c>
      <c r="O199" s="646" t="s">
        <v>373</v>
      </c>
      <c r="P199" s="649" t="s">
        <v>374</v>
      </c>
      <c r="Q199" s="854"/>
    </row>
    <row r="200" spans="1:17" ht="15" customHeight="1">
      <c r="A200" s="93" t="s">
        <v>24</v>
      </c>
      <c r="B200" s="93" t="s">
        <v>28</v>
      </c>
      <c r="E200" s="93" t="s">
        <v>24</v>
      </c>
      <c r="F200" s="855" t="str">
        <f t="shared" si="20"/>
        <v>クラバツム</v>
      </c>
      <c r="G200" s="650" t="s">
        <v>375</v>
      </c>
      <c r="H200" s="852" t="str">
        <f t="shared" si="21"/>
        <v>H:\Taniku\クラバツム</v>
      </c>
      <c r="I200" s="650"/>
      <c r="J200" s="853"/>
      <c r="K200" s="646" t="s">
        <v>23</v>
      </c>
      <c r="L200" s="646" t="s">
        <v>55</v>
      </c>
      <c r="M200" s="650"/>
      <c r="N200" s="647" t="s">
        <v>376</v>
      </c>
      <c r="O200" s="646" t="s">
        <v>231</v>
      </c>
      <c r="P200" s="649" t="s">
        <v>377</v>
      </c>
      <c r="Q200" s="854"/>
    </row>
    <row r="201" spans="1:17" ht="15" customHeight="1">
      <c r="A201" s="93" t="s">
        <v>17</v>
      </c>
      <c r="B201" s="260" t="s">
        <v>42</v>
      </c>
      <c r="E201" s="93" t="s">
        <v>24</v>
      </c>
      <c r="F201" s="855" t="str">
        <f t="shared" si="20"/>
        <v>グラプトペタルム</v>
      </c>
      <c r="G201" s="650" t="s">
        <v>42</v>
      </c>
      <c r="H201" s="852" t="str">
        <f t="shared" si="21"/>
        <v>H:\Taniku\グラプトペタルム</v>
      </c>
      <c r="I201" s="650"/>
      <c r="J201" s="853"/>
      <c r="K201" s="646" t="s">
        <v>20</v>
      </c>
      <c r="L201" s="646" t="s">
        <v>45</v>
      </c>
      <c r="M201" s="650"/>
      <c r="N201" s="647" t="s">
        <v>372</v>
      </c>
      <c r="O201" s="646" t="s">
        <v>373</v>
      </c>
      <c r="P201" s="649" t="s">
        <v>374</v>
      </c>
      <c r="Q201" s="854"/>
    </row>
    <row r="202" spans="1:17" ht="15" customHeight="1">
      <c r="A202" s="93" t="s">
        <v>24</v>
      </c>
      <c r="B202" s="93" t="s">
        <v>21</v>
      </c>
      <c r="E202" s="93" t="s">
        <v>24</v>
      </c>
      <c r="F202" s="855" t="str">
        <f t="shared" si="20"/>
        <v>クララ</v>
      </c>
      <c r="G202" s="650" t="s">
        <v>378</v>
      </c>
      <c r="H202" s="852" t="str">
        <f t="shared" si="21"/>
        <v>H:\Taniku\クララ</v>
      </c>
      <c r="I202" s="650"/>
      <c r="J202" s="853"/>
      <c r="K202" s="646" t="s">
        <v>23</v>
      </c>
      <c r="L202" s="646" t="s">
        <v>55</v>
      </c>
      <c r="M202" s="650"/>
      <c r="N202" s="647"/>
      <c r="O202" s="646"/>
      <c r="P202" s="649"/>
      <c r="Q202" s="854"/>
    </row>
    <row r="203" spans="1:17" ht="15" customHeight="1">
      <c r="A203" s="93" t="s">
        <v>24</v>
      </c>
      <c r="B203" s="93" t="s">
        <v>28</v>
      </c>
      <c r="E203" s="93" t="s">
        <v>24</v>
      </c>
      <c r="F203" s="855" t="str">
        <f t="shared" si="20"/>
        <v>クリームソーダ</v>
      </c>
      <c r="G203" s="650" t="s">
        <v>379</v>
      </c>
      <c r="H203" s="852" t="str">
        <f t="shared" si="21"/>
        <v>H:\Taniku\クリームソーダ</v>
      </c>
      <c r="I203" s="650"/>
      <c r="J203" s="853"/>
      <c r="K203" s="646"/>
      <c r="L203" s="646"/>
      <c r="M203" s="650"/>
      <c r="N203" s="647" t="s">
        <v>380</v>
      </c>
      <c r="O203" s="646" t="s">
        <v>215</v>
      </c>
      <c r="P203" s="649" t="s">
        <v>246</v>
      </c>
      <c r="Q203" s="854"/>
    </row>
    <row r="204" spans="1:17" ht="15" customHeight="1">
      <c r="A204" s="93" t="s">
        <v>24</v>
      </c>
      <c r="B204" s="93" t="s">
        <v>21</v>
      </c>
      <c r="E204" s="93" t="s">
        <v>24</v>
      </c>
      <c r="F204" s="855" t="str">
        <f t="shared" si="20"/>
        <v>クリームティー</v>
      </c>
      <c r="G204" s="650" t="s">
        <v>381</v>
      </c>
      <c r="H204" s="852" t="str">
        <f t="shared" si="21"/>
        <v>H:\Taniku\クリームティー</v>
      </c>
      <c r="I204" s="650"/>
      <c r="J204" s="853"/>
      <c r="K204" s="646" t="s">
        <v>27</v>
      </c>
      <c r="L204" s="646" t="s">
        <v>44</v>
      </c>
      <c r="M204" s="650"/>
      <c r="N204" s="647" t="s">
        <v>237</v>
      </c>
      <c r="O204" s="646" t="s">
        <v>163</v>
      </c>
      <c r="P204" s="649" t="s">
        <v>382</v>
      </c>
      <c r="Q204" s="854"/>
    </row>
    <row r="205" spans="1:17" ht="15" customHeight="1">
      <c r="A205" s="93" t="s">
        <v>17</v>
      </c>
      <c r="B205" s="93" t="s">
        <v>21</v>
      </c>
      <c r="E205" s="93" t="s">
        <v>24</v>
      </c>
      <c r="F205" s="855" t="str">
        <f t="shared" si="20"/>
        <v>クリームローズ</v>
      </c>
      <c r="G205" s="650" t="s">
        <v>383</v>
      </c>
      <c r="H205" s="852" t="str">
        <f t="shared" si="21"/>
        <v>H:\Taniku\クリームローズ</v>
      </c>
      <c r="I205" s="650"/>
      <c r="J205" s="853"/>
      <c r="K205" s="646" t="s">
        <v>27</v>
      </c>
      <c r="L205" s="646" t="s">
        <v>106</v>
      </c>
      <c r="M205" s="650"/>
      <c r="N205" s="647"/>
      <c r="O205" s="646"/>
      <c r="P205" s="649"/>
      <c r="Q205" s="854"/>
    </row>
    <row r="206" spans="1:17" ht="15" customHeight="1">
      <c r="A206" s="93" t="s">
        <v>24</v>
      </c>
      <c r="B206" s="93" t="s">
        <v>50</v>
      </c>
      <c r="E206" s="93" t="s">
        <v>24</v>
      </c>
      <c r="F206" s="855" t="str">
        <f t="shared" si="20"/>
        <v>グリーンネックレス</v>
      </c>
      <c r="G206" s="650" t="s">
        <v>384</v>
      </c>
      <c r="H206" s="852" t="str">
        <f t="shared" si="21"/>
        <v>H:\Taniku\グリーンネックレス</v>
      </c>
      <c r="I206" s="650"/>
      <c r="J206" s="853"/>
      <c r="K206" s="646" t="s">
        <v>23</v>
      </c>
      <c r="L206" s="646" t="s">
        <v>55</v>
      </c>
      <c r="M206" s="650"/>
      <c r="N206" s="647" t="s">
        <v>385</v>
      </c>
      <c r="O206" s="646" t="s">
        <v>215</v>
      </c>
      <c r="P206" s="649" t="s">
        <v>386</v>
      </c>
      <c r="Q206" s="854"/>
    </row>
    <row r="207" spans="1:17" ht="15" customHeight="1">
      <c r="A207" s="93" t="s">
        <v>24</v>
      </c>
      <c r="B207" s="93" t="s">
        <v>21</v>
      </c>
      <c r="E207" s="93" t="s">
        <v>24</v>
      </c>
      <c r="F207" s="855" t="str">
        <f t="shared" si="20"/>
        <v>クリスタルローズ</v>
      </c>
      <c r="G207" s="650" t="s">
        <v>387</v>
      </c>
      <c r="H207" s="852" t="str">
        <f t="shared" si="21"/>
        <v>H:\Taniku\クリスタルローズ</v>
      </c>
      <c r="I207" s="650"/>
      <c r="J207" s="853"/>
      <c r="K207" s="646" t="s">
        <v>27</v>
      </c>
      <c r="L207" s="646" t="s">
        <v>108</v>
      </c>
      <c r="M207" s="650"/>
      <c r="N207" s="647"/>
      <c r="O207" s="646"/>
      <c r="P207" s="649"/>
      <c r="Q207" s="854"/>
    </row>
    <row r="208" spans="1:17" ht="15" customHeight="1">
      <c r="A208" s="93" t="s">
        <v>24</v>
      </c>
      <c r="B208" s="93" t="s">
        <v>21</v>
      </c>
      <c r="E208" s="93" t="s">
        <v>24</v>
      </c>
      <c r="F208" s="855" t="str">
        <f t="shared" si="20"/>
        <v>クリスベートビューティー</v>
      </c>
      <c r="G208" s="650" t="s">
        <v>388</v>
      </c>
      <c r="H208" s="852" t="str">
        <f t="shared" si="21"/>
        <v>H:\Taniku\クリスベートビューティー</v>
      </c>
      <c r="I208" s="650"/>
      <c r="J208" s="853"/>
      <c r="K208" s="646" t="s">
        <v>27</v>
      </c>
      <c r="L208" s="646" t="s">
        <v>114</v>
      </c>
      <c r="M208" s="650"/>
      <c r="N208" s="647" t="s">
        <v>196</v>
      </c>
      <c r="O208" s="646" t="s">
        <v>215</v>
      </c>
      <c r="P208" s="649" t="s">
        <v>389</v>
      </c>
      <c r="Q208" s="854"/>
    </row>
    <row r="209" spans="1:17" ht="15" customHeight="1">
      <c r="A209" s="93" t="s">
        <v>24</v>
      </c>
      <c r="B209" s="93" t="s">
        <v>21</v>
      </c>
      <c r="E209" s="93" t="s">
        <v>24</v>
      </c>
      <c r="F209" s="855" t="str">
        <f t="shared" si="20"/>
        <v>クレヨン</v>
      </c>
      <c r="G209" s="650" t="s">
        <v>390</v>
      </c>
      <c r="H209" s="852" t="str">
        <f t="shared" si="21"/>
        <v>H:\Taniku\クレヨン</v>
      </c>
      <c r="I209" s="650"/>
      <c r="J209" s="853"/>
      <c r="K209" s="646" t="s">
        <v>27</v>
      </c>
      <c r="L209" s="646" t="s">
        <v>44</v>
      </c>
      <c r="M209" s="650"/>
      <c r="N209" s="647"/>
      <c r="O209" s="646"/>
      <c r="P209" s="649"/>
      <c r="Q209" s="854"/>
    </row>
    <row r="210" spans="1:17" ht="15" customHeight="1">
      <c r="A210" s="443" t="s">
        <v>15</v>
      </c>
      <c r="B210" s="93" t="s">
        <v>21</v>
      </c>
      <c r="E210" s="93" t="s">
        <v>24</v>
      </c>
      <c r="F210" s="855" t="str">
        <f t="shared" si="20"/>
        <v>黒バラHyb</v>
      </c>
      <c r="G210" s="650" t="s">
        <v>391</v>
      </c>
      <c r="H210" s="852" t="str">
        <f t="shared" si="21"/>
        <v>H:\Taniku\黒バラHyb</v>
      </c>
      <c r="I210" s="650"/>
      <c r="J210" s="853"/>
      <c r="K210" s="646" t="s">
        <v>23</v>
      </c>
      <c r="L210" s="646" t="s">
        <v>60</v>
      </c>
      <c r="M210" s="650"/>
      <c r="N210" s="647"/>
      <c r="O210" s="646"/>
      <c r="P210" s="649"/>
      <c r="Q210" s="854"/>
    </row>
    <row r="211" spans="1:17" ht="15" customHeight="1" thickBot="1">
      <c r="A211" s="93" t="s">
        <v>24</v>
      </c>
      <c r="B211" s="93" t="s">
        <v>21</v>
      </c>
      <c r="D211" s="93" t="s">
        <v>24</v>
      </c>
      <c r="E211" s="93" t="s">
        <v>24</v>
      </c>
      <c r="F211" s="856" t="str">
        <f t="shared" si="20"/>
        <v>群月花</v>
      </c>
      <c r="G211" s="857" t="s">
        <v>392</v>
      </c>
      <c r="H211" s="858" t="str">
        <f t="shared" si="21"/>
        <v>H:\Taniku\群月花</v>
      </c>
      <c r="I211" s="650"/>
      <c r="J211" s="859"/>
      <c r="K211" s="860" t="s">
        <v>30</v>
      </c>
      <c r="L211" s="860" t="s">
        <v>129</v>
      </c>
      <c r="M211" s="857"/>
      <c r="N211" s="861"/>
      <c r="O211" s="860"/>
      <c r="P211" s="862"/>
      <c r="Q211" s="863"/>
    </row>
    <row r="212" spans="1:17" ht="15" customHeight="1" thickTop="1">
      <c r="B212" s="262" t="s">
        <v>12</v>
      </c>
      <c r="C212" s="262" t="s">
        <v>12</v>
      </c>
      <c r="D212" s="262"/>
      <c r="E212" s="262" t="s">
        <v>12</v>
      </c>
      <c r="F212" s="650"/>
      <c r="G212" s="650"/>
      <c r="H212" s="646"/>
      <c r="I212" s="650"/>
      <c r="J212" s="646"/>
      <c r="K212" s="646"/>
      <c r="L212" s="646"/>
      <c r="M212" s="650"/>
      <c r="N212" s="647"/>
      <c r="O212" s="646"/>
      <c r="P212" s="649"/>
      <c r="Q212" s="650"/>
    </row>
    <row r="213" spans="1:17" ht="15" customHeight="1" thickBot="1">
      <c r="B213" s="262" t="s">
        <v>12</v>
      </c>
      <c r="C213" s="262" t="s">
        <v>12</v>
      </c>
      <c r="D213" s="262"/>
      <c r="E213" s="262" t="s">
        <v>12</v>
      </c>
      <c r="F213" s="864" t="s">
        <v>393</v>
      </c>
      <c r="G213" s="864"/>
      <c r="H213" s="646"/>
      <c r="I213" s="864"/>
      <c r="J213" s="646"/>
      <c r="K213" s="646"/>
      <c r="L213" s="646"/>
      <c r="M213" s="864"/>
      <c r="N213" s="647"/>
      <c r="O213" s="865"/>
      <c r="P213" s="649"/>
      <c r="Q213" s="650"/>
    </row>
    <row r="214" spans="1:17" ht="15" customHeight="1" thickTop="1">
      <c r="A214" s="93" t="s">
        <v>24</v>
      </c>
      <c r="B214" s="93" t="s">
        <v>53</v>
      </c>
      <c r="E214" s="93" t="s">
        <v>24</v>
      </c>
      <c r="F214" s="866" t="str">
        <f>HYPERLINK(H214,G214)</f>
        <v>月花美人</v>
      </c>
      <c r="G214" s="867" t="s">
        <v>394</v>
      </c>
      <c r="H214" s="868" t="str">
        <f>CONCATENATE("H:\Taniku\",G214)</f>
        <v>H:\Taniku\月花美人</v>
      </c>
      <c r="I214" s="650"/>
      <c r="J214" s="869"/>
      <c r="K214" s="870" t="s">
        <v>30</v>
      </c>
      <c r="L214" s="870" t="s">
        <v>129</v>
      </c>
      <c r="M214" s="867"/>
      <c r="N214" s="871" t="s">
        <v>268</v>
      </c>
      <c r="O214" s="870" t="s">
        <v>231</v>
      </c>
      <c r="P214" s="872" t="s">
        <v>395</v>
      </c>
      <c r="Q214" s="873"/>
    </row>
    <row r="215" spans="1:17" ht="15" customHeight="1">
      <c r="A215" s="93" t="s">
        <v>24</v>
      </c>
      <c r="B215" s="93" t="s">
        <v>21</v>
      </c>
      <c r="E215" s="93" t="s">
        <v>24</v>
      </c>
      <c r="F215" s="874" t="str">
        <f>HYPERLINK(H215,G215)</f>
        <v>ケッセルリンギアナ</v>
      </c>
      <c r="G215" s="650" t="s">
        <v>396</v>
      </c>
      <c r="H215" s="875" t="str">
        <f>CONCATENATE("H:\Taniku\",G215)</f>
        <v>H:\Taniku\ケッセルリンギアナ</v>
      </c>
      <c r="I215" s="650"/>
      <c r="J215" s="876"/>
      <c r="K215" s="646" t="s">
        <v>27</v>
      </c>
      <c r="L215" s="646" t="s">
        <v>120</v>
      </c>
      <c r="M215" s="650"/>
      <c r="N215" s="647" t="s">
        <v>238</v>
      </c>
      <c r="O215" s="646" t="s">
        <v>215</v>
      </c>
      <c r="P215" s="649" t="s">
        <v>397</v>
      </c>
      <c r="Q215" s="877"/>
    </row>
    <row r="216" spans="1:17" ht="15" customHeight="1" thickBot="1">
      <c r="A216" s="93" t="s">
        <v>24</v>
      </c>
      <c r="B216" s="93" t="s">
        <v>21</v>
      </c>
      <c r="C216" s="93" t="s">
        <v>24</v>
      </c>
      <c r="E216" s="93" t="s">
        <v>24</v>
      </c>
      <c r="F216" s="878" t="str">
        <f>HYPERLINK(H216,G216)</f>
        <v>原種ザラゴーサ</v>
      </c>
      <c r="G216" s="879" t="s">
        <v>398</v>
      </c>
      <c r="H216" s="880" t="str">
        <f>CONCATENATE("H:\Taniku\",G216)</f>
        <v>H:\Taniku\原種ザラゴーサ</v>
      </c>
      <c r="I216" s="650"/>
      <c r="J216" s="881"/>
      <c r="K216" s="882" t="s">
        <v>27</v>
      </c>
      <c r="L216" s="882" t="s">
        <v>114</v>
      </c>
      <c r="M216" s="879"/>
      <c r="N216" s="883"/>
      <c r="O216" s="882"/>
      <c r="P216" s="884"/>
      <c r="Q216" s="885"/>
    </row>
    <row r="217" spans="1:17" ht="15" customHeight="1" thickTop="1">
      <c r="B217" s="262" t="s">
        <v>12</v>
      </c>
      <c r="C217" s="262" t="s">
        <v>12</v>
      </c>
      <c r="D217" s="262"/>
      <c r="E217" s="262" t="s">
        <v>12</v>
      </c>
      <c r="F217" s="650"/>
      <c r="G217" s="650"/>
      <c r="H217" s="646"/>
      <c r="I217" s="650"/>
      <c r="J217" s="646"/>
      <c r="K217" s="646"/>
      <c r="L217" s="646"/>
      <c r="M217" s="650"/>
      <c r="N217" s="647"/>
      <c r="O217" s="646"/>
      <c r="P217" s="649"/>
      <c r="Q217" s="650"/>
    </row>
    <row r="218" spans="1:17" ht="15" customHeight="1" thickBot="1">
      <c r="B218" s="262" t="s">
        <v>12</v>
      </c>
      <c r="C218" s="262" t="s">
        <v>12</v>
      </c>
      <c r="D218" s="262"/>
      <c r="E218" s="262" t="s">
        <v>12</v>
      </c>
      <c r="F218" s="886" t="s">
        <v>399</v>
      </c>
      <c r="G218" s="886"/>
      <c r="H218" s="646"/>
      <c r="I218" s="886"/>
      <c r="J218" s="646"/>
      <c r="K218" s="646"/>
      <c r="L218" s="646"/>
      <c r="M218" s="886"/>
      <c r="N218" s="647"/>
      <c r="O218" s="887"/>
      <c r="P218" s="649"/>
      <c r="Q218" s="650"/>
    </row>
    <row r="219" spans="1:17" ht="15" customHeight="1" thickTop="1">
      <c r="A219" s="93" t="s">
        <v>24</v>
      </c>
      <c r="B219" s="93" t="s">
        <v>31</v>
      </c>
      <c r="E219" s="93" t="s">
        <v>24</v>
      </c>
      <c r="F219" s="888" t="str">
        <f t="shared" ref="F219:F232" si="22">HYPERLINK(H219,G219)</f>
        <v>ゴーラム</v>
      </c>
      <c r="G219" s="889" t="s">
        <v>400</v>
      </c>
      <c r="H219" s="890" t="str">
        <f t="shared" ref="H219:H232" si="23">CONCATENATE("H:\Taniku\",G219)</f>
        <v>H:\Taniku\ゴーラム</v>
      </c>
      <c r="I219" s="650"/>
      <c r="J219" s="891"/>
      <c r="K219" s="892" t="s">
        <v>20</v>
      </c>
      <c r="L219" s="892" t="s">
        <v>45</v>
      </c>
      <c r="M219" s="889"/>
      <c r="N219" s="893" t="s">
        <v>401</v>
      </c>
      <c r="O219" s="892" t="s">
        <v>215</v>
      </c>
      <c r="P219" s="894" t="s">
        <v>402</v>
      </c>
      <c r="Q219" s="895"/>
    </row>
    <row r="220" spans="1:17" ht="15" customHeight="1">
      <c r="A220" s="93" t="s">
        <v>24</v>
      </c>
      <c r="B220" s="93" t="s">
        <v>21</v>
      </c>
      <c r="D220" s="93" t="s">
        <v>24</v>
      </c>
      <c r="E220" s="93" t="s">
        <v>24</v>
      </c>
      <c r="F220" s="896" t="str">
        <f t="shared" si="22"/>
        <v>ゴールドウィン</v>
      </c>
      <c r="G220" s="650" t="s">
        <v>403</v>
      </c>
      <c r="H220" s="897" t="str">
        <f t="shared" si="23"/>
        <v>H:\Taniku\ゴールドウィン</v>
      </c>
      <c r="I220" s="650"/>
      <c r="J220" s="898" t="s">
        <v>131</v>
      </c>
      <c r="K220" s="646" t="s">
        <v>30</v>
      </c>
      <c r="L220" s="646" t="s">
        <v>131</v>
      </c>
      <c r="M220" s="650"/>
      <c r="N220" s="647"/>
      <c r="O220" s="646"/>
      <c r="P220" s="649"/>
      <c r="Q220" s="899"/>
    </row>
    <row r="221" spans="1:17" ht="15" customHeight="1">
      <c r="A221" s="93" t="s">
        <v>24</v>
      </c>
      <c r="B221" s="93" t="s">
        <v>67</v>
      </c>
      <c r="D221" s="93" t="s">
        <v>24</v>
      </c>
      <c r="E221" s="93" t="s">
        <v>24</v>
      </c>
      <c r="F221" s="896" t="str">
        <f t="shared" si="22"/>
        <v>ゴールドナゲット</v>
      </c>
      <c r="G221" s="650" t="s">
        <v>404</v>
      </c>
      <c r="H221" s="897" t="str">
        <f t="shared" si="23"/>
        <v>H:\Taniku\ゴールドナゲット</v>
      </c>
      <c r="I221" s="650"/>
      <c r="J221" s="898"/>
      <c r="K221" s="646" t="s">
        <v>30</v>
      </c>
      <c r="L221" s="646" t="s">
        <v>129</v>
      </c>
      <c r="M221" s="650"/>
      <c r="N221" s="647"/>
      <c r="O221" s="646"/>
      <c r="P221" s="649"/>
      <c r="Q221" s="899"/>
    </row>
    <row r="222" spans="1:17" ht="15" customHeight="1">
      <c r="A222" s="93" t="s">
        <v>24</v>
      </c>
      <c r="B222" s="93" t="s">
        <v>28</v>
      </c>
      <c r="E222" s="93" t="s">
        <v>24</v>
      </c>
      <c r="F222" s="896" t="str">
        <f t="shared" si="22"/>
        <v>恋心</v>
      </c>
      <c r="G222" s="650" t="s">
        <v>405</v>
      </c>
      <c r="H222" s="897" t="str">
        <f t="shared" si="23"/>
        <v>H:\Taniku\恋心</v>
      </c>
      <c r="I222" s="650"/>
      <c r="J222" s="898" t="s">
        <v>406</v>
      </c>
      <c r="K222" s="646" t="s">
        <v>407</v>
      </c>
      <c r="L222" s="646" t="s">
        <v>408</v>
      </c>
      <c r="M222" s="650"/>
      <c r="N222" s="647" t="s">
        <v>309</v>
      </c>
      <c r="O222" s="646" t="s">
        <v>215</v>
      </c>
      <c r="P222" s="649" t="s">
        <v>216</v>
      </c>
      <c r="Q222" s="899"/>
    </row>
    <row r="223" spans="1:17" ht="15" customHeight="1">
      <c r="A223" s="93" t="s">
        <v>24</v>
      </c>
      <c r="B223" s="93" t="s">
        <v>28</v>
      </c>
      <c r="D223" s="93" t="s">
        <v>17</v>
      </c>
      <c r="E223" s="93" t="s">
        <v>24</v>
      </c>
      <c r="F223" s="900" t="str">
        <f t="shared" si="22"/>
        <v>小梅</v>
      </c>
      <c r="G223" s="650" t="s">
        <v>409</v>
      </c>
      <c r="H223" s="897" t="str">
        <f t="shared" si="23"/>
        <v>H:\Taniku\小梅</v>
      </c>
      <c r="I223" s="650"/>
      <c r="J223" s="898" t="s">
        <v>410</v>
      </c>
      <c r="K223" s="646" t="s">
        <v>23</v>
      </c>
      <c r="L223" s="646" t="s">
        <v>72</v>
      </c>
      <c r="M223" s="650"/>
      <c r="N223" s="647" t="s">
        <v>411</v>
      </c>
      <c r="O223" s="646" t="s">
        <v>163</v>
      </c>
      <c r="P223" s="649" t="s">
        <v>412</v>
      </c>
      <c r="Q223" s="899"/>
    </row>
    <row r="224" spans="1:17" ht="15" customHeight="1">
      <c r="A224" s="93" t="s">
        <v>24</v>
      </c>
      <c r="B224" s="93" t="s">
        <v>31</v>
      </c>
      <c r="E224" s="93" t="s">
        <v>24</v>
      </c>
      <c r="F224" s="896" t="str">
        <f t="shared" si="22"/>
        <v>紅葉祭り</v>
      </c>
      <c r="G224" s="650" t="s">
        <v>413</v>
      </c>
      <c r="H224" s="897" t="str">
        <f t="shared" si="23"/>
        <v>H:\Taniku\紅葉祭り</v>
      </c>
      <c r="I224" s="650"/>
      <c r="J224" s="898"/>
      <c r="K224" s="646" t="s">
        <v>27</v>
      </c>
      <c r="L224" s="646" t="s">
        <v>44</v>
      </c>
      <c r="M224" s="650"/>
      <c r="N224" s="647"/>
      <c r="O224" s="646"/>
      <c r="P224" s="649"/>
      <c r="Q224" s="899"/>
    </row>
    <row r="225" spans="1:17" ht="15" customHeight="1">
      <c r="A225" s="93" t="s">
        <v>24</v>
      </c>
      <c r="B225" s="93" t="s">
        <v>36</v>
      </c>
      <c r="E225" s="93" t="s">
        <v>24</v>
      </c>
      <c r="F225" s="900" t="str">
        <f t="shared" si="22"/>
        <v>子宝草</v>
      </c>
      <c r="G225" s="650" t="s">
        <v>414</v>
      </c>
      <c r="H225" s="897" t="str">
        <f t="shared" si="23"/>
        <v>H:\Taniku\子宝草</v>
      </c>
      <c r="I225" s="650"/>
      <c r="J225" s="898"/>
      <c r="K225" s="646" t="s">
        <v>27</v>
      </c>
      <c r="L225" s="646" t="s">
        <v>126</v>
      </c>
      <c r="M225" s="650"/>
      <c r="N225" s="647" t="s">
        <v>415</v>
      </c>
      <c r="O225" s="646" t="s">
        <v>163</v>
      </c>
      <c r="P225" s="649" t="s">
        <v>416</v>
      </c>
      <c r="Q225" s="899"/>
    </row>
    <row r="226" spans="1:17" ht="15" customHeight="1">
      <c r="A226" s="93" t="s">
        <v>24</v>
      </c>
      <c r="B226" s="93" t="s">
        <v>36</v>
      </c>
      <c r="E226" s="93" t="s">
        <v>24</v>
      </c>
      <c r="F226" s="896" t="str">
        <f t="shared" si="22"/>
        <v>胡蝶の舞</v>
      </c>
      <c r="G226" s="650" t="s">
        <v>416</v>
      </c>
      <c r="H226" s="897" t="str">
        <f t="shared" si="23"/>
        <v>H:\Taniku\胡蝶の舞</v>
      </c>
      <c r="I226" s="650"/>
      <c r="J226" s="898"/>
      <c r="K226" s="646" t="s">
        <v>30</v>
      </c>
      <c r="L226" s="646" t="s">
        <v>129</v>
      </c>
      <c r="M226" s="650"/>
      <c r="N226" s="647"/>
      <c r="O226" s="646"/>
      <c r="P226" s="649"/>
      <c r="Q226" s="899"/>
    </row>
    <row r="227" spans="1:17" ht="15" customHeight="1">
      <c r="A227" s="93" t="s">
        <v>24</v>
      </c>
      <c r="B227" s="93" t="s">
        <v>28</v>
      </c>
      <c r="E227" s="93" t="s">
        <v>24</v>
      </c>
      <c r="F227" s="896" t="str">
        <f t="shared" si="22"/>
        <v>コミックトム</v>
      </c>
      <c r="G227" s="650" t="s">
        <v>417</v>
      </c>
      <c r="H227" s="897" t="str">
        <f t="shared" si="23"/>
        <v>H:\Taniku\コミックトム</v>
      </c>
      <c r="I227" s="650"/>
      <c r="J227" s="898"/>
      <c r="K227" s="646" t="s">
        <v>27</v>
      </c>
      <c r="L227" s="646" t="s">
        <v>110</v>
      </c>
      <c r="M227" s="650"/>
      <c r="N227" s="647" t="s">
        <v>268</v>
      </c>
      <c r="O227" s="646" t="s">
        <v>231</v>
      </c>
      <c r="P227" s="649" t="s">
        <v>418</v>
      </c>
      <c r="Q227" s="899"/>
    </row>
    <row r="228" spans="1:17" ht="15" customHeight="1">
      <c r="A228" s="93" t="s">
        <v>24</v>
      </c>
      <c r="B228" s="93" t="s">
        <v>61</v>
      </c>
      <c r="E228" s="93" t="s">
        <v>24</v>
      </c>
      <c r="F228" s="896" t="str">
        <f t="shared" si="22"/>
        <v>子持ち蓮華</v>
      </c>
      <c r="G228" s="650" t="s">
        <v>419</v>
      </c>
      <c r="H228" s="897" t="str">
        <f t="shared" si="23"/>
        <v>H:\Taniku\子持ち蓮華</v>
      </c>
      <c r="I228" s="650"/>
      <c r="J228" s="898"/>
      <c r="K228" s="646" t="s">
        <v>27</v>
      </c>
      <c r="L228" s="646" t="s">
        <v>126</v>
      </c>
      <c r="M228" s="650"/>
      <c r="N228" s="647"/>
      <c r="O228" s="646"/>
      <c r="P228" s="649"/>
      <c r="Q228" s="899"/>
    </row>
    <row r="229" spans="1:17" ht="15" customHeight="1">
      <c r="A229" s="93" t="s">
        <v>24</v>
      </c>
      <c r="B229" s="93" t="s">
        <v>21</v>
      </c>
      <c r="E229" s="93" t="s">
        <v>24</v>
      </c>
      <c r="F229" s="896" t="str">
        <f t="shared" si="22"/>
        <v>コロキ</v>
      </c>
      <c r="G229" s="650" t="s">
        <v>420</v>
      </c>
      <c r="H229" s="897" t="str">
        <f t="shared" si="23"/>
        <v>H:\Taniku\コロキ</v>
      </c>
      <c r="I229" s="650"/>
      <c r="J229" s="898" t="s">
        <v>421</v>
      </c>
      <c r="K229" s="646" t="s">
        <v>27</v>
      </c>
      <c r="L229" s="646" t="s">
        <v>116</v>
      </c>
      <c r="M229" s="650"/>
      <c r="N229" s="647"/>
      <c r="O229" s="646"/>
      <c r="P229" s="649"/>
      <c r="Q229" s="899"/>
    </row>
    <row r="230" spans="1:17" ht="15" customHeight="1">
      <c r="A230" s="93" t="s">
        <v>24</v>
      </c>
      <c r="B230" s="93" t="s">
        <v>21</v>
      </c>
      <c r="C230" s="93" t="s">
        <v>24</v>
      </c>
      <c r="E230" s="93" t="s">
        <v>24</v>
      </c>
      <c r="F230" s="896" t="str">
        <f t="shared" si="22"/>
        <v>コロラータ</v>
      </c>
      <c r="G230" s="650" t="s">
        <v>422</v>
      </c>
      <c r="H230" s="897" t="str">
        <f t="shared" si="23"/>
        <v>H:\Taniku\コロラータ</v>
      </c>
      <c r="I230" s="650"/>
      <c r="J230" s="898"/>
      <c r="K230" s="646" t="s">
        <v>260</v>
      </c>
      <c r="L230" s="646" t="s">
        <v>423</v>
      </c>
      <c r="M230" s="650"/>
      <c r="N230" s="647"/>
      <c r="O230" s="646"/>
      <c r="P230" s="649"/>
      <c r="Q230" s="899"/>
    </row>
    <row r="231" spans="1:17" ht="15" customHeight="1">
      <c r="A231" s="93" t="s">
        <v>24</v>
      </c>
      <c r="B231" s="93" t="s">
        <v>21</v>
      </c>
      <c r="E231" s="93" t="s">
        <v>24</v>
      </c>
      <c r="F231" s="896" t="str">
        <f t="shared" si="22"/>
        <v>コロラータ アテマハック</v>
      </c>
      <c r="G231" s="650" t="s">
        <v>176</v>
      </c>
      <c r="H231" s="897" t="str">
        <f t="shared" si="23"/>
        <v>H:\Taniku\コロラータ アテマハック</v>
      </c>
      <c r="I231" s="650"/>
      <c r="J231" s="898"/>
      <c r="K231" s="646" t="s">
        <v>23</v>
      </c>
      <c r="L231" s="646" t="s">
        <v>26</v>
      </c>
      <c r="M231" s="650"/>
      <c r="N231" s="647"/>
      <c r="O231" s="646"/>
      <c r="P231" s="649"/>
      <c r="Q231" s="899"/>
    </row>
    <row r="232" spans="1:17" ht="15" customHeight="1" thickBot="1">
      <c r="A232" s="93" t="s">
        <v>24</v>
      </c>
      <c r="B232" s="93" t="s">
        <v>21</v>
      </c>
      <c r="E232" s="93" t="s">
        <v>24</v>
      </c>
      <c r="F232" s="901" t="str">
        <f t="shared" si="22"/>
        <v>コロラータ タパルパ</v>
      </c>
      <c r="G232" s="902" t="s">
        <v>179</v>
      </c>
      <c r="H232" s="903" t="str">
        <f t="shared" si="23"/>
        <v>H:\Taniku\コロラータ タパルパ</v>
      </c>
      <c r="I232" s="650"/>
      <c r="J232" s="904"/>
      <c r="K232" s="905" t="s">
        <v>23</v>
      </c>
      <c r="L232" s="905" t="s">
        <v>55</v>
      </c>
      <c r="M232" s="902"/>
      <c r="N232" s="906"/>
      <c r="O232" s="905"/>
      <c r="P232" s="907"/>
      <c r="Q232" s="908"/>
    </row>
    <row r="233" spans="1:17" ht="15" customHeight="1" thickTop="1">
      <c r="B233" s="262" t="s">
        <v>12</v>
      </c>
      <c r="C233" s="262" t="s">
        <v>12</v>
      </c>
      <c r="D233" s="262"/>
      <c r="E233" s="262" t="s">
        <v>12</v>
      </c>
    </row>
    <row r="234" spans="1:17" ht="15" customHeight="1" thickBot="1">
      <c r="B234" s="262" t="s">
        <v>12</v>
      </c>
      <c r="C234" s="262" t="s">
        <v>12</v>
      </c>
      <c r="D234" s="262"/>
      <c r="E234" s="262" t="s">
        <v>12</v>
      </c>
      <c r="F234" s="909" t="s">
        <v>424</v>
      </c>
      <c r="G234" s="909"/>
      <c r="H234" s="675"/>
      <c r="I234" s="909"/>
      <c r="J234" s="675"/>
      <c r="K234" s="675"/>
      <c r="L234" s="675"/>
      <c r="M234" s="909"/>
      <c r="N234" s="676"/>
      <c r="O234" s="910"/>
      <c r="P234" s="678"/>
      <c r="Q234" s="679"/>
    </row>
    <row r="235" spans="1:17" ht="15" customHeight="1" thickTop="1">
      <c r="A235" s="93" t="s">
        <v>24</v>
      </c>
      <c r="B235" s="93" t="s">
        <v>58</v>
      </c>
      <c r="E235" s="93" t="s">
        <v>24</v>
      </c>
      <c r="F235" s="680" t="str">
        <f t="shared" ref="F235:F240" si="24">HYPERLINK(H235,G235)</f>
        <v>桜色カリシア</v>
      </c>
      <c r="G235" s="681" t="s">
        <v>425</v>
      </c>
      <c r="H235" s="682" t="str">
        <f t="shared" ref="H235:H240" si="25">CONCATENATE("H:\Taniku\",G235)</f>
        <v>H:\Taniku\桜色カリシア</v>
      </c>
      <c r="I235" s="679"/>
      <c r="J235" s="683"/>
      <c r="K235" s="684" t="s">
        <v>27</v>
      </c>
      <c r="L235" s="684" t="s">
        <v>44</v>
      </c>
      <c r="M235" s="681"/>
      <c r="N235" s="685" t="s">
        <v>268</v>
      </c>
      <c r="O235" s="684" t="s">
        <v>231</v>
      </c>
      <c r="P235" s="687" t="s">
        <v>426</v>
      </c>
      <c r="Q235" s="688"/>
    </row>
    <row r="236" spans="1:17" ht="15" customHeight="1">
      <c r="A236" s="93" t="s">
        <v>24</v>
      </c>
      <c r="B236" s="93" t="s">
        <v>31</v>
      </c>
      <c r="E236" s="93" t="s">
        <v>24</v>
      </c>
      <c r="F236" s="693" t="str">
        <f t="shared" si="24"/>
        <v>桜星</v>
      </c>
      <c r="G236" s="679" t="s">
        <v>427</v>
      </c>
      <c r="H236" s="690" t="str">
        <f t="shared" si="25"/>
        <v>H:\Taniku\桜星</v>
      </c>
      <c r="I236" s="679"/>
      <c r="J236" s="691"/>
      <c r="K236" s="675" t="s">
        <v>23</v>
      </c>
      <c r="L236" s="675" t="s">
        <v>63</v>
      </c>
      <c r="M236" s="679"/>
      <c r="N236" s="676"/>
      <c r="O236" s="675"/>
      <c r="P236" s="678"/>
      <c r="Q236" s="692"/>
    </row>
    <row r="237" spans="1:17" ht="15" customHeight="1">
      <c r="A237" s="93" t="s">
        <v>24</v>
      </c>
      <c r="B237" s="93" t="s">
        <v>70</v>
      </c>
      <c r="E237" s="93" t="s">
        <v>24</v>
      </c>
      <c r="F237" s="693" t="str">
        <f t="shared" si="24"/>
        <v>桜吹雪</v>
      </c>
      <c r="G237" s="679" t="s">
        <v>428</v>
      </c>
      <c r="H237" s="690" t="str">
        <f t="shared" si="25"/>
        <v>H:\Taniku\桜吹雪</v>
      </c>
      <c r="I237" s="679"/>
      <c r="J237" s="691"/>
      <c r="K237" s="675" t="s">
        <v>27</v>
      </c>
      <c r="L237" s="675" t="s">
        <v>44</v>
      </c>
      <c r="M237" s="679"/>
      <c r="N237" s="676"/>
      <c r="O237" s="675"/>
      <c r="P237" s="678"/>
      <c r="Q237" s="692"/>
    </row>
    <row r="238" spans="1:17" ht="15" customHeight="1">
      <c r="A238" s="93" t="s">
        <v>24</v>
      </c>
      <c r="B238" s="93" t="s">
        <v>21</v>
      </c>
      <c r="D238" s="93" t="s">
        <v>24</v>
      </c>
      <c r="E238" s="93" t="s">
        <v>24</v>
      </c>
      <c r="F238" s="693" t="str">
        <f t="shared" si="24"/>
        <v>沙羅姫蓮華</v>
      </c>
      <c r="G238" s="679" t="s">
        <v>429</v>
      </c>
      <c r="H238" s="690" t="str">
        <f t="shared" si="25"/>
        <v>H:\Taniku\沙羅姫蓮華</v>
      </c>
      <c r="I238" s="679"/>
      <c r="J238" s="691"/>
      <c r="K238" s="675" t="s">
        <v>23</v>
      </c>
      <c r="L238" s="675" t="s">
        <v>354</v>
      </c>
      <c r="M238" s="679"/>
      <c r="N238" s="676" t="s">
        <v>430</v>
      </c>
      <c r="O238" s="675" t="s">
        <v>163</v>
      </c>
      <c r="P238" s="678" t="s">
        <v>431</v>
      </c>
      <c r="Q238" s="692"/>
    </row>
    <row r="239" spans="1:17" ht="15" customHeight="1">
      <c r="A239" s="93" t="s">
        <v>24</v>
      </c>
      <c r="B239" s="93" t="s">
        <v>73</v>
      </c>
      <c r="E239" s="93" t="s">
        <v>24</v>
      </c>
      <c r="F239" s="689" t="str">
        <f t="shared" si="24"/>
        <v>猿恋葦</v>
      </c>
      <c r="G239" s="679" t="s">
        <v>432</v>
      </c>
      <c r="H239" s="690" t="str">
        <f t="shared" si="25"/>
        <v>H:\Taniku\猿恋葦</v>
      </c>
      <c r="I239" s="679"/>
      <c r="J239" s="691"/>
      <c r="K239" s="675" t="s">
        <v>20</v>
      </c>
      <c r="L239" s="675" t="s">
        <v>45</v>
      </c>
      <c r="M239" s="679"/>
      <c r="N239" s="676"/>
      <c r="O239" s="675"/>
      <c r="P239" s="678"/>
      <c r="Q239" s="692"/>
    </row>
    <row r="240" spans="1:17" ht="15" customHeight="1" thickBot="1">
      <c r="A240" s="443" t="s">
        <v>15</v>
      </c>
      <c r="B240" s="93" t="s">
        <v>21</v>
      </c>
      <c r="E240" s="93" t="s">
        <v>24</v>
      </c>
      <c r="F240" s="694" t="str">
        <f t="shared" si="24"/>
        <v>ざわわx黒爪ザラゴーサ x ザラゴーサxチワワエンシス</v>
      </c>
      <c r="G240" s="695" t="s">
        <v>433</v>
      </c>
      <c r="H240" s="696" t="str">
        <f t="shared" si="25"/>
        <v>H:\Taniku\ざわわx黒爪ザラゴーサ x ザラゴーサxチワワエンシス</v>
      </c>
      <c r="I240" s="679"/>
      <c r="J240" s="697" t="s">
        <v>434</v>
      </c>
      <c r="K240" s="698" t="s">
        <v>23</v>
      </c>
      <c r="L240" s="698" t="s">
        <v>26</v>
      </c>
      <c r="M240" s="695"/>
      <c r="N240" s="699"/>
      <c r="O240" s="698"/>
      <c r="P240" s="701"/>
      <c r="Q240" s="702"/>
    </row>
    <row r="241" spans="1:17" ht="15" customHeight="1" thickTop="1" thickBot="1">
      <c r="B241" s="262" t="s">
        <v>12</v>
      </c>
      <c r="C241" s="262" t="s">
        <v>12</v>
      </c>
      <c r="D241" s="262"/>
      <c r="E241" s="262" t="s">
        <v>12</v>
      </c>
      <c r="F241" s="703" t="s">
        <v>435</v>
      </c>
      <c r="G241" s="703"/>
      <c r="H241" s="675"/>
      <c r="I241" s="703"/>
      <c r="J241" s="675"/>
      <c r="K241" s="675"/>
      <c r="L241" s="675"/>
      <c r="M241" s="703"/>
      <c r="N241" s="676"/>
      <c r="O241" s="911"/>
      <c r="P241" s="678"/>
      <c r="Q241" s="679"/>
    </row>
    <row r="242" spans="1:17" ht="15" customHeight="1" thickTop="1">
      <c r="A242" s="93" t="s">
        <v>24</v>
      </c>
      <c r="B242" s="93" t="s">
        <v>21</v>
      </c>
      <c r="E242" s="93" t="s">
        <v>24</v>
      </c>
      <c r="F242" s="912" t="str">
        <f t="shared" ref="F242:F268" si="26">HYPERLINK(H242,G242)</f>
        <v>シーサー</v>
      </c>
      <c r="G242" s="913" t="s">
        <v>436</v>
      </c>
      <c r="H242" s="914" t="str">
        <f t="shared" ref="H242:H268" si="27">CONCATENATE("H:\Taniku\",G242)</f>
        <v>H:\Taniku\シーサー</v>
      </c>
      <c r="I242" s="679"/>
      <c r="J242" s="915"/>
      <c r="K242" s="916" t="s">
        <v>23</v>
      </c>
      <c r="L242" s="916" t="s">
        <v>55</v>
      </c>
      <c r="M242" s="913"/>
      <c r="N242" s="917"/>
      <c r="O242" s="916"/>
      <c r="P242" s="918"/>
      <c r="Q242" s="919"/>
    </row>
    <row r="243" spans="1:17" ht="15" customHeight="1">
      <c r="A243" s="93" t="s">
        <v>24</v>
      </c>
      <c r="B243" s="93" t="s">
        <v>21</v>
      </c>
      <c r="E243" s="93" t="s">
        <v>24</v>
      </c>
      <c r="F243" s="920" t="str">
        <f t="shared" si="26"/>
        <v>ジェシカ</v>
      </c>
      <c r="G243" s="679" t="s">
        <v>437</v>
      </c>
      <c r="H243" s="921" t="str">
        <f t="shared" si="27"/>
        <v>H:\Taniku\ジェシカ</v>
      </c>
      <c r="I243" s="679"/>
      <c r="J243" s="922" t="s">
        <v>421</v>
      </c>
      <c r="K243" s="675" t="s">
        <v>27</v>
      </c>
      <c r="L243" s="675" t="s">
        <v>114</v>
      </c>
      <c r="M243" s="679"/>
      <c r="N243" s="676" t="s">
        <v>438</v>
      </c>
      <c r="O243" s="675" t="s">
        <v>163</v>
      </c>
      <c r="P243" s="678" t="s">
        <v>439</v>
      </c>
      <c r="Q243" s="923"/>
    </row>
    <row r="244" spans="1:17" ht="15" customHeight="1">
      <c r="A244" s="93" t="s">
        <v>24</v>
      </c>
      <c r="B244" s="93" t="s">
        <v>21</v>
      </c>
      <c r="E244" s="93" t="s">
        <v>24</v>
      </c>
      <c r="F244" s="924" t="str">
        <f t="shared" si="26"/>
        <v>紫海</v>
      </c>
      <c r="G244" s="679" t="s">
        <v>440</v>
      </c>
      <c r="H244" s="921" t="str">
        <f t="shared" si="27"/>
        <v>H:\Taniku\紫海</v>
      </c>
      <c r="I244" s="679"/>
      <c r="J244" s="922"/>
      <c r="K244" s="675" t="s">
        <v>23</v>
      </c>
      <c r="L244" s="675" t="s">
        <v>72</v>
      </c>
      <c r="M244" s="679"/>
      <c r="N244" s="676"/>
      <c r="O244" s="675"/>
      <c r="P244" s="678"/>
      <c r="Q244" s="923"/>
    </row>
    <row r="245" spans="1:17" ht="15" customHeight="1">
      <c r="A245" s="93" t="s">
        <v>342</v>
      </c>
      <c r="B245" s="93" t="s">
        <v>31</v>
      </c>
      <c r="E245" s="93" t="s">
        <v>24</v>
      </c>
      <c r="F245" s="920" t="str">
        <f t="shared" si="26"/>
        <v>しじみ蝶錦</v>
      </c>
      <c r="G245" s="679" t="s">
        <v>441</v>
      </c>
      <c r="H245" s="921" t="str">
        <f t="shared" si="27"/>
        <v>H:\Taniku\しじみ蝶錦</v>
      </c>
      <c r="I245" s="679"/>
      <c r="J245" s="922"/>
      <c r="K245" s="675" t="s">
        <v>27</v>
      </c>
      <c r="L245" s="675" t="s">
        <v>44</v>
      </c>
      <c r="M245" s="679"/>
      <c r="N245" s="676"/>
      <c r="O245" s="675"/>
      <c r="P245" s="678"/>
      <c r="Q245" s="923"/>
    </row>
    <row r="246" spans="1:17" ht="15" customHeight="1">
      <c r="A246" s="93" t="s">
        <v>24</v>
      </c>
      <c r="B246" s="93" t="s">
        <v>21</v>
      </c>
      <c r="E246" s="93" t="s">
        <v>24</v>
      </c>
      <c r="F246" s="924" t="str">
        <f t="shared" si="26"/>
        <v>七福神</v>
      </c>
      <c r="G246" s="679" t="s">
        <v>442</v>
      </c>
      <c r="H246" s="921" t="str">
        <f t="shared" si="27"/>
        <v>H:\Taniku\七福神</v>
      </c>
      <c r="I246" s="679"/>
      <c r="J246" s="922"/>
      <c r="K246" s="675" t="s">
        <v>23</v>
      </c>
      <c r="L246" s="675" t="s">
        <v>55</v>
      </c>
      <c r="M246" s="679"/>
      <c r="N246" s="676" t="s">
        <v>443</v>
      </c>
      <c r="O246" s="675" t="s">
        <v>373</v>
      </c>
      <c r="P246" s="678" t="s">
        <v>444</v>
      </c>
      <c r="Q246" s="923"/>
    </row>
    <row r="247" spans="1:17" ht="15" customHeight="1">
      <c r="A247" s="93" t="s">
        <v>24</v>
      </c>
      <c r="B247" s="93" t="s">
        <v>21</v>
      </c>
      <c r="D247" s="93" t="s">
        <v>24</v>
      </c>
      <c r="E247" s="93" t="s">
        <v>24</v>
      </c>
      <c r="F247" s="920" t="str">
        <f t="shared" si="26"/>
        <v>七福のバラ</v>
      </c>
      <c r="G247" s="679" t="s">
        <v>445</v>
      </c>
      <c r="H247" s="921" t="str">
        <f t="shared" si="27"/>
        <v>H:\Taniku\七福のバラ</v>
      </c>
      <c r="I247" s="679"/>
      <c r="J247" s="922"/>
      <c r="K247" s="675" t="s">
        <v>23</v>
      </c>
      <c r="L247" s="675" t="s">
        <v>354</v>
      </c>
      <c r="M247" s="679"/>
      <c r="N247" s="676"/>
      <c r="O247" s="675"/>
      <c r="P247" s="678"/>
      <c r="Q247" s="923"/>
    </row>
    <row r="248" spans="1:17" ht="15" customHeight="1">
      <c r="A248" s="93" t="s">
        <v>24</v>
      </c>
      <c r="B248" s="93" t="s">
        <v>21</v>
      </c>
      <c r="E248" s="93" t="s">
        <v>24</v>
      </c>
      <c r="F248" s="924" t="str">
        <f t="shared" si="26"/>
        <v>七福美尼</v>
      </c>
      <c r="G248" s="679" t="s">
        <v>446</v>
      </c>
      <c r="H248" s="921" t="str">
        <f t="shared" si="27"/>
        <v>H:\Taniku\七福美尼</v>
      </c>
      <c r="I248" s="679"/>
      <c r="J248" s="922"/>
      <c r="K248" s="675" t="s">
        <v>23</v>
      </c>
      <c r="L248" s="675" t="s">
        <v>55</v>
      </c>
      <c r="M248" s="679"/>
      <c r="N248" s="676" t="s">
        <v>447</v>
      </c>
      <c r="O248" s="675" t="s">
        <v>163</v>
      </c>
      <c r="P248" s="678" t="s">
        <v>448</v>
      </c>
      <c r="Q248" s="923"/>
    </row>
    <row r="249" spans="1:17" ht="15" customHeight="1">
      <c r="A249" s="93" t="s">
        <v>24</v>
      </c>
      <c r="B249" s="93" t="s">
        <v>21</v>
      </c>
      <c r="E249" s="93" t="s">
        <v>24</v>
      </c>
      <c r="F249" s="920" t="str">
        <f t="shared" si="26"/>
        <v>シベリア</v>
      </c>
      <c r="G249" s="679" t="s">
        <v>449</v>
      </c>
      <c r="H249" s="921" t="str">
        <f t="shared" si="27"/>
        <v>H:\Taniku\シベリア</v>
      </c>
      <c r="I249" s="679"/>
      <c r="J249" s="922"/>
      <c r="K249" s="675" t="s">
        <v>23</v>
      </c>
      <c r="L249" s="675" t="s">
        <v>55</v>
      </c>
      <c r="M249" s="679"/>
      <c r="N249" s="676"/>
      <c r="O249" s="675"/>
      <c r="P249" s="678"/>
      <c r="Q249" s="923"/>
    </row>
    <row r="250" spans="1:17" ht="15" customHeight="1">
      <c r="A250" s="93" t="s">
        <v>24</v>
      </c>
      <c r="B250" s="93" t="s">
        <v>21</v>
      </c>
      <c r="C250" s="93" t="s">
        <v>24</v>
      </c>
      <c r="E250" s="93" t="s">
        <v>24</v>
      </c>
      <c r="F250" s="920" t="str">
        <f t="shared" si="26"/>
        <v>シムランス</v>
      </c>
      <c r="G250" s="679" t="s">
        <v>450</v>
      </c>
      <c r="H250" s="921" t="str">
        <f t="shared" si="27"/>
        <v>H:\Taniku\シムランス</v>
      </c>
      <c r="I250" s="679"/>
      <c r="J250" s="922"/>
      <c r="K250" s="675" t="s">
        <v>23</v>
      </c>
      <c r="L250" s="675" t="s">
        <v>60</v>
      </c>
      <c r="M250" s="679"/>
      <c r="N250" s="676"/>
      <c r="O250" s="675"/>
      <c r="P250" s="678"/>
      <c r="Q250" s="923"/>
    </row>
    <row r="251" spans="1:17" ht="15" customHeight="1">
      <c r="A251" s="443" t="s">
        <v>15</v>
      </c>
      <c r="B251" s="93" t="s">
        <v>21</v>
      </c>
      <c r="E251" s="93" t="s">
        <v>24</v>
      </c>
      <c r="F251" s="920" t="str">
        <f t="shared" si="26"/>
        <v>シムランスアセンションxザラゴーサノバ</v>
      </c>
      <c r="G251" s="679" t="s">
        <v>451</v>
      </c>
      <c r="H251" s="921" t="str">
        <f t="shared" si="27"/>
        <v>H:\Taniku\シムランスアセンションxザラゴーサノバ</v>
      </c>
      <c r="I251" s="679"/>
      <c r="J251" s="922"/>
      <c r="K251" s="675" t="s">
        <v>23</v>
      </c>
      <c r="L251" s="675" t="s">
        <v>75</v>
      </c>
      <c r="M251" s="679"/>
      <c r="N251" s="676"/>
      <c r="O251" s="675"/>
      <c r="P251" s="678"/>
      <c r="Q251" s="923"/>
    </row>
    <row r="252" spans="1:17" ht="15" customHeight="1">
      <c r="A252" s="443" t="s">
        <v>15</v>
      </c>
      <c r="B252" s="93" t="s">
        <v>21</v>
      </c>
      <c r="E252" s="93" t="s">
        <v>24</v>
      </c>
      <c r="F252" s="924" t="str">
        <f t="shared" si="26"/>
        <v>シムランスラグナサンチェスxシルエットxダークアイス</v>
      </c>
      <c r="G252" s="679" t="s">
        <v>452</v>
      </c>
      <c r="H252" s="921" t="str">
        <f t="shared" si="27"/>
        <v>H:\Taniku\シムランスラグナサンチェスxシルエットxダークアイス</v>
      </c>
      <c r="I252" s="679"/>
      <c r="J252" s="922"/>
      <c r="K252" s="675" t="s">
        <v>23</v>
      </c>
      <c r="L252" s="675" t="s">
        <v>81</v>
      </c>
      <c r="M252" s="679"/>
      <c r="N252" s="676" t="s">
        <v>453</v>
      </c>
      <c r="O252" s="675" t="s">
        <v>163</v>
      </c>
      <c r="P252" s="678" t="s">
        <v>454</v>
      </c>
      <c r="Q252" s="923"/>
    </row>
    <row r="253" spans="1:17" ht="15" customHeight="1">
      <c r="A253" s="93" t="s">
        <v>24</v>
      </c>
      <c r="B253" s="93" t="s">
        <v>21</v>
      </c>
      <c r="E253" s="93" t="s">
        <v>24</v>
      </c>
      <c r="F253" s="924" t="str">
        <f t="shared" si="26"/>
        <v>霜花</v>
      </c>
      <c r="G253" s="679" t="s">
        <v>455</v>
      </c>
      <c r="H253" s="921" t="str">
        <f t="shared" si="27"/>
        <v>H:\Taniku\霜花</v>
      </c>
      <c r="I253" s="679"/>
      <c r="J253" s="922"/>
      <c r="K253" s="675" t="s">
        <v>23</v>
      </c>
      <c r="L253" s="675" t="s">
        <v>55</v>
      </c>
      <c r="M253" s="679"/>
      <c r="N253" s="676"/>
      <c r="O253" s="675"/>
      <c r="P253" s="678"/>
      <c r="Q253" s="923"/>
    </row>
    <row r="254" spans="1:17" ht="15" customHeight="1">
      <c r="A254" s="93" t="s">
        <v>24</v>
      </c>
      <c r="B254" s="93" t="s">
        <v>21</v>
      </c>
      <c r="E254" s="93" t="s">
        <v>24</v>
      </c>
      <c r="F254" s="924" t="str">
        <f t="shared" si="26"/>
        <v>下山コロラータ</v>
      </c>
      <c r="G254" s="679" t="s">
        <v>185</v>
      </c>
      <c r="H254" s="921" t="str">
        <f t="shared" si="27"/>
        <v>H:\Taniku\下山コロラータ</v>
      </c>
      <c r="I254" s="679"/>
      <c r="J254" s="922"/>
      <c r="K254" s="675" t="s">
        <v>23</v>
      </c>
      <c r="L254" s="675" t="s">
        <v>60</v>
      </c>
      <c r="M254" s="679"/>
      <c r="N254" s="676" t="s">
        <v>456</v>
      </c>
      <c r="O254" s="675" t="s">
        <v>163</v>
      </c>
      <c r="P254" s="678" t="s">
        <v>169</v>
      </c>
      <c r="Q254" s="923"/>
    </row>
    <row r="255" spans="1:17" ht="15" customHeight="1">
      <c r="A255" s="93" t="s">
        <v>24</v>
      </c>
      <c r="B255" s="93" t="s">
        <v>21</v>
      </c>
      <c r="E255" s="93" t="s">
        <v>24</v>
      </c>
      <c r="F255" s="920" t="str">
        <f t="shared" si="26"/>
        <v>シャーロット</v>
      </c>
      <c r="G255" s="679" t="s">
        <v>457</v>
      </c>
      <c r="H255" s="921" t="str">
        <f t="shared" si="27"/>
        <v>H:\Taniku\シャーロット</v>
      </c>
      <c r="I255" s="679"/>
      <c r="J255" s="922"/>
      <c r="K255" s="675" t="s">
        <v>27</v>
      </c>
      <c r="L255" s="675" t="s">
        <v>108</v>
      </c>
      <c r="M255" s="679"/>
      <c r="N255" s="676"/>
      <c r="O255" s="675"/>
      <c r="P255" s="678"/>
      <c r="Q255" s="923"/>
    </row>
    <row r="256" spans="1:17" ht="15" customHeight="1">
      <c r="A256" s="93" t="s">
        <v>24</v>
      </c>
      <c r="B256" s="93" t="s">
        <v>21</v>
      </c>
      <c r="E256" s="93" t="s">
        <v>24</v>
      </c>
      <c r="F256" s="920" t="str">
        <f t="shared" si="26"/>
        <v>ジャシリー</v>
      </c>
      <c r="G256" s="679" t="s">
        <v>458</v>
      </c>
      <c r="H256" s="921" t="str">
        <f t="shared" si="27"/>
        <v>H:\Taniku\ジャシリー</v>
      </c>
      <c r="I256" s="679"/>
      <c r="J256" s="922"/>
      <c r="K256" s="675" t="s">
        <v>23</v>
      </c>
      <c r="L256" s="675" t="s">
        <v>55</v>
      </c>
      <c r="M256" s="679"/>
      <c r="N256" s="676"/>
      <c r="O256" s="675"/>
      <c r="P256" s="678"/>
      <c r="Q256" s="923"/>
    </row>
    <row r="257" spans="1:17" ht="15" customHeight="1">
      <c r="A257" s="93" t="s">
        <v>24</v>
      </c>
      <c r="B257" s="93" t="s">
        <v>21</v>
      </c>
      <c r="E257" s="93" t="s">
        <v>24</v>
      </c>
      <c r="F257" s="920" t="str">
        <f t="shared" si="26"/>
        <v>ジャッカル</v>
      </c>
      <c r="G257" s="679" t="s">
        <v>459</v>
      </c>
      <c r="H257" s="921" t="str">
        <f t="shared" si="27"/>
        <v>H:\Taniku\ジャッカル</v>
      </c>
      <c r="I257" s="679"/>
      <c r="J257" s="922"/>
      <c r="K257" s="675" t="s">
        <v>23</v>
      </c>
      <c r="L257" s="675" t="s">
        <v>354</v>
      </c>
      <c r="M257" s="679"/>
      <c r="N257" s="676" t="s">
        <v>460</v>
      </c>
      <c r="O257" s="675" t="s">
        <v>163</v>
      </c>
      <c r="P257" s="678" t="s">
        <v>456</v>
      </c>
      <c r="Q257" s="923"/>
    </row>
    <row r="258" spans="1:17" ht="15" customHeight="1">
      <c r="A258" s="93" t="s">
        <v>24</v>
      </c>
      <c r="B258" s="93" t="s">
        <v>21</v>
      </c>
      <c r="D258" s="93" t="s">
        <v>24</v>
      </c>
      <c r="E258" s="93" t="s">
        <v>24</v>
      </c>
      <c r="F258" s="924" t="str">
        <f t="shared" si="26"/>
        <v>シャルルローズ</v>
      </c>
      <c r="G258" s="679" t="s">
        <v>461</v>
      </c>
      <c r="H258" s="921" t="str">
        <f t="shared" si="27"/>
        <v>H:\Taniku\シャルルローズ</v>
      </c>
      <c r="I258" s="679"/>
      <c r="J258" s="922"/>
      <c r="K258" s="675" t="s">
        <v>23</v>
      </c>
      <c r="L258" s="675" t="s">
        <v>48</v>
      </c>
      <c r="M258" s="679"/>
      <c r="N258" s="676"/>
      <c r="O258" s="675"/>
      <c r="P258" s="678"/>
      <c r="Q258" s="923"/>
    </row>
    <row r="259" spans="1:17" ht="15" customHeight="1">
      <c r="A259" s="93" t="s">
        <v>24</v>
      </c>
      <c r="B259" s="93" t="s">
        <v>34</v>
      </c>
      <c r="D259" s="93" t="s">
        <v>24</v>
      </c>
      <c r="E259" s="93" t="s">
        <v>24</v>
      </c>
      <c r="F259" s="920" t="str">
        <f t="shared" si="26"/>
        <v>ジュール</v>
      </c>
      <c r="G259" s="679" t="s">
        <v>462</v>
      </c>
      <c r="H259" s="921" t="str">
        <f t="shared" si="27"/>
        <v>H:\Taniku\ジュール</v>
      </c>
      <c r="I259" s="679"/>
      <c r="J259" s="922"/>
      <c r="K259" s="675" t="s">
        <v>23</v>
      </c>
      <c r="L259" s="675" t="s">
        <v>66</v>
      </c>
      <c r="M259" s="679"/>
      <c r="N259" s="676"/>
      <c r="O259" s="675"/>
      <c r="P259" s="678"/>
      <c r="Q259" s="923"/>
    </row>
    <row r="260" spans="1:17" ht="15" customHeight="1">
      <c r="A260" s="93" t="s">
        <v>24</v>
      </c>
      <c r="B260" s="93" t="s">
        <v>39</v>
      </c>
      <c r="E260" s="93" t="s">
        <v>24</v>
      </c>
      <c r="F260" s="920" t="str">
        <f t="shared" si="26"/>
        <v>樹氷</v>
      </c>
      <c r="G260" s="679" t="s">
        <v>463</v>
      </c>
      <c r="H260" s="921" t="str">
        <f t="shared" si="27"/>
        <v>H:\Taniku\樹氷</v>
      </c>
      <c r="I260" s="679"/>
      <c r="J260" s="922"/>
      <c r="K260" s="675" t="s">
        <v>30</v>
      </c>
      <c r="L260" s="675" t="s">
        <v>129</v>
      </c>
      <c r="M260" s="679"/>
      <c r="N260" s="676"/>
      <c r="O260" s="675"/>
      <c r="P260" s="678"/>
      <c r="Q260" s="923"/>
    </row>
    <row r="261" spans="1:17" ht="15" customHeight="1">
      <c r="A261" s="93" t="s">
        <v>24</v>
      </c>
      <c r="B261" s="93" t="s">
        <v>39</v>
      </c>
      <c r="F261" s="920" t="str">
        <f t="shared" si="26"/>
        <v>秀麗</v>
      </c>
      <c r="G261" s="679" t="s">
        <v>464</v>
      </c>
      <c r="H261" s="921" t="str">
        <f t="shared" si="27"/>
        <v>H:\Taniku\秀麗</v>
      </c>
      <c r="I261" s="679"/>
      <c r="J261" s="922"/>
      <c r="K261" s="675"/>
      <c r="L261" s="675"/>
      <c r="M261" s="679"/>
      <c r="N261" s="676" t="s">
        <v>263</v>
      </c>
      <c r="O261" s="675" t="s">
        <v>163</v>
      </c>
      <c r="P261" s="678" t="s">
        <v>309</v>
      </c>
      <c r="Q261" s="923"/>
    </row>
    <row r="262" spans="1:17" ht="15" customHeight="1">
      <c r="A262" s="93" t="s">
        <v>24</v>
      </c>
      <c r="B262" s="93" t="s">
        <v>64</v>
      </c>
      <c r="E262" s="93" t="s">
        <v>24</v>
      </c>
      <c r="F262" s="920" t="str">
        <f t="shared" si="26"/>
        <v>白雪姫</v>
      </c>
      <c r="G262" s="679" t="s">
        <v>465</v>
      </c>
      <c r="H262" s="921" t="str">
        <f t="shared" si="27"/>
        <v>H:\Taniku\白雪姫</v>
      </c>
      <c r="I262" s="679"/>
      <c r="J262" s="922"/>
      <c r="K262" s="675" t="s">
        <v>27</v>
      </c>
      <c r="L262" s="675" t="s">
        <v>118</v>
      </c>
      <c r="M262" s="679"/>
      <c r="N262" s="676" t="s">
        <v>466</v>
      </c>
      <c r="O262" s="675" t="s">
        <v>163</v>
      </c>
      <c r="P262" s="678" t="s">
        <v>467</v>
      </c>
      <c r="Q262" s="923"/>
    </row>
    <row r="263" spans="1:17" ht="15" customHeight="1">
      <c r="A263" s="93" t="s">
        <v>24</v>
      </c>
      <c r="B263" s="93" t="s">
        <v>28</v>
      </c>
      <c r="E263" s="93" t="s">
        <v>24</v>
      </c>
      <c r="F263" s="920" t="str">
        <f t="shared" si="26"/>
        <v>白雪ミセバヤ</v>
      </c>
      <c r="G263" s="679" t="s">
        <v>468</v>
      </c>
      <c r="H263" s="921" t="str">
        <f t="shared" si="27"/>
        <v>H:\Taniku\白雪ミセバヤ</v>
      </c>
      <c r="I263" s="679"/>
      <c r="J263" s="922"/>
      <c r="K263" s="675" t="s">
        <v>23</v>
      </c>
      <c r="L263" s="675" t="s">
        <v>55</v>
      </c>
      <c r="M263" s="679"/>
      <c r="N263" s="676" t="s">
        <v>469</v>
      </c>
      <c r="O263" s="675" t="s">
        <v>215</v>
      </c>
      <c r="P263" s="678" t="s">
        <v>470</v>
      </c>
      <c r="Q263" s="923"/>
    </row>
    <row r="264" spans="1:17" ht="15" customHeight="1">
      <c r="A264" s="93" t="s">
        <v>24</v>
      </c>
      <c r="B264" s="93" t="s">
        <v>21</v>
      </c>
      <c r="E264" s="93" t="s">
        <v>24</v>
      </c>
      <c r="F264" s="920" t="str">
        <f t="shared" si="26"/>
        <v>シルエット</v>
      </c>
      <c r="G264" s="679" t="s">
        <v>471</v>
      </c>
      <c r="H264" s="921" t="str">
        <f t="shared" si="27"/>
        <v>H:\Taniku\シルエット</v>
      </c>
      <c r="I264" s="679"/>
      <c r="J264" s="922"/>
      <c r="K264" s="675" t="s">
        <v>27</v>
      </c>
      <c r="L264" s="675" t="s">
        <v>44</v>
      </c>
      <c r="M264" s="679"/>
      <c r="N264" s="676"/>
      <c r="O264" s="675"/>
      <c r="P264" s="678"/>
      <c r="Q264" s="923"/>
    </row>
    <row r="265" spans="1:17" ht="15" customHeight="1">
      <c r="A265" s="443" t="s">
        <v>15</v>
      </c>
      <c r="B265" s="93" t="s">
        <v>21</v>
      </c>
      <c r="E265" s="93" t="s">
        <v>24</v>
      </c>
      <c r="F265" s="920" t="str">
        <f t="shared" si="26"/>
        <v>シルエットxダークアイス</v>
      </c>
      <c r="G265" s="679" t="s">
        <v>454</v>
      </c>
      <c r="H265" s="921" t="str">
        <f t="shared" si="27"/>
        <v>H:\Taniku\シルエットxダークアイス</v>
      </c>
      <c r="I265" s="679"/>
      <c r="J265" s="922"/>
      <c r="K265" s="675" t="s">
        <v>27</v>
      </c>
      <c r="L265" s="675" t="s">
        <v>106</v>
      </c>
      <c r="M265" s="679"/>
      <c r="N265" s="676"/>
      <c r="O265" s="675"/>
      <c r="P265" s="678"/>
      <c r="Q265" s="923"/>
    </row>
    <row r="266" spans="1:17" ht="15" customHeight="1">
      <c r="A266" s="93" t="s">
        <v>24</v>
      </c>
      <c r="B266" s="93" t="s">
        <v>34</v>
      </c>
      <c r="E266" s="93" t="s">
        <v>24</v>
      </c>
      <c r="F266" s="920" t="str">
        <f t="shared" si="26"/>
        <v>シルバースター</v>
      </c>
      <c r="G266" s="679" t="s">
        <v>472</v>
      </c>
      <c r="H266" s="921" t="str">
        <f t="shared" si="27"/>
        <v>H:\Taniku\シルバースター</v>
      </c>
      <c r="I266" s="679"/>
      <c r="J266" s="922"/>
      <c r="K266" s="675" t="s">
        <v>20</v>
      </c>
      <c r="L266" s="675" t="s">
        <v>49</v>
      </c>
      <c r="M266" s="679"/>
      <c r="N266" s="676"/>
      <c r="O266" s="675"/>
      <c r="P266" s="678"/>
      <c r="Q266" s="923"/>
    </row>
    <row r="267" spans="1:17" ht="15" customHeight="1">
      <c r="A267" s="93" t="s">
        <v>24</v>
      </c>
      <c r="B267" s="93" t="s">
        <v>28</v>
      </c>
      <c r="E267" s="93" t="s">
        <v>24</v>
      </c>
      <c r="F267" s="920" t="str">
        <f t="shared" si="26"/>
        <v>シルバーストーン</v>
      </c>
      <c r="G267" s="679" t="s">
        <v>473</v>
      </c>
      <c r="H267" s="921" t="str">
        <f t="shared" si="27"/>
        <v>H:\Taniku\シルバーストーン</v>
      </c>
      <c r="I267" s="679"/>
      <c r="J267" s="922"/>
      <c r="K267" s="675" t="s">
        <v>30</v>
      </c>
      <c r="L267" s="675" t="s">
        <v>133</v>
      </c>
      <c r="M267" s="679"/>
      <c r="N267" s="676"/>
      <c r="O267" s="675"/>
      <c r="P267" s="678"/>
      <c r="Q267" s="923"/>
    </row>
    <row r="268" spans="1:17" ht="15" customHeight="1" thickBot="1">
      <c r="A268" s="93" t="s">
        <v>24</v>
      </c>
      <c r="B268" s="93" t="s">
        <v>28</v>
      </c>
      <c r="E268" s="93" t="s">
        <v>24</v>
      </c>
      <c r="F268" s="925" t="str">
        <f t="shared" si="26"/>
        <v>新玉つづり</v>
      </c>
      <c r="G268" s="926" t="s">
        <v>474</v>
      </c>
      <c r="H268" s="927" t="str">
        <f t="shared" si="27"/>
        <v>H:\Taniku\新玉つづり</v>
      </c>
      <c r="I268" s="679"/>
      <c r="J268" s="928"/>
      <c r="K268" s="929" t="s">
        <v>23</v>
      </c>
      <c r="L268" s="929" t="s">
        <v>63</v>
      </c>
      <c r="M268" s="926"/>
      <c r="N268" s="930"/>
      <c r="O268" s="929"/>
      <c r="P268" s="931"/>
      <c r="Q268" s="932"/>
    </row>
    <row r="269" spans="1:17" ht="15" customHeight="1" thickTop="1">
      <c r="B269" s="262" t="s">
        <v>12</v>
      </c>
      <c r="C269" s="262" t="s">
        <v>12</v>
      </c>
      <c r="D269" s="262"/>
      <c r="E269" s="262" t="s">
        <v>12</v>
      </c>
      <c r="F269" s="679"/>
      <c r="G269" s="679"/>
      <c r="H269" s="675"/>
      <c r="I269" s="679"/>
      <c r="J269" s="675"/>
      <c r="K269" s="675"/>
      <c r="L269" s="675"/>
      <c r="M269" s="679"/>
      <c r="N269" s="676"/>
      <c r="O269" s="675"/>
      <c r="P269" s="678"/>
      <c r="Q269" s="679"/>
    </row>
    <row r="270" spans="1:17" ht="15" customHeight="1" thickBot="1">
      <c r="B270" s="262" t="s">
        <v>12</v>
      </c>
      <c r="C270" s="262" t="s">
        <v>12</v>
      </c>
      <c r="D270" s="262"/>
      <c r="E270" s="262" t="s">
        <v>12</v>
      </c>
      <c r="F270" s="724" t="s">
        <v>475</v>
      </c>
      <c r="G270" s="724"/>
      <c r="H270" s="675"/>
      <c r="I270" s="724"/>
      <c r="J270" s="675"/>
      <c r="K270" s="675"/>
      <c r="L270" s="675"/>
      <c r="M270" s="724"/>
      <c r="N270" s="676"/>
      <c r="O270" s="933"/>
      <c r="P270" s="678"/>
      <c r="Q270" s="679"/>
    </row>
    <row r="271" spans="1:17" ht="15" customHeight="1" thickTop="1">
      <c r="A271" s="93" t="s">
        <v>24</v>
      </c>
      <c r="B271" s="93" t="s">
        <v>21</v>
      </c>
      <c r="E271" s="93" t="s">
        <v>24</v>
      </c>
      <c r="F271" s="725" t="str">
        <f t="shared" ref="F271:F279" si="28">HYPERLINK(H271,G271)</f>
        <v>スイレン</v>
      </c>
      <c r="G271" s="726" t="s">
        <v>476</v>
      </c>
      <c r="H271" s="727" t="str">
        <f t="shared" ref="H271:H279" si="29">CONCATENATE("H:\Taniku\",G271)</f>
        <v>H:\Taniku\スイレン</v>
      </c>
      <c r="I271" s="679"/>
      <c r="J271" s="728"/>
      <c r="K271" s="729" t="s">
        <v>23</v>
      </c>
      <c r="L271" s="729" t="s">
        <v>55</v>
      </c>
      <c r="M271" s="726"/>
      <c r="N271" s="730" t="s">
        <v>268</v>
      </c>
      <c r="O271" s="729" t="s">
        <v>231</v>
      </c>
      <c r="P271" s="732" t="s">
        <v>477</v>
      </c>
      <c r="Q271" s="733"/>
    </row>
    <row r="272" spans="1:17" ht="15" customHeight="1">
      <c r="A272" s="93" t="s">
        <v>24</v>
      </c>
      <c r="B272" s="93" t="s">
        <v>21</v>
      </c>
      <c r="E272" s="93" t="s">
        <v>24</v>
      </c>
      <c r="F272" s="734" t="str">
        <f t="shared" si="28"/>
        <v>スノーエンジェル</v>
      </c>
      <c r="G272" s="679" t="s">
        <v>478</v>
      </c>
      <c r="H272" s="735" t="str">
        <f t="shared" si="29"/>
        <v>H:\Taniku\スノーエンジェル</v>
      </c>
      <c r="I272" s="679"/>
      <c r="J272" s="736"/>
      <c r="K272" s="675" t="s">
        <v>23</v>
      </c>
      <c r="L272" s="675" t="s">
        <v>55</v>
      </c>
      <c r="M272" s="679"/>
      <c r="N272" s="676"/>
      <c r="O272" s="675"/>
      <c r="P272" s="678"/>
      <c r="Q272" s="737"/>
    </row>
    <row r="273" spans="1:17" ht="15" customHeight="1">
      <c r="A273" s="93" t="s">
        <v>24</v>
      </c>
      <c r="B273" s="93" t="s">
        <v>39</v>
      </c>
      <c r="E273" s="93" t="s">
        <v>24</v>
      </c>
      <c r="F273" s="734" t="str">
        <f t="shared" si="28"/>
        <v>スノージェイド</v>
      </c>
      <c r="G273" s="679" t="s">
        <v>479</v>
      </c>
      <c r="H273" s="735" t="str">
        <f t="shared" si="29"/>
        <v>H:\Taniku\スノージェイド</v>
      </c>
      <c r="I273" s="679"/>
      <c r="J273" s="736"/>
      <c r="K273" s="675" t="s">
        <v>23</v>
      </c>
      <c r="L273" s="675" t="s">
        <v>63</v>
      </c>
      <c r="M273" s="679"/>
      <c r="N273" s="676"/>
      <c r="O273" s="675"/>
      <c r="P273" s="678"/>
      <c r="Q273" s="737"/>
    </row>
    <row r="274" spans="1:17" ht="15" customHeight="1">
      <c r="A274" s="93" t="s">
        <v>24</v>
      </c>
      <c r="B274" s="93" t="s">
        <v>28</v>
      </c>
      <c r="E274" s="93" t="s">
        <v>24</v>
      </c>
      <c r="F274" s="734" t="str">
        <f t="shared" si="28"/>
        <v>スプリングワンダー</v>
      </c>
      <c r="G274" s="679" t="s">
        <v>412</v>
      </c>
      <c r="H274" s="735" t="str">
        <f t="shared" si="29"/>
        <v>H:\Taniku\スプリングワンダー</v>
      </c>
      <c r="I274" s="679"/>
      <c r="J274" s="736"/>
      <c r="K274" s="675" t="s">
        <v>27</v>
      </c>
      <c r="L274" s="675" t="s">
        <v>110</v>
      </c>
      <c r="M274" s="679"/>
      <c r="N274" s="676"/>
      <c r="O274" s="675"/>
      <c r="P274" s="678"/>
      <c r="Q274" s="737"/>
    </row>
    <row r="275" spans="1:17" ht="15" customHeight="1">
      <c r="A275" s="443" t="s">
        <v>15</v>
      </c>
      <c r="E275" s="93" t="s">
        <v>24</v>
      </c>
      <c r="F275" s="734" t="str">
        <f t="shared" si="28"/>
        <v>スプリングワンダーxだるま秀麗</v>
      </c>
      <c r="G275" s="679" t="s">
        <v>480</v>
      </c>
      <c r="H275" s="735" t="str">
        <f t="shared" si="29"/>
        <v>H:\Taniku\スプリングワンダーxだるま秀麗</v>
      </c>
      <c r="I275" s="679"/>
      <c r="J275" s="736"/>
      <c r="K275" s="675" t="s">
        <v>27</v>
      </c>
      <c r="L275" s="675" t="s">
        <v>110</v>
      </c>
      <c r="M275" s="679"/>
      <c r="N275" s="676"/>
      <c r="O275" s="675"/>
      <c r="P275" s="678"/>
      <c r="Q275" s="737"/>
    </row>
    <row r="276" spans="1:17" ht="15" customHeight="1">
      <c r="A276" s="93" t="s">
        <v>24</v>
      </c>
      <c r="B276" s="93" t="s">
        <v>481</v>
      </c>
      <c r="E276" s="93" t="s">
        <v>24</v>
      </c>
      <c r="F276" s="734" t="str">
        <f t="shared" si="28"/>
        <v>スモークツリー</v>
      </c>
      <c r="G276" s="679" t="s">
        <v>482</v>
      </c>
      <c r="H276" s="735" t="str">
        <f t="shared" si="29"/>
        <v>H:\Taniku\スモークツリー</v>
      </c>
      <c r="I276" s="679"/>
      <c r="J276" s="736"/>
      <c r="K276" s="675" t="s">
        <v>23</v>
      </c>
      <c r="L276" s="675" t="s">
        <v>60</v>
      </c>
      <c r="M276" s="679"/>
      <c r="N276" s="676" t="s">
        <v>483</v>
      </c>
      <c r="O276" s="675" t="s">
        <v>215</v>
      </c>
      <c r="P276" s="678" t="s">
        <v>484</v>
      </c>
      <c r="Q276" s="737"/>
    </row>
    <row r="277" spans="1:17" ht="15" customHeight="1">
      <c r="A277" s="93" t="s">
        <v>24</v>
      </c>
      <c r="B277" s="93" t="s">
        <v>21</v>
      </c>
      <c r="D277" s="93" t="s">
        <v>24</v>
      </c>
      <c r="E277" s="93" t="s">
        <v>24</v>
      </c>
      <c r="F277" s="734" t="str">
        <f t="shared" si="28"/>
        <v>スリラーパール</v>
      </c>
      <c r="G277" s="679" t="s">
        <v>485</v>
      </c>
      <c r="H277" s="735" t="str">
        <f t="shared" si="29"/>
        <v>H:\Taniku\スリラーパール</v>
      </c>
      <c r="I277" s="679"/>
      <c r="J277" s="736" t="s">
        <v>486</v>
      </c>
      <c r="K277" s="675" t="s">
        <v>23</v>
      </c>
      <c r="L277" s="675" t="s">
        <v>48</v>
      </c>
      <c r="M277" s="679"/>
      <c r="N277" s="676"/>
      <c r="O277" s="675"/>
      <c r="P277" s="678"/>
      <c r="Q277" s="737"/>
    </row>
    <row r="278" spans="1:17" ht="15" customHeight="1">
      <c r="A278" s="93" t="s">
        <v>24</v>
      </c>
      <c r="B278" s="93" t="s">
        <v>28</v>
      </c>
      <c r="E278" s="93" t="s">
        <v>24</v>
      </c>
      <c r="F278" s="734" t="str">
        <f t="shared" si="28"/>
        <v>スワベオレンス</v>
      </c>
      <c r="G278" s="679" t="s">
        <v>487</v>
      </c>
      <c r="H278" s="735" t="str">
        <f t="shared" si="29"/>
        <v>H:\Taniku\スワベオレンス</v>
      </c>
      <c r="I278" s="679"/>
      <c r="J278" s="736"/>
      <c r="K278" s="675" t="s">
        <v>23</v>
      </c>
      <c r="L278" s="675" t="s">
        <v>75</v>
      </c>
      <c r="M278" s="679"/>
      <c r="N278" s="676"/>
      <c r="O278" s="675"/>
      <c r="P278" s="678"/>
      <c r="Q278" s="737"/>
    </row>
    <row r="279" spans="1:17" ht="15" customHeight="1" thickBot="1">
      <c r="A279" s="93" t="s">
        <v>24</v>
      </c>
      <c r="B279" s="93" t="s">
        <v>21</v>
      </c>
      <c r="E279" s="93" t="s">
        <v>24</v>
      </c>
      <c r="F279" s="739" t="str">
        <f t="shared" si="28"/>
        <v>スリョン</v>
      </c>
      <c r="G279" s="740" t="s">
        <v>488</v>
      </c>
      <c r="H279" s="741" t="str">
        <f t="shared" si="29"/>
        <v>H:\Taniku\スリョン</v>
      </c>
      <c r="I279" s="679"/>
      <c r="J279" s="742"/>
      <c r="K279" s="743" t="s">
        <v>27</v>
      </c>
      <c r="L279" s="743" t="s">
        <v>120</v>
      </c>
      <c r="M279" s="740"/>
      <c r="N279" s="744" t="s">
        <v>268</v>
      </c>
      <c r="O279" s="743" t="s">
        <v>231</v>
      </c>
      <c r="P279" s="746" t="s">
        <v>489</v>
      </c>
      <c r="Q279" s="747"/>
    </row>
    <row r="280" spans="1:17" ht="15" customHeight="1" thickTop="1">
      <c r="B280" s="262" t="s">
        <v>12</v>
      </c>
      <c r="C280" s="262" t="s">
        <v>12</v>
      </c>
      <c r="D280" s="262"/>
      <c r="E280" s="262" t="s">
        <v>12</v>
      </c>
      <c r="F280" s="679"/>
      <c r="G280" s="679"/>
      <c r="H280" s="675"/>
      <c r="I280" s="679"/>
      <c r="J280" s="675"/>
      <c r="K280" s="675"/>
      <c r="L280" s="675"/>
      <c r="M280" s="679"/>
      <c r="N280" s="676"/>
      <c r="O280" s="675"/>
      <c r="P280" s="678"/>
      <c r="Q280" s="679"/>
    </row>
    <row r="281" spans="1:17" ht="15" customHeight="1" thickBot="1">
      <c r="B281" s="262" t="s">
        <v>12</v>
      </c>
      <c r="C281" s="262" t="s">
        <v>12</v>
      </c>
      <c r="D281" s="262"/>
      <c r="E281" s="262" t="s">
        <v>12</v>
      </c>
      <c r="F281" s="748" t="s">
        <v>490</v>
      </c>
      <c r="G281" s="748"/>
      <c r="H281" s="675"/>
      <c r="I281" s="748"/>
      <c r="J281" s="675"/>
      <c r="K281" s="675"/>
      <c r="L281" s="675"/>
      <c r="M281" s="748"/>
      <c r="N281" s="676"/>
      <c r="O281" s="934"/>
      <c r="P281" s="678"/>
      <c r="Q281" s="679"/>
    </row>
    <row r="282" spans="1:17" ht="15" customHeight="1" thickTop="1">
      <c r="A282" s="93" t="s">
        <v>24</v>
      </c>
      <c r="B282" s="93" t="s">
        <v>21</v>
      </c>
      <c r="E282" s="93" t="s">
        <v>24</v>
      </c>
      <c r="F282" s="935" t="str">
        <f>HYPERLINK(H282,G282)</f>
        <v>静夜</v>
      </c>
      <c r="G282" s="750" t="s">
        <v>302</v>
      </c>
      <c r="H282" s="751" t="str">
        <f>CONCATENATE("H:\Taniku\",G282)</f>
        <v>H:\Taniku\静夜</v>
      </c>
      <c r="I282" s="679"/>
      <c r="J282" s="752"/>
      <c r="K282" s="753" t="s">
        <v>23</v>
      </c>
      <c r="L282" s="753" t="s">
        <v>55</v>
      </c>
      <c r="M282" s="750"/>
      <c r="N282" s="754"/>
      <c r="O282" s="753"/>
      <c r="P282" s="756"/>
      <c r="Q282" s="757"/>
    </row>
    <row r="283" spans="1:17" ht="15" customHeight="1" thickBot="1">
      <c r="A283" s="93" t="s">
        <v>24</v>
      </c>
      <c r="B283" s="93" t="s">
        <v>21</v>
      </c>
      <c r="E283" s="93" t="s">
        <v>24</v>
      </c>
      <c r="F283" s="762" t="str">
        <f>HYPERLINK(H283,G283)</f>
        <v>センセプルプ</v>
      </c>
      <c r="G283" s="763" t="s">
        <v>491</v>
      </c>
      <c r="H283" s="764" t="str">
        <f>CONCATENATE("H:\Taniku\",G283)</f>
        <v>H:\Taniku\センセプルプ</v>
      </c>
      <c r="I283" s="679"/>
      <c r="J283" s="765"/>
      <c r="K283" s="766" t="s">
        <v>27</v>
      </c>
      <c r="L283" s="766" t="s">
        <v>108</v>
      </c>
      <c r="M283" s="763"/>
      <c r="N283" s="767" t="s">
        <v>492</v>
      </c>
      <c r="O283" s="766" t="s">
        <v>163</v>
      </c>
      <c r="P283" s="769" t="s">
        <v>493</v>
      </c>
      <c r="Q283" s="770"/>
    </row>
    <row r="284" spans="1:17" ht="15" customHeight="1" thickTop="1">
      <c r="B284" s="262" t="s">
        <v>12</v>
      </c>
      <c r="C284" s="262" t="s">
        <v>12</v>
      </c>
      <c r="D284" s="262"/>
      <c r="E284" s="262" t="s">
        <v>12</v>
      </c>
      <c r="F284" s="679"/>
      <c r="G284" s="679"/>
      <c r="H284" s="675"/>
      <c r="I284" s="679"/>
      <c r="J284" s="675"/>
      <c r="K284" s="675"/>
      <c r="L284" s="675"/>
      <c r="M284" s="679"/>
      <c r="N284" s="676"/>
      <c r="O284" s="675"/>
      <c r="P284" s="678"/>
      <c r="Q284" s="679"/>
    </row>
    <row r="285" spans="1:17" ht="15" customHeight="1" thickBot="1">
      <c r="B285" s="262" t="s">
        <v>12</v>
      </c>
      <c r="C285" s="262" t="s">
        <v>12</v>
      </c>
      <c r="D285" s="262"/>
      <c r="E285" s="262" t="s">
        <v>12</v>
      </c>
      <c r="F285" s="771" t="s">
        <v>494</v>
      </c>
      <c r="G285" s="771"/>
      <c r="H285" s="675"/>
      <c r="I285" s="771"/>
      <c r="J285" s="675"/>
      <c r="K285" s="675"/>
      <c r="L285" s="675"/>
      <c r="M285" s="771"/>
      <c r="N285" s="676"/>
      <c r="O285" s="936"/>
      <c r="P285" s="678"/>
      <c r="Q285" s="679"/>
    </row>
    <row r="286" spans="1:17" ht="15" customHeight="1" thickTop="1">
      <c r="A286" s="93" t="s">
        <v>24</v>
      </c>
      <c r="B286" s="93" t="s">
        <v>21</v>
      </c>
      <c r="E286" s="93" t="s">
        <v>24</v>
      </c>
      <c r="F286" s="937" t="str">
        <f>HYPERLINK(H286,G286)</f>
        <v>早春</v>
      </c>
      <c r="G286" s="773" t="s">
        <v>495</v>
      </c>
      <c r="H286" s="774" t="str">
        <f>CONCATENATE("H:\Taniku\",G286)</f>
        <v>H:\Taniku\早春</v>
      </c>
      <c r="I286" s="679"/>
      <c r="J286" s="775"/>
      <c r="K286" s="776" t="s">
        <v>27</v>
      </c>
      <c r="L286" s="776" t="s">
        <v>108</v>
      </c>
      <c r="M286" s="773"/>
      <c r="N286" s="777"/>
      <c r="O286" s="776"/>
      <c r="P286" s="779"/>
      <c r="Q286" s="780"/>
    </row>
    <row r="287" spans="1:17" ht="15" customHeight="1">
      <c r="A287" s="93" t="s">
        <v>24</v>
      </c>
      <c r="B287" s="93" t="s">
        <v>21</v>
      </c>
      <c r="E287" s="93" t="s">
        <v>24</v>
      </c>
      <c r="F287" s="785" t="str">
        <f>HYPERLINK(H287,G287)</f>
        <v>相府蓮</v>
      </c>
      <c r="G287" s="679" t="s">
        <v>496</v>
      </c>
      <c r="H287" s="782" t="str">
        <f>CONCATENATE("H:\Taniku\",G287)</f>
        <v>H:\Taniku\相府蓮</v>
      </c>
      <c r="I287" s="679"/>
      <c r="J287" s="783"/>
      <c r="K287" s="675" t="s">
        <v>23</v>
      </c>
      <c r="L287" s="675" t="s">
        <v>48</v>
      </c>
      <c r="M287" s="679"/>
      <c r="N287" s="676" t="s">
        <v>214</v>
      </c>
      <c r="O287" s="677" t="s">
        <v>215</v>
      </c>
      <c r="P287" s="678" t="s">
        <v>216</v>
      </c>
      <c r="Q287" s="784"/>
    </row>
    <row r="288" spans="1:17" ht="15" customHeight="1" thickBot="1">
      <c r="A288" s="93" t="s">
        <v>24</v>
      </c>
      <c r="B288" s="93" t="s">
        <v>21</v>
      </c>
      <c r="E288" s="93" t="s">
        <v>24</v>
      </c>
      <c r="F288" s="786" t="str">
        <f>HYPERLINK(H288,G288)</f>
        <v>ソンヨウン</v>
      </c>
      <c r="G288" s="787" t="s">
        <v>497</v>
      </c>
      <c r="H288" s="788" t="str">
        <f>CONCATENATE("H:\Taniku\",G288)</f>
        <v>H:\Taniku\ソンヨウン</v>
      </c>
      <c r="I288" s="679"/>
      <c r="J288" s="789"/>
      <c r="K288" s="790" t="s">
        <v>27</v>
      </c>
      <c r="L288" s="790" t="s">
        <v>120</v>
      </c>
      <c r="M288" s="787"/>
      <c r="N288" s="791" t="s">
        <v>268</v>
      </c>
      <c r="O288" s="790" t="s">
        <v>231</v>
      </c>
      <c r="P288" s="793" t="s">
        <v>498</v>
      </c>
      <c r="Q288" s="794"/>
    </row>
    <row r="289" spans="1:17" ht="15" customHeight="1" thickTop="1">
      <c r="B289" s="262" t="s">
        <v>12</v>
      </c>
      <c r="C289" s="262" t="s">
        <v>12</v>
      </c>
      <c r="D289" s="262"/>
      <c r="E289" s="262" t="s">
        <v>12</v>
      </c>
    </row>
    <row r="290" spans="1:17" ht="15" customHeight="1" thickBot="1">
      <c r="B290" s="262" t="s">
        <v>12</v>
      </c>
      <c r="C290" s="262" t="s">
        <v>12</v>
      </c>
      <c r="D290" s="262"/>
      <c r="E290" s="262" t="s">
        <v>12</v>
      </c>
      <c r="F290" s="795" t="s">
        <v>499</v>
      </c>
      <c r="G290" s="795"/>
      <c r="H290" s="646"/>
      <c r="I290" s="795"/>
      <c r="J290" s="646"/>
      <c r="K290" s="646"/>
      <c r="L290" s="646"/>
      <c r="M290" s="795"/>
      <c r="N290" s="647"/>
      <c r="O290" s="796"/>
      <c r="P290" s="649"/>
      <c r="Q290" s="650"/>
    </row>
    <row r="291" spans="1:17" ht="15" customHeight="1" thickTop="1">
      <c r="A291" s="93" t="s">
        <v>24</v>
      </c>
      <c r="B291" s="93" t="s">
        <v>36</v>
      </c>
      <c r="E291" s="93" t="s">
        <v>24</v>
      </c>
      <c r="F291" s="938" t="str">
        <f t="shared" ref="F291:F297" si="30">HYPERLINK(H291,G291)</f>
        <v>大扇月</v>
      </c>
      <c r="G291" s="798" t="s">
        <v>500</v>
      </c>
      <c r="H291" s="799" t="str">
        <f t="shared" ref="H291:H297" si="31">CONCATENATE("H:\Taniku\",G291)</f>
        <v>H:\Taniku\大扇月</v>
      </c>
      <c r="I291" s="650"/>
      <c r="J291" s="800"/>
      <c r="K291" s="801" t="s">
        <v>23</v>
      </c>
      <c r="L291" s="801" t="s">
        <v>63</v>
      </c>
      <c r="M291" s="798"/>
      <c r="N291" s="802"/>
      <c r="O291" s="801"/>
      <c r="P291" s="803"/>
      <c r="Q291" s="804"/>
    </row>
    <row r="292" spans="1:17" ht="15" customHeight="1">
      <c r="A292" s="93" t="s">
        <v>24</v>
      </c>
      <c r="B292" s="93" t="s">
        <v>21</v>
      </c>
      <c r="E292" s="93" t="s">
        <v>24</v>
      </c>
      <c r="F292" s="809" t="str">
        <f t="shared" si="30"/>
        <v>高砂の翁</v>
      </c>
      <c r="G292" s="650" t="s">
        <v>501</v>
      </c>
      <c r="H292" s="806" t="str">
        <f t="shared" si="31"/>
        <v>H:\Taniku\高砂の翁</v>
      </c>
      <c r="I292" s="650"/>
      <c r="J292" s="807"/>
      <c r="K292" s="646" t="s">
        <v>20</v>
      </c>
      <c r="L292" s="646" t="s">
        <v>45</v>
      </c>
      <c r="M292" s="650"/>
      <c r="N292" s="647"/>
      <c r="O292" s="646"/>
      <c r="P292" s="649"/>
      <c r="Q292" s="808"/>
    </row>
    <row r="293" spans="1:17" ht="15" customHeight="1">
      <c r="A293" s="93" t="s">
        <v>24</v>
      </c>
      <c r="B293" s="93" t="s">
        <v>21</v>
      </c>
      <c r="E293" s="93" t="s">
        <v>24</v>
      </c>
      <c r="F293" s="809" t="str">
        <f t="shared" si="30"/>
        <v>ダークアイス</v>
      </c>
      <c r="G293" s="650" t="s">
        <v>502</v>
      </c>
      <c r="H293" s="806" t="str">
        <f t="shared" si="31"/>
        <v>H:\Taniku\ダークアイス</v>
      </c>
      <c r="I293" s="650"/>
      <c r="J293" s="807"/>
      <c r="K293" s="648" t="s">
        <v>23</v>
      </c>
      <c r="L293" s="648" t="s">
        <v>60</v>
      </c>
      <c r="M293" s="650"/>
      <c r="N293" s="647"/>
      <c r="O293" s="646"/>
      <c r="P293" s="649"/>
      <c r="Q293" s="808"/>
    </row>
    <row r="294" spans="1:17" ht="15" customHeight="1">
      <c r="A294" s="93" t="s">
        <v>24</v>
      </c>
      <c r="B294" s="93" t="s">
        <v>46</v>
      </c>
      <c r="E294" s="93" t="s">
        <v>24</v>
      </c>
      <c r="F294" s="809" t="str">
        <f t="shared" si="30"/>
        <v>立田</v>
      </c>
      <c r="G294" s="650" t="s">
        <v>503</v>
      </c>
      <c r="H294" s="806" t="str">
        <f t="shared" si="31"/>
        <v>H:\Taniku\立田</v>
      </c>
      <c r="I294" s="650"/>
      <c r="J294" s="807"/>
      <c r="K294" s="648" t="s">
        <v>30</v>
      </c>
      <c r="L294" s="648" t="s">
        <v>129</v>
      </c>
      <c r="M294" s="650"/>
      <c r="N294" s="647" t="s">
        <v>504</v>
      </c>
      <c r="O294" s="646" t="s">
        <v>163</v>
      </c>
      <c r="P294" s="649" t="s">
        <v>505</v>
      </c>
      <c r="Q294" s="808"/>
    </row>
    <row r="295" spans="1:17" ht="15" customHeight="1">
      <c r="A295" s="93" t="s">
        <v>24</v>
      </c>
      <c r="B295" s="93" t="s">
        <v>28</v>
      </c>
      <c r="E295" s="93" t="s">
        <v>24</v>
      </c>
      <c r="F295" s="809" t="str">
        <f t="shared" si="30"/>
        <v>玉蛋白</v>
      </c>
      <c r="G295" s="650" t="s">
        <v>506</v>
      </c>
      <c r="H295" s="806" t="str">
        <f t="shared" si="31"/>
        <v>H:\Taniku\玉蛋白</v>
      </c>
      <c r="I295" s="650"/>
      <c r="J295" s="807"/>
      <c r="K295" s="646" t="s">
        <v>27</v>
      </c>
      <c r="L295" s="646" t="s">
        <v>112</v>
      </c>
      <c r="M295" s="650"/>
      <c r="N295" s="647"/>
      <c r="O295" s="646"/>
      <c r="P295" s="649"/>
      <c r="Q295" s="808"/>
    </row>
    <row r="296" spans="1:17" ht="15" customHeight="1">
      <c r="A296" s="93" t="s">
        <v>24</v>
      </c>
      <c r="B296" s="93" t="s">
        <v>28</v>
      </c>
      <c r="E296" s="93" t="s">
        <v>24</v>
      </c>
      <c r="F296" s="809" t="str">
        <f t="shared" si="30"/>
        <v>ダシフィルム</v>
      </c>
      <c r="G296" s="650" t="s">
        <v>507</v>
      </c>
      <c r="H296" s="806" t="str">
        <f t="shared" si="31"/>
        <v>H:\Taniku\ダシフィルム</v>
      </c>
      <c r="I296" s="650"/>
      <c r="J296" s="807"/>
      <c r="K296" s="646" t="s">
        <v>27</v>
      </c>
      <c r="L296" s="646" t="s">
        <v>112</v>
      </c>
      <c r="M296" s="650"/>
      <c r="N296" s="647"/>
      <c r="O296" s="646"/>
      <c r="P296" s="649"/>
      <c r="Q296" s="808"/>
    </row>
    <row r="297" spans="1:17" ht="15" customHeight="1" thickBot="1">
      <c r="A297" s="93" t="s">
        <v>24</v>
      </c>
      <c r="B297" s="93" t="s">
        <v>42</v>
      </c>
      <c r="F297" s="810" t="str">
        <f t="shared" si="30"/>
        <v>だるま秀麗</v>
      </c>
      <c r="G297" s="811" t="s">
        <v>411</v>
      </c>
      <c r="H297" s="812" t="str">
        <f t="shared" si="31"/>
        <v>H:\Taniku\だるま秀麗</v>
      </c>
      <c r="I297" s="650"/>
      <c r="J297" s="813"/>
      <c r="K297" s="814"/>
      <c r="L297" s="814"/>
      <c r="M297" s="811"/>
      <c r="N297" s="815"/>
      <c r="O297" s="814"/>
      <c r="P297" s="816"/>
      <c r="Q297" s="817"/>
    </row>
    <row r="298" spans="1:17" ht="15" customHeight="1" thickTop="1">
      <c r="B298" s="262" t="s">
        <v>12</v>
      </c>
      <c r="C298" s="262" t="s">
        <v>12</v>
      </c>
      <c r="D298" s="262"/>
      <c r="E298" s="262" t="s">
        <v>12</v>
      </c>
      <c r="F298" s="650"/>
      <c r="G298" s="650"/>
      <c r="H298" s="646"/>
      <c r="I298" s="650"/>
      <c r="J298" s="646"/>
      <c r="K298" s="646"/>
      <c r="L298" s="646"/>
      <c r="M298" s="650"/>
      <c r="N298" s="647"/>
      <c r="O298" s="646"/>
      <c r="P298" s="649"/>
      <c r="Q298" s="650"/>
    </row>
    <row r="299" spans="1:17" ht="15" customHeight="1" thickBot="1">
      <c r="B299" s="262" t="s">
        <v>12</v>
      </c>
      <c r="C299" s="262" t="s">
        <v>12</v>
      </c>
      <c r="D299" s="262"/>
      <c r="E299" s="262" t="s">
        <v>12</v>
      </c>
      <c r="F299" s="818" t="s">
        <v>508</v>
      </c>
      <c r="G299" s="818"/>
      <c r="H299" s="646"/>
      <c r="I299" s="818"/>
      <c r="J299" s="646"/>
      <c r="K299" s="646"/>
      <c r="L299" s="646"/>
      <c r="M299" s="818"/>
      <c r="N299" s="647"/>
      <c r="O299" s="819"/>
      <c r="P299" s="649"/>
      <c r="Q299" s="650"/>
    </row>
    <row r="300" spans="1:17" ht="15" customHeight="1" thickTop="1">
      <c r="A300" s="93" t="s">
        <v>24</v>
      </c>
      <c r="B300" s="93" t="s">
        <v>42</v>
      </c>
      <c r="E300" s="93" t="s">
        <v>24</v>
      </c>
      <c r="F300" s="820" t="str">
        <f t="shared" ref="F300:F306" si="32">HYPERLINK(H300,G300)</f>
        <v>チーズ</v>
      </c>
      <c r="G300" s="939" t="s">
        <v>509</v>
      </c>
      <c r="H300" s="822" t="str">
        <f t="shared" ref="H300:H306" si="33">CONCATENATE("H:\Taniku\",G300)</f>
        <v>H:\Taniku\チーズ</v>
      </c>
      <c r="I300" s="940"/>
      <c r="J300" s="941"/>
      <c r="K300" s="942" t="s">
        <v>23</v>
      </c>
      <c r="L300" s="942" t="s">
        <v>55</v>
      </c>
      <c r="M300" s="939"/>
      <c r="N300" s="943" t="s">
        <v>510</v>
      </c>
      <c r="O300" s="942" t="s">
        <v>231</v>
      </c>
      <c r="P300" s="944" t="s">
        <v>511</v>
      </c>
      <c r="Q300" s="945"/>
    </row>
    <row r="301" spans="1:17" ht="15" customHeight="1">
      <c r="A301" s="93" t="s">
        <v>24</v>
      </c>
      <c r="B301" s="93" t="s">
        <v>21</v>
      </c>
      <c r="E301" s="93" t="s">
        <v>24</v>
      </c>
      <c r="F301" s="828" t="str">
        <f t="shared" si="32"/>
        <v>チェリークイーン</v>
      </c>
      <c r="G301" s="946" t="s">
        <v>188</v>
      </c>
      <c r="H301" s="829" t="str">
        <f t="shared" si="33"/>
        <v>H:\Taniku\チェリークイーン</v>
      </c>
      <c r="I301" s="940"/>
      <c r="J301" s="947"/>
      <c r="K301" s="648" t="s">
        <v>27</v>
      </c>
      <c r="L301" s="648" t="s">
        <v>108</v>
      </c>
      <c r="M301" s="946"/>
      <c r="N301" s="948" t="s">
        <v>196</v>
      </c>
      <c r="O301" s="648" t="s">
        <v>163</v>
      </c>
      <c r="P301" s="949" t="s">
        <v>422</v>
      </c>
      <c r="Q301" s="950"/>
    </row>
    <row r="302" spans="1:17" ht="15" customHeight="1">
      <c r="A302" s="93" t="s">
        <v>24</v>
      </c>
      <c r="B302" s="93" t="s">
        <v>21</v>
      </c>
      <c r="E302" s="93" t="s">
        <v>24</v>
      </c>
      <c r="F302" s="828" t="str">
        <f t="shared" si="32"/>
        <v>チャイナローズ</v>
      </c>
      <c r="G302" s="946" t="s">
        <v>512</v>
      </c>
      <c r="H302" s="829" t="str">
        <f t="shared" si="33"/>
        <v>H:\Taniku\チャイナローズ</v>
      </c>
      <c r="I302" s="940"/>
      <c r="J302" s="947"/>
      <c r="K302" s="648"/>
      <c r="L302" s="648"/>
      <c r="M302" s="946"/>
      <c r="N302" s="948" t="s">
        <v>513</v>
      </c>
      <c r="O302" s="648" t="s">
        <v>514</v>
      </c>
      <c r="P302" s="949" t="s">
        <v>515</v>
      </c>
      <c r="Q302" s="950"/>
    </row>
    <row r="303" spans="1:17" ht="15" customHeight="1">
      <c r="A303" s="93" t="s">
        <v>24</v>
      </c>
      <c r="B303" s="93" t="s">
        <v>21</v>
      </c>
      <c r="E303" s="93" t="s">
        <v>24</v>
      </c>
      <c r="F303" s="828" t="str">
        <f t="shared" si="32"/>
        <v>チュビーリップス</v>
      </c>
      <c r="G303" s="946" t="s">
        <v>516</v>
      </c>
      <c r="H303" s="829" t="str">
        <f t="shared" si="33"/>
        <v>H:\Taniku\チュビーリップス</v>
      </c>
      <c r="I303" s="940"/>
      <c r="J303" s="947"/>
      <c r="K303" s="648" t="s">
        <v>23</v>
      </c>
      <c r="L303" s="648" t="s">
        <v>75</v>
      </c>
      <c r="M303" s="946"/>
      <c r="N303" s="948" t="s">
        <v>517</v>
      </c>
      <c r="O303" s="648" t="s">
        <v>163</v>
      </c>
      <c r="P303" s="949" t="s">
        <v>396</v>
      </c>
      <c r="Q303" s="950"/>
    </row>
    <row r="304" spans="1:17" ht="15" customHeight="1">
      <c r="A304" s="93" t="s">
        <v>24</v>
      </c>
      <c r="B304" s="93" t="s">
        <v>53</v>
      </c>
      <c r="E304" s="93" t="s">
        <v>24</v>
      </c>
      <c r="F304" s="828" t="str">
        <f t="shared" si="32"/>
        <v>千代田の松</v>
      </c>
      <c r="G304" s="946" t="s">
        <v>518</v>
      </c>
      <c r="H304" s="829" t="str">
        <f t="shared" si="33"/>
        <v>H:\Taniku\千代田の松</v>
      </c>
      <c r="I304" s="940"/>
      <c r="J304" s="947"/>
      <c r="K304" s="648" t="s">
        <v>30</v>
      </c>
      <c r="L304" s="648" t="s">
        <v>129</v>
      </c>
      <c r="M304" s="946"/>
      <c r="N304" s="948" t="s">
        <v>519</v>
      </c>
      <c r="O304" s="648" t="s">
        <v>520</v>
      </c>
      <c r="P304" s="949" t="s">
        <v>521</v>
      </c>
      <c r="Q304" s="950"/>
    </row>
    <row r="305" spans="1:17" ht="15" customHeight="1">
      <c r="A305" s="93" t="s">
        <v>24</v>
      </c>
      <c r="B305" s="93" t="s">
        <v>21</v>
      </c>
      <c r="C305" s="93" t="s">
        <v>24</v>
      </c>
      <c r="E305" s="93" t="s">
        <v>24</v>
      </c>
      <c r="F305" s="828" t="str">
        <f t="shared" si="32"/>
        <v>チワワエンシス</v>
      </c>
      <c r="G305" s="946" t="s">
        <v>456</v>
      </c>
      <c r="H305" s="829" t="str">
        <f t="shared" si="33"/>
        <v>H:\Taniku\チワワエンシス</v>
      </c>
      <c r="I305" s="940"/>
      <c r="J305" s="947"/>
      <c r="K305" s="648" t="s">
        <v>260</v>
      </c>
      <c r="L305" s="648" t="s">
        <v>522</v>
      </c>
      <c r="M305" s="946"/>
      <c r="N305" s="948" t="s">
        <v>523</v>
      </c>
      <c r="O305" s="648" t="s">
        <v>215</v>
      </c>
      <c r="P305" s="949" t="s">
        <v>524</v>
      </c>
      <c r="Q305" s="950"/>
    </row>
    <row r="306" spans="1:17" ht="15" customHeight="1" thickBot="1">
      <c r="A306" s="93" t="s">
        <v>24</v>
      </c>
      <c r="B306" s="93" t="s">
        <v>21</v>
      </c>
      <c r="D306" s="93" t="s">
        <v>24</v>
      </c>
      <c r="E306" s="93" t="s">
        <v>24</v>
      </c>
      <c r="F306" s="833" t="str">
        <f t="shared" si="32"/>
        <v>チワワエンシスイェコラ</v>
      </c>
      <c r="G306" s="951" t="s">
        <v>525</v>
      </c>
      <c r="H306" s="835" t="str">
        <f t="shared" si="33"/>
        <v>H:\Taniku\チワワエンシスイェコラ</v>
      </c>
      <c r="I306" s="940"/>
      <c r="J306" s="952"/>
      <c r="K306" s="953" t="s">
        <v>23</v>
      </c>
      <c r="L306" s="953" t="s">
        <v>526</v>
      </c>
      <c r="M306" s="951"/>
      <c r="N306" s="954" t="s">
        <v>456</v>
      </c>
      <c r="O306" s="953" t="s">
        <v>215</v>
      </c>
      <c r="P306" s="955" t="s">
        <v>527</v>
      </c>
      <c r="Q306" s="956"/>
    </row>
    <row r="307" spans="1:17" ht="15" customHeight="1" thickTop="1">
      <c r="B307" s="262" t="s">
        <v>12</v>
      </c>
      <c r="C307" s="262" t="s">
        <v>12</v>
      </c>
      <c r="D307" s="262"/>
      <c r="E307" s="262" t="s">
        <v>12</v>
      </c>
      <c r="F307" s="650"/>
      <c r="G307" s="650"/>
      <c r="H307" s="646"/>
      <c r="I307" s="650"/>
      <c r="J307" s="646"/>
      <c r="K307" s="646"/>
      <c r="L307" s="646"/>
      <c r="M307" s="650"/>
      <c r="N307" s="647"/>
      <c r="O307" s="646"/>
      <c r="P307" s="649"/>
      <c r="Q307" s="650"/>
    </row>
    <row r="308" spans="1:17" ht="15" customHeight="1" thickBot="1">
      <c r="B308" s="262" t="s">
        <v>12</v>
      </c>
      <c r="C308" s="262" t="s">
        <v>12</v>
      </c>
      <c r="D308" s="262"/>
      <c r="E308" s="262" t="s">
        <v>12</v>
      </c>
      <c r="F308" s="841" t="s">
        <v>528</v>
      </c>
      <c r="G308" s="841"/>
      <c r="H308" s="646"/>
      <c r="I308" s="841"/>
      <c r="J308" s="646"/>
      <c r="K308" s="646"/>
      <c r="L308" s="646"/>
      <c r="M308" s="841"/>
      <c r="N308" s="647"/>
      <c r="O308" s="842"/>
      <c r="P308" s="649"/>
      <c r="Q308" s="650"/>
    </row>
    <row r="309" spans="1:17" ht="15" customHeight="1" thickTop="1">
      <c r="A309" s="93" t="s">
        <v>24</v>
      </c>
      <c r="B309" s="93" t="s">
        <v>53</v>
      </c>
      <c r="E309" s="93" t="s">
        <v>24</v>
      </c>
      <c r="F309" s="957" t="str">
        <f>HYPERLINK(H309,G309)</f>
        <v>月美人</v>
      </c>
      <c r="G309" s="844" t="s">
        <v>529</v>
      </c>
      <c r="H309" s="845" t="str">
        <f>CONCATENATE("H:\Taniku\",G309)</f>
        <v>H:\Taniku\月美人</v>
      </c>
      <c r="I309" s="650"/>
      <c r="J309" s="846"/>
      <c r="K309" s="847" t="s">
        <v>30</v>
      </c>
      <c r="L309" s="847" t="s">
        <v>129</v>
      </c>
      <c r="M309" s="844"/>
      <c r="N309" s="848"/>
      <c r="O309" s="847"/>
      <c r="P309" s="849"/>
      <c r="Q309" s="850"/>
    </row>
    <row r="310" spans="1:17" ht="15" customHeight="1" thickBot="1">
      <c r="A310" s="93" t="s">
        <v>24</v>
      </c>
      <c r="B310" s="93" t="s">
        <v>61</v>
      </c>
      <c r="E310" s="93" t="s">
        <v>24</v>
      </c>
      <c r="F310" s="958" t="str">
        <f>HYPERLINK(H310,G310)</f>
        <v>爪蓮華</v>
      </c>
      <c r="G310" s="857" t="s">
        <v>530</v>
      </c>
      <c r="H310" s="858" t="str">
        <f>CONCATENATE("H:\Taniku\",G310)</f>
        <v>H:\Taniku\爪蓮華</v>
      </c>
      <c r="I310" s="650"/>
      <c r="J310" s="859"/>
      <c r="K310" s="860" t="s">
        <v>27</v>
      </c>
      <c r="L310" s="860" t="s">
        <v>44</v>
      </c>
      <c r="M310" s="857"/>
      <c r="N310" s="861"/>
      <c r="O310" s="860"/>
      <c r="P310" s="862"/>
      <c r="Q310" s="863"/>
    </row>
    <row r="311" spans="1:17" ht="15" customHeight="1" thickTop="1">
      <c r="B311" s="262" t="s">
        <v>12</v>
      </c>
      <c r="C311" s="262" t="s">
        <v>12</v>
      </c>
      <c r="D311" s="262"/>
      <c r="E311" s="262" t="s">
        <v>12</v>
      </c>
      <c r="F311" s="650"/>
      <c r="G311" s="650"/>
      <c r="H311" s="646"/>
      <c r="I311" s="650"/>
      <c r="J311" s="646"/>
      <c r="K311" s="646"/>
      <c r="L311" s="646"/>
      <c r="M311" s="650"/>
      <c r="N311" s="647"/>
      <c r="O311" s="646"/>
      <c r="P311" s="649"/>
      <c r="Q311" s="650"/>
    </row>
    <row r="312" spans="1:17" ht="15" customHeight="1" thickBot="1">
      <c r="B312" s="262" t="s">
        <v>12</v>
      </c>
      <c r="C312" s="262" t="s">
        <v>12</v>
      </c>
      <c r="D312" s="262"/>
      <c r="E312" s="262" t="s">
        <v>12</v>
      </c>
      <c r="F312" s="864" t="s">
        <v>531</v>
      </c>
      <c r="G312" s="864"/>
      <c r="H312" s="646"/>
      <c r="I312" s="864"/>
      <c r="J312" s="646"/>
      <c r="K312" s="646"/>
      <c r="L312" s="646"/>
      <c r="M312" s="864"/>
      <c r="N312" s="647"/>
      <c r="O312" s="865"/>
      <c r="P312" s="649"/>
      <c r="Q312" s="650"/>
    </row>
    <row r="313" spans="1:17" ht="15" customHeight="1" thickTop="1">
      <c r="A313" s="93" t="s">
        <v>24</v>
      </c>
      <c r="B313" s="93" t="s">
        <v>34</v>
      </c>
      <c r="E313" s="93" t="s">
        <v>24</v>
      </c>
      <c r="F313" s="866" t="str">
        <f>HYPERLINK(H313,G313)</f>
        <v>ティテュバンス錦</v>
      </c>
      <c r="G313" s="867" t="s">
        <v>532</v>
      </c>
      <c r="H313" s="868" t="str">
        <f>CONCATENATE("H:\Taniku\",G313)</f>
        <v>H:\Taniku\ティテュバンス錦</v>
      </c>
      <c r="I313" s="650"/>
      <c r="J313" s="869"/>
      <c r="K313" s="870" t="s">
        <v>27</v>
      </c>
      <c r="L313" s="870" t="s">
        <v>110</v>
      </c>
      <c r="M313" s="867"/>
      <c r="N313" s="871"/>
      <c r="O313" s="870"/>
      <c r="P313" s="872"/>
      <c r="Q313" s="873"/>
    </row>
    <row r="314" spans="1:17" ht="15" customHeight="1">
      <c r="A314" s="93" t="s">
        <v>342</v>
      </c>
      <c r="B314" s="93" t="s">
        <v>21</v>
      </c>
      <c r="F314" s="959" t="str">
        <f>HYPERLINK(H314,G314)</f>
        <v>ティファニーダイヤ凍グス</v>
      </c>
      <c r="G314" s="650" t="s">
        <v>533</v>
      </c>
      <c r="H314" s="875" t="str">
        <f>CONCATENATE("H:\Taniku\","麈★ ",G314)</f>
        <v>H:\Taniku\麈★ ティファニーダイヤ凍グス</v>
      </c>
      <c r="I314" s="650"/>
      <c r="J314" s="876"/>
      <c r="K314" s="646" t="s">
        <v>27</v>
      </c>
      <c r="L314" s="646" t="s">
        <v>44</v>
      </c>
      <c r="M314" s="650"/>
      <c r="N314" s="647"/>
      <c r="O314" s="646"/>
      <c r="P314" s="649"/>
      <c r="Q314" s="877"/>
    </row>
    <row r="315" spans="1:17" ht="15" customHeight="1">
      <c r="A315" s="93" t="s">
        <v>24</v>
      </c>
      <c r="B315" s="93" t="s">
        <v>36</v>
      </c>
      <c r="E315" s="93" t="s">
        <v>24</v>
      </c>
      <c r="F315" s="874" t="str">
        <f>HYPERLINK(H315,G315)</f>
        <v>デザートローズ</v>
      </c>
      <c r="G315" s="650" t="s">
        <v>534</v>
      </c>
      <c r="H315" s="875" t="str">
        <f>CONCATENATE("H:\Taniku\",G315)</f>
        <v>H:\Taniku\デザートローズ</v>
      </c>
      <c r="I315" s="650"/>
      <c r="J315" s="876"/>
      <c r="K315" s="646" t="s">
        <v>23</v>
      </c>
      <c r="L315" s="646" t="s">
        <v>63</v>
      </c>
      <c r="M315" s="650"/>
      <c r="N315" s="647" t="s">
        <v>268</v>
      </c>
      <c r="O315" s="646" t="s">
        <v>231</v>
      </c>
      <c r="P315" s="649" t="s">
        <v>535</v>
      </c>
      <c r="Q315" s="877"/>
    </row>
    <row r="316" spans="1:17" ht="15" customHeight="1">
      <c r="A316" s="93" t="s">
        <v>24</v>
      </c>
      <c r="B316" s="93" t="s">
        <v>21</v>
      </c>
      <c r="E316" s="93" t="s">
        <v>24</v>
      </c>
      <c r="F316" s="959" t="str">
        <f>HYPERLINK(H316,G316)</f>
        <v>ティッピー</v>
      </c>
      <c r="G316" s="650" t="s">
        <v>536</v>
      </c>
      <c r="H316" s="875" t="str">
        <f>CONCATENATE("H:\Taniku\",G316)</f>
        <v>H:\Taniku\ティッピー</v>
      </c>
      <c r="I316" s="650"/>
      <c r="J316" s="876"/>
      <c r="K316" s="646" t="s">
        <v>27</v>
      </c>
      <c r="L316" s="646" t="s">
        <v>106</v>
      </c>
      <c r="M316" s="650"/>
      <c r="N316" s="647" t="s">
        <v>214</v>
      </c>
      <c r="O316" s="646" t="s">
        <v>163</v>
      </c>
      <c r="P316" s="649" t="s">
        <v>302</v>
      </c>
      <c r="Q316" s="877"/>
    </row>
    <row r="317" spans="1:17" ht="15" customHeight="1" thickBot="1">
      <c r="A317" s="93" t="s">
        <v>24</v>
      </c>
      <c r="B317" s="93" t="s">
        <v>34</v>
      </c>
      <c r="E317" s="93" t="s">
        <v>24</v>
      </c>
      <c r="F317" s="960" t="str">
        <f>HYPERLINK(H317,G317)</f>
        <v>デビー</v>
      </c>
      <c r="G317" s="879" t="s">
        <v>537</v>
      </c>
      <c r="H317" s="880" t="str">
        <f>CONCATENATE("H:\Taniku\",G317)</f>
        <v>H:\Taniku\デビー</v>
      </c>
      <c r="I317" s="650"/>
      <c r="J317" s="881"/>
      <c r="K317" s="882" t="s">
        <v>27</v>
      </c>
      <c r="L317" s="882" t="s">
        <v>118</v>
      </c>
      <c r="M317" s="879"/>
      <c r="N317" s="883"/>
      <c r="O317" s="882"/>
      <c r="P317" s="884"/>
      <c r="Q317" s="885"/>
    </row>
    <row r="318" spans="1:17" ht="15" customHeight="1" thickTop="1">
      <c r="B318" s="262" t="s">
        <v>12</v>
      </c>
      <c r="C318" s="262" t="s">
        <v>12</v>
      </c>
      <c r="D318" s="262"/>
      <c r="E318" s="262" t="s">
        <v>12</v>
      </c>
      <c r="F318" s="650"/>
      <c r="G318" s="650"/>
      <c r="H318" s="646"/>
      <c r="I318" s="650"/>
      <c r="J318" s="646"/>
      <c r="K318" s="646"/>
      <c r="L318" s="646"/>
      <c r="M318" s="650"/>
      <c r="N318" s="647"/>
      <c r="O318" s="646"/>
      <c r="P318" s="649"/>
      <c r="Q318" s="650"/>
    </row>
    <row r="319" spans="1:17" ht="15" customHeight="1" thickBot="1">
      <c r="B319" s="262" t="s">
        <v>12</v>
      </c>
      <c r="C319" s="262" t="s">
        <v>12</v>
      </c>
      <c r="D319" s="262"/>
      <c r="E319" s="262" t="s">
        <v>12</v>
      </c>
      <c r="F319" s="886" t="s">
        <v>538</v>
      </c>
      <c r="G319" s="886"/>
      <c r="H319" s="646"/>
      <c r="I319" s="886"/>
      <c r="J319" s="646"/>
      <c r="K319" s="646"/>
      <c r="L319" s="646"/>
      <c r="M319" s="886"/>
      <c r="N319" s="647"/>
      <c r="O319" s="887"/>
      <c r="P319" s="649"/>
      <c r="Q319" s="650"/>
    </row>
    <row r="320" spans="1:17" ht="15" customHeight="1" thickTop="1">
      <c r="A320" s="93" t="s">
        <v>24</v>
      </c>
      <c r="B320" s="93" t="s">
        <v>31</v>
      </c>
      <c r="E320" s="93" t="s">
        <v>24</v>
      </c>
      <c r="F320" s="888" t="str">
        <f t="shared" ref="F320:F333" si="34">HYPERLINK(H320,G320)</f>
        <v>桃源郷</v>
      </c>
      <c r="G320" s="889" t="s">
        <v>539</v>
      </c>
      <c r="H320" s="890" t="str">
        <f t="shared" ref="H320:H329" si="35">CONCATENATE("H:\Taniku\",G320)</f>
        <v>H:\Taniku\桃源郷</v>
      </c>
      <c r="I320" s="650"/>
      <c r="J320" s="891"/>
      <c r="K320" s="892" t="s">
        <v>23</v>
      </c>
      <c r="L320" s="892" t="s">
        <v>63</v>
      </c>
      <c r="M320" s="889"/>
      <c r="N320" s="893"/>
      <c r="O320" s="892"/>
      <c r="P320" s="894"/>
      <c r="Q320" s="895"/>
    </row>
    <row r="321" spans="1:17" ht="15" customHeight="1">
      <c r="A321" s="93" t="s">
        <v>24</v>
      </c>
      <c r="B321" s="93" t="s">
        <v>21</v>
      </c>
      <c r="E321" s="93" t="s">
        <v>24</v>
      </c>
      <c r="F321" s="896" t="str">
        <f t="shared" si="34"/>
        <v>トカ</v>
      </c>
      <c r="G321" s="650" t="s">
        <v>540</v>
      </c>
      <c r="H321" s="897" t="str">
        <f t="shared" si="35"/>
        <v>H:\Taniku\トカ</v>
      </c>
      <c r="I321" s="650"/>
      <c r="J321" s="898"/>
      <c r="K321" s="646" t="s">
        <v>27</v>
      </c>
      <c r="L321" s="646" t="s">
        <v>106</v>
      </c>
      <c r="M321" s="650"/>
      <c r="N321" s="647"/>
      <c r="O321" s="646"/>
      <c r="P321" s="649"/>
      <c r="Q321" s="899"/>
    </row>
    <row r="322" spans="1:17" ht="15" customHeight="1">
      <c r="A322" s="93" t="s">
        <v>24</v>
      </c>
      <c r="B322" s="93" t="s">
        <v>21</v>
      </c>
      <c r="D322" s="93" t="s">
        <v>17</v>
      </c>
      <c r="E322" s="93" t="s">
        <v>24</v>
      </c>
      <c r="F322" s="900" t="str">
        <f t="shared" si="34"/>
        <v>毒りんご</v>
      </c>
      <c r="G322" s="650" t="s">
        <v>541</v>
      </c>
      <c r="H322" s="897" t="str">
        <f t="shared" si="35"/>
        <v>H:\Taniku\毒りんご</v>
      </c>
      <c r="I322" s="650"/>
      <c r="J322" s="898" t="s">
        <v>542</v>
      </c>
      <c r="K322" s="646" t="s">
        <v>23</v>
      </c>
      <c r="L322" s="646" t="s">
        <v>26</v>
      </c>
      <c r="M322" s="650"/>
      <c r="N322" s="647"/>
      <c r="O322" s="646"/>
      <c r="P322" s="649"/>
      <c r="Q322" s="899"/>
    </row>
    <row r="323" spans="1:17" ht="15" customHeight="1">
      <c r="A323" s="93" t="s">
        <v>24</v>
      </c>
      <c r="B323" s="93" t="s">
        <v>42</v>
      </c>
      <c r="E323" s="93" t="s">
        <v>24</v>
      </c>
      <c r="F323" s="896" t="str">
        <f t="shared" si="34"/>
        <v>トップアンドスター</v>
      </c>
      <c r="G323" s="650" t="s">
        <v>543</v>
      </c>
      <c r="H323" s="897" t="str">
        <f t="shared" si="35"/>
        <v>H:\Taniku\トップアンドスター</v>
      </c>
      <c r="I323" s="650"/>
      <c r="J323" s="898"/>
      <c r="K323" s="646" t="s">
        <v>27</v>
      </c>
      <c r="L323" s="646" t="s">
        <v>44</v>
      </c>
      <c r="M323" s="650"/>
      <c r="N323" s="647"/>
      <c r="O323" s="646"/>
      <c r="P323" s="649"/>
      <c r="Q323" s="899"/>
    </row>
    <row r="324" spans="1:17" ht="15" customHeight="1">
      <c r="A324" s="93" t="s">
        <v>24</v>
      </c>
      <c r="B324" s="93" t="s">
        <v>21</v>
      </c>
      <c r="E324" s="93" t="s">
        <v>24</v>
      </c>
      <c r="F324" s="900" t="str">
        <f t="shared" si="34"/>
        <v>トップスレンダー</v>
      </c>
      <c r="G324" s="650" t="s">
        <v>544</v>
      </c>
      <c r="H324" s="897" t="str">
        <f t="shared" si="35"/>
        <v>H:\Taniku\トップスレンダー</v>
      </c>
      <c r="I324" s="650"/>
      <c r="J324" s="898"/>
      <c r="K324" s="646" t="s">
        <v>23</v>
      </c>
      <c r="L324" s="646" t="s">
        <v>55</v>
      </c>
      <c r="M324" s="650"/>
      <c r="N324" s="647" t="s">
        <v>209</v>
      </c>
      <c r="O324" s="646" t="s">
        <v>215</v>
      </c>
      <c r="P324" s="649" t="s">
        <v>389</v>
      </c>
      <c r="Q324" s="899"/>
    </row>
    <row r="325" spans="1:17" ht="15" customHeight="1">
      <c r="A325" s="93" t="s">
        <v>24</v>
      </c>
      <c r="B325" s="93" t="s">
        <v>76</v>
      </c>
      <c r="E325" s="93" t="s">
        <v>24</v>
      </c>
      <c r="F325" s="896" t="str">
        <f t="shared" si="34"/>
        <v>ドドランタリス</v>
      </c>
      <c r="G325" s="650" t="s">
        <v>545</v>
      </c>
      <c r="H325" s="897" t="str">
        <f t="shared" si="35"/>
        <v>H:\Taniku\ドドランタリス</v>
      </c>
      <c r="I325" s="650"/>
      <c r="J325" s="898"/>
      <c r="K325" s="646" t="s">
        <v>23</v>
      </c>
      <c r="L325" s="646" t="s">
        <v>55</v>
      </c>
      <c r="M325" s="650"/>
      <c r="N325" s="647"/>
      <c r="O325" s="646"/>
      <c r="P325" s="649"/>
      <c r="Q325" s="899"/>
    </row>
    <row r="326" spans="1:17" ht="15" customHeight="1">
      <c r="A326" s="93" t="s">
        <v>24</v>
      </c>
      <c r="B326" s="93" t="s">
        <v>28</v>
      </c>
      <c r="E326" s="93" t="s">
        <v>24</v>
      </c>
      <c r="F326" s="900" t="str">
        <f t="shared" si="34"/>
        <v>ドラゴンズブラッド</v>
      </c>
      <c r="G326" s="650" t="s">
        <v>546</v>
      </c>
      <c r="H326" s="897" t="str">
        <f t="shared" si="35"/>
        <v>H:\Taniku\ドラゴンズブラッド</v>
      </c>
      <c r="I326" s="650"/>
      <c r="J326" s="898"/>
      <c r="K326" s="646" t="s">
        <v>27</v>
      </c>
      <c r="L326" s="646" t="s">
        <v>112</v>
      </c>
      <c r="M326" s="650"/>
      <c r="N326" s="647" t="s">
        <v>547</v>
      </c>
      <c r="O326" s="646" t="s">
        <v>231</v>
      </c>
      <c r="P326" s="649" t="s">
        <v>548</v>
      </c>
      <c r="Q326" s="899"/>
    </row>
    <row r="327" spans="1:17" ht="15" customHeight="1">
      <c r="A327" s="93" t="s">
        <v>24</v>
      </c>
      <c r="B327" s="93" t="s">
        <v>97</v>
      </c>
      <c r="E327" s="93" t="s">
        <v>24</v>
      </c>
      <c r="F327" s="896" t="str">
        <f t="shared" si="34"/>
        <v>トラディスカンティアラベンダー</v>
      </c>
      <c r="G327" s="650" t="s">
        <v>549</v>
      </c>
      <c r="H327" s="897" t="str">
        <f t="shared" si="35"/>
        <v>H:\Taniku\トラディスカンティアラベンダー</v>
      </c>
      <c r="I327" s="650"/>
      <c r="J327" s="898"/>
      <c r="K327" s="646" t="s">
        <v>27</v>
      </c>
      <c r="L327" s="646" t="s">
        <v>44</v>
      </c>
      <c r="M327" s="650"/>
      <c r="N327" s="647"/>
      <c r="O327" s="646"/>
      <c r="P327" s="649"/>
      <c r="Q327" s="899"/>
    </row>
    <row r="328" spans="1:17" ht="15" customHeight="1">
      <c r="A328" s="93" t="s">
        <v>24</v>
      </c>
      <c r="B328" s="93" t="s">
        <v>31</v>
      </c>
      <c r="E328" s="93" t="s">
        <v>24</v>
      </c>
      <c r="F328" s="896" t="str">
        <f t="shared" si="34"/>
        <v>トランスパール</v>
      </c>
      <c r="G328" s="650" t="s">
        <v>550</v>
      </c>
      <c r="H328" s="897" t="str">
        <f t="shared" si="35"/>
        <v>H:\Taniku\トランスパール</v>
      </c>
      <c r="I328" s="650"/>
      <c r="J328" s="898"/>
      <c r="K328" s="646" t="s">
        <v>27</v>
      </c>
      <c r="L328" s="646" t="s">
        <v>110</v>
      </c>
      <c r="M328" s="650"/>
      <c r="N328" s="647" t="s">
        <v>551</v>
      </c>
      <c r="O328" s="646" t="s">
        <v>552</v>
      </c>
      <c r="P328" s="649" t="s">
        <v>553</v>
      </c>
      <c r="Q328" s="899"/>
    </row>
    <row r="329" spans="1:17" ht="15" customHeight="1">
      <c r="A329" s="93" t="s">
        <v>24</v>
      </c>
      <c r="B329" s="93" t="s">
        <v>21</v>
      </c>
      <c r="C329" s="93" t="s">
        <v>24</v>
      </c>
      <c r="E329" s="93" t="s">
        <v>24</v>
      </c>
      <c r="F329" s="900" t="str">
        <f t="shared" si="34"/>
        <v>トリマネンシス</v>
      </c>
      <c r="G329" s="650" t="s">
        <v>554</v>
      </c>
      <c r="H329" s="829" t="str">
        <f t="shared" si="35"/>
        <v>H:\Taniku\トリマネンシス</v>
      </c>
      <c r="I329" s="650"/>
      <c r="J329" s="898"/>
      <c r="K329" s="646" t="s">
        <v>23</v>
      </c>
      <c r="L329" s="646" t="s">
        <v>72</v>
      </c>
      <c r="M329" s="650"/>
      <c r="N329" s="647"/>
      <c r="O329" s="646"/>
      <c r="P329" s="649"/>
      <c r="Q329" s="899"/>
    </row>
    <row r="330" spans="1:17" ht="15" customHeight="1">
      <c r="A330" s="93" t="s">
        <v>24</v>
      </c>
      <c r="B330" s="93" t="s">
        <v>50</v>
      </c>
      <c r="E330" s="93" t="s">
        <v>24</v>
      </c>
      <c r="F330" s="896" t="str">
        <f t="shared" si="34"/>
        <v>ドルフィンネックレス</v>
      </c>
      <c r="G330" s="650" t="s">
        <v>555</v>
      </c>
      <c r="H330" s="897" t="s">
        <v>556</v>
      </c>
      <c r="I330" s="650"/>
      <c r="J330" s="898"/>
      <c r="K330" s="646" t="s">
        <v>30</v>
      </c>
      <c r="L330" s="646" t="s">
        <v>129</v>
      </c>
      <c r="M330" s="650"/>
      <c r="N330" s="647" t="s">
        <v>557</v>
      </c>
      <c r="O330" s="646" t="s">
        <v>520</v>
      </c>
      <c r="P330" s="649" t="s">
        <v>558</v>
      </c>
      <c r="Q330" s="899"/>
    </row>
    <row r="331" spans="1:17" ht="15" customHeight="1">
      <c r="A331" s="93" t="s">
        <v>24</v>
      </c>
      <c r="B331" s="93" t="s">
        <v>28</v>
      </c>
      <c r="E331" s="93" t="s">
        <v>24</v>
      </c>
      <c r="F331" s="896" t="str">
        <f t="shared" si="34"/>
        <v>トレレアシー</v>
      </c>
      <c r="G331" s="650" t="s">
        <v>559</v>
      </c>
      <c r="H331" s="897" t="s">
        <v>556</v>
      </c>
      <c r="I331" s="650"/>
      <c r="J331" s="898"/>
      <c r="K331" s="646" t="s">
        <v>23</v>
      </c>
      <c r="L331" s="646" t="s">
        <v>63</v>
      </c>
      <c r="M331" s="650"/>
      <c r="N331" s="647"/>
      <c r="O331" s="646"/>
      <c r="P331" s="649"/>
      <c r="Q331" s="899"/>
    </row>
    <row r="332" spans="1:17" ht="15" customHeight="1">
      <c r="A332" s="93" t="s">
        <v>24</v>
      </c>
      <c r="B332" s="93" t="s">
        <v>28</v>
      </c>
      <c r="E332" s="93" t="s">
        <v>24</v>
      </c>
      <c r="F332" s="896" t="str">
        <f t="shared" si="34"/>
        <v>ドロサンテマムアイスクリスタル</v>
      </c>
      <c r="G332" s="650" t="s">
        <v>560</v>
      </c>
      <c r="H332" s="897" t="s">
        <v>556</v>
      </c>
      <c r="I332" s="650"/>
      <c r="J332" s="898"/>
      <c r="K332" s="646" t="s">
        <v>23</v>
      </c>
      <c r="L332" s="646" t="s">
        <v>55</v>
      </c>
      <c r="M332" s="650"/>
      <c r="N332" s="647"/>
      <c r="O332" s="646"/>
      <c r="P332" s="649"/>
      <c r="Q332" s="899"/>
    </row>
    <row r="333" spans="1:17" ht="15" customHeight="1" thickBot="1">
      <c r="A333" s="93" t="s">
        <v>24</v>
      </c>
      <c r="B333" s="93" t="s">
        <v>21</v>
      </c>
      <c r="D333" s="93" t="s">
        <v>24</v>
      </c>
      <c r="E333" s="93" t="s">
        <v>24</v>
      </c>
      <c r="F333" s="901" t="str">
        <f t="shared" si="34"/>
        <v>トロムソ</v>
      </c>
      <c r="G333" s="902" t="s">
        <v>561</v>
      </c>
      <c r="H333" s="903" t="str">
        <f>CONCATENATE("H:\Taniku\",G333)</f>
        <v>H:\Taniku\トロムソ</v>
      </c>
      <c r="I333" s="650"/>
      <c r="J333" s="904"/>
      <c r="K333" s="905" t="s">
        <v>30</v>
      </c>
      <c r="L333" s="905" t="s">
        <v>131</v>
      </c>
      <c r="M333" s="902"/>
      <c r="N333" s="906" t="s">
        <v>561</v>
      </c>
      <c r="O333" s="905" t="s">
        <v>231</v>
      </c>
      <c r="P333" s="907" t="s">
        <v>562</v>
      </c>
      <c r="Q333" s="908"/>
    </row>
    <row r="334" spans="1:17" ht="15" customHeight="1" thickTop="1">
      <c r="B334" s="262" t="s">
        <v>12</v>
      </c>
      <c r="C334" s="262" t="s">
        <v>12</v>
      </c>
      <c r="D334" s="262"/>
      <c r="E334" s="262" t="s">
        <v>12</v>
      </c>
    </row>
    <row r="335" spans="1:17" ht="15" customHeight="1">
      <c r="B335" s="262" t="s">
        <v>12</v>
      </c>
      <c r="C335" s="262" t="s">
        <v>12</v>
      </c>
      <c r="D335" s="262"/>
      <c r="E335" s="262" t="s">
        <v>12</v>
      </c>
      <c r="F335" s="909" t="s">
        <v>563</v>
      </c>
      <c r="G335" s="909"/>
      <c r="H335" s="675"/>
      <c r="I335" s="909"/>
      <c r="J335" s="675"/>
      <c r="K335" s="675"/>
      <c r="L335" s="675"/>
      <c r="M335" s="909"/>
      <c r="N335" s="676"/>
      <c r="O335" s="910"/>
      <c r="P335" s="678"/>
      <c r="Q335" s="679"/>
    </row>
    <row r="336" spans="1:17" ht="15" customHeight="1">
      <c r="B336" s="262" t="s">
        <v>12</v>
      </c>
      <c r="C336" s="262" t="s">
        <v>12</v>
      </c>
      <c r="D336" s="262"/>
      <c r="E336" s="262" t="s">
        <v>12</v>
      </c>
      <c r="F336" s="679"/>
      <c r="G336" s="679"/>
      <c r="H336" s="675"/>
      <c r="I336" s="679"/>
      <c r="J336" s="675"/>
      <c r="K336" s="675"/>
      <c r="L336" s="675"/>
      <c r="M336" s="679"/>
      <c r="N336" s="676"/>
      <c r="O336" s="675"/>
      <c r="P336" s="678"/>
      <c r="Q336" s="679"/>
    </row>
    <row r="337" spans="1:24" ht="15" customHeight="1" thickBot="1">
      <c r="B337" s="262" t="s">
        <v>12</v>
      </c>
      <c r="C337" s="262" t="s">
        <v>12</v>
      </c>
      <c r="D337" s="262"/>
      <c r="E337" s="262" t="s">
        <v>12</v>
      </c>
      <c r="F337" s="703" t="s">
        <v>564</v>
      </c>
      <c r="G337" s="703"/>
      <c r="H337" s="675"/>
      <c r="I337" s="703"/>
      <c r="J337" s="675"/>
      <c r="K337" s="675"/>
      <c r="L337" s="675"/>
      <c r="M337" s="703"/>
      <c r="N337" s="676"/>
      <c r="O337" s="911"/>
      <c r="P337" s="678"/>
      <c r="Q337" s="679"/>
    </row>
    <row r="338" spans="1:24" ht="15" customHeight="1" thickTop="1">
      <c r="A338" s="93" t="s">
        <v>24</v>
      </c>
      <c r="B338" s="93" t="s">
        <v>36</v>
      </c>
      <c r="E338" s="93" t="s">
        <v>24</v>
      </c>
      <c r="F338" s="912" t="str">
        <f>HYPERLINK(H338,G338)</f>
        <v>錦蝶</v>
      </c>
      <c r="G338" s="913" t="s">
        <v>565</v>
      </c>
      <c r="H338" s="914" t="str">
        <f>CONCATENATE("H:\Taniku\",G338)</f>
        <v>H:\Taniku\錦蝶</v>
      </c>
      <c r="I338" s="679"/>
      <c r="J338" s="915"/>
      <c r="K338" s="916" t="s">
        <v>27</v>
      </c>
      <c r="L338" s="916" t="s">
        <v>566</v>
      </c>
      <c r="M338" s="913"/>
      <c r="N338" s="917"/>
      <c r="O338" s="916"/>
      <c r="P338" s="918"/>
      <c r="Q338" s="919"/>
    </row>
    <row r="339" spans="1:24" ht="15" customHeight="1" thickBot="1">
      <c r="A339" s="93" t="s">
        <v>24</v>
      </c>
      <c r="B339" s="93" t="s">
        <v>28</v>
      </c>
      <c r="E339" s="93" t="s">
        <v>24</v>
      </c>
      <c r="F339" s="961" t="str">
        <f>HYPERLINK(H339,G339)</f>
        <v>虹の玉</v>
      </c>
      <c r="G339" s="926" t="s">
        <v>567</v>
      </c>
      <c r="H339" s="927" t="str">
        <f>CONCATENATE("H:\Taniku\",G339)</f>
        <v>H:\Taniku\虹の玉</v>
      </c>
      <c r="I339" s="679"/>
      <c r="J339" s="928"/>
      <c r="K339" s="929" t="s">
        <v>407</v>
      </c>
      <c r="L339" s="929"/>
      <c r="M339" s="926"/>
      <c r="N339" s="930"/>
      <c r="O339" s="929"/>
      <c r="P339" s="931"/>
      <c r="Q339" s="932"/>
    </row>
    <row r="340" spans="1:24" ht="15" customHeight="1" thickTop="1">
      <c r="B340" s="262" t="s">
        <v>12</v>
      </c>
      <c r="C340" s="262" t="s">
        <v>12</v>
      </c>
      <c r="D340" s="262"/>
      <c r="E340" s="262" t="s">
        <v>12</v>
      </c>
      <c r="F340" s="679"/>
      <c r="G340" s="679"/>
      <c r="H340" s="675"/>
      <c r="I340" s="679"/>
      <c r="J340" s="675"/>
      <c r="K340" s="675"/>
      <c r="L340" s="675"/>
      <c r="M340" s="679"/>
      <c r="N340" s="676"/>
      <c r="O340" s="675"/>
      <c r="P340" s="678"/>
      <c r="Q340" s="679"/>
    </row>
    <row r="341" spans="1:24" ht="15" customHeight="1" thickBot="1">
      <c r="B341" s="262" t="s">
        <v>12</v>
      </c>
      <c r="C341" s="262" t="s">
        <v>12</v>
      </c>
      <c r="D341" s="262"/>
      <c r="E341" s="262" t="s">
        <v>12</v>
      </c>
      <c r="F341" s="724" t="s">
        <v>568</v>
      </c>
      <c r="G341" s="724"/>
      <c r="H341" s="675"/>
      <c r="I341" s="724"/>
      <c r="J341" s="675"/>
      <c r="K341" s="675"/>
      <c r="L341" s="675"/>
      <c r="M341" s="724"/>
      <c r="N341" s="676"/>
      <c r="O341" s="933"/>
      <c r="P341" s="678"/>
      <c r="Q341" s="679"/>
      <c r="S341" s="448"/>
      <c r="T341" s="292"/>
      <c r="V341" s="448"/>
      <c r="W341" s="292"/>
    </row>
    <row r="342" spans="1:24" ht="15" customHeight="1" thickTop="1" thickBot="1">
      <c r="A342" s="93" t="s">
        <v>24</v>
      </c>
      <c r="B342" s="93" t="s">
        <v>21</v>
      </c>
      <c r="E342" s="93" t="s">
        <v>24</v>
      </c>
      <c r="F342" s="962" t="str">
        <f>HYPERLINK(H342,G342)</f>
        <v>ヌダ</v>
      </c>
      <c r="G342" s="963" t="s">
        <v>569</v>
      </c>
      <c r="H342" s="964" t="str">
        <f>CONCATENATE("H:\Taniku\",G342)</f>
        <v>H:\Taniku\ヌダ</v>
      </c>
      <c r="I342" s="679"/>
      <c r="J342" s="965"/>
      <c r="K342" s="966" t="s">
        <v>20</v>
      </c>
      <c r="L342" s="966" t="s">
        <v>49</v>
      </c>
      <c r="M342" s="963"/>
      <c r="N342" s="967"/>
      <c r="O342" s="966"/>
      <c r="P342" s="968"/>
      <c r="Q342" s="969"/>
      <c r="S342" s="448"/>
      <c r="T342" s="292"/>
      <c r="V342" s="448"/>
      <c r="W342" s="292"/>
    </row>
    <row r="343" spans="1:24" ht="15" customHeight="1" thickTop="1">
      <c r="B343" s="262" t="s">
        <v>12</v>
      </c>
      <c r="C343" s="262" t="s">
        <v>12</v>
      </c>
      <c r="D343" s="262"/>
      <c r="E343" s="262" t="s">
        <v>12</v>
      </c>
      <c r="F343" s="679"/>
      <c r="G343" s="679"/>
      <c r="H343" s="675"/>
      <c r="I343" s="679"/>
      <c r="J343" s="675"/>
      <c r="K343" s="675"/>
      <c r="L343" s="675"/>
      <c r="M343" s="679"/>
      <c r="N343" s="676"/>
      <c r="O343" s="675"/>
      <c r="P343" s="678"/>
      <c r="Q343" s="679"/>
      <c r="S343" s="448"/>
      <c r="T343" s="292"/>
      <c r="V343" s="448"/>
      <c r="W343" s="292"/>
    </row>
    <row r="344" spans="1:24" ht="15" customHeight="1" thickBot="1">
      <c r="B344" s="262" t="s">
        <v>12</v>
      </c>
      <c r="C344" s="262" t="s">
        <v>12</v>
      </c>
      <c r="D344" s="262"/>
      <c r="E344" s="262" t="s">
        <v>12</v>
      </c>
      <c r="F344" s="748" t="s">
        <v>570</v>
      </c>
      <c r="G344" s="748"/>
      <c r="H344" s="675"/>
      <c r="I344" s="748"/>
      <c r="J344" s="675"/>
      <c r="K344" s="675"/>
      <c r="L344" s="675"/>
      <c r="M344" s="748"/>
      <c r="N344" s="676"/>
      <c r="O344" s="934"/>
      <c r="P344" s="678"/>
      <c r="Q344" s="679"/>
    </row>
    <row r="345" spans="1:24" ht="15" customHeight="1" thickTop="1" thickBot="1">
      <c r="A345" s="93" t="s">
        <v>24</v>
      </c>
      <c r="B345" s="93" t="s">
        <v>21</v>
      </c>
      <c r="E345" s="93" t="s">
        <v>24</v>
      </c>
      <c r="F345" s="970" t="str">
        <f>HYPERLINK(H345,G345)</f>
        <v>ネオンブレーカーズ</v>
      </c>
      <c r="G345" s="971" t="s">
        <v>571</v>
      </c>
      <c r="H345" s="972" t="str">
        <f>CONCATENATE("H:\Taniku\",G345)</f>
        <v>H:\Taniku\ネオンブレーカーズ</v>
      </c>
      <c r="I345" s="679"/>
      <c r="J345" s="973"/>
      <c r="K345" s="974" t="s">
        <v>23</v>
      </c>
      <c r="L345" s="974" t="s">
        <v>72</v>
      </c>
      <c r="M345" s="971"/>
      <c r="N345" s="975"/>
      <c r="O345" s="974"/>
      <c r="P345" s="976"/>
      <c r="Q345" s="977"/>
      <c r="S345" s="448"/>
      <c r="T345" s="292"/>
      <c r="V345" s="448"/>
      <c r="W345" s="292"/>
    </row>
    <row r="346" spans="1:24" ht="15" customHeight="1" thickTop="1">
      <c r="B346" s="262" t="s">
        <v>12</v>
      </c>
      <c r="C346" s="262" t="s">
        <v>12</v>
      </c>
      <c r="D346" s="262"/>
      <c r="E346" s="262" t="s">
        <v>12</v>
      </c>
      <c r="F346" s="679"/>
      <c r="G346" s="679"/>
      <c r="H346" s="675"/>
      <c r="I346" s="679"/>
      <c r="J346" s="675"/>
      <c r="K346" s="675"/>
      <c r="L346" s="675"/>
      <c r="M346" s="679"/>
      <c r="N346" s="676"/>
      <c r="O346" s="675"/>
      <c r="P346" s="678"/>
      <c r="Q346" s="679"/>
      <c r="X346" s="292"/>
    </row>
    <row r="347" spans="1:24" ht="15" customHeight="1">
      <c r="B347" s="262" t="s">
        <v>12</v>
      </c>
      <c r="C347" s="262" t="s">
        <v>12</v>
      </c>
      <c r="D347" s="262"/>
      <c r="E347" s="262" t="s">
        <v>12</v>
      </c>
      <c r="F347" s="771" t="s">
        <v>572</v>
      </c>
      <c r="G347" s="771"/>
      <c r="H347" s="675"/>
      <c r="I347" s="771"/>
      <c r="J347" s="675"/>
      <c r="K347" s="675"/>
      <c r="L347" s="675"/>
      <c r="M347" s="771"/>
      <c r="N347" s="676"/>
      <c r="O347" s="936"/>
      <c r="P347" s="678"/>
      <c r="Q347" s="679"/>
      <c r="S347" s="448"/>
      <c r="T347" s="292"/>
      <c r="V347" s="448"/>
      <c r="W347" s="292"/>
      <c r="X347" s="292"/>
    </row>
    <row r="348" spans="1:24" ht="15" customHeight="1">
      <c r="B348" s="262" t="s">
        <v>12</v>
      </c>
      <c r="C348" s="262" t="s">
        <v>12</v>
      </c>
      <c r="D348" s="262"/>
      <c r="E348" s="262" t="s">
        <v>12</v>
      </c>
      <c r="X348" s="292"/>
    </row>
    <row r="349" spans="1:24" ht="15" customHeight="1" thickBot="1">
      <c r="B349" s="262" t="s">
        <v>12</v>
      </c>
      <c r="C349" s="262" t="s">
        <v>12</v>
      </c>
      <c r="D349" s="262"/>
      <c r="E349" s="262" t="s">
        <v>12</v>
      </c>
      <c r="F349" s="795" t="s">
        <v>573</v>
      </c>
      <c r="G349" s="978"/>
      <c r="H349" s="646"/>
      <c r="I349" s="978"/>
      <c r="J349" s="646"/>
      <c r="K349" s="646"/>
      <c r="L349" s="646"/>
      <c r="M349" s="978"/>
      <c r="N349" s="647"/>
      <c r="O349" s="979"/>
      <c r="P349" s="649"/>
      <c r="Q349" s="650"/>
      <c r="S349" s="448"/>
      <c r="T349" s="292"/>
      <c r="V349" s="448"/>
      <c r="W349" s="292"/>
    </row>
    <row r="350" spans="1:24" ht="15" customHeight="1" thickTop="1">
      <c r="A350" s="93" t="s">
        <v>24</v>
      </c>
      <c r="B350" s="93" t="s">
        <v>21</v>
      </c>
      <c r="E350" s="93" t="s">
        <v>24</v>
      </c>
      <c r="F350" s="797" t="str">
        <f t="shared" ref="F350:F367" si="36">HYPERLINK(H350,G350)</f>
        <v>白鳥</v>
      </c>
      <c r="G350" s="798" t="s">
        <v>574</v>
      </c>
      <c r="H350" s="799" t="str">
        <f t="shared" ref="H350:H367" si="37">CONCATENATE("H:\Taniku\",G350)</f>
        <v>H:\Taniku\白鳥</v>
      </c>
      <c r="I350" s="650"/>
      <c r="J350" s="800"/>
      <c r="K350" s="801" t="s">
        <v>27</v>
      </c>
      <c r="L350" s="801" t="s">
        <v>118</v>
      </c>
      <c r="M350" s="798"/>
      <c r="N350" s="802" t="s">
        <v>575</v>
      </c>
      <c r="O350" s="801" t="s">
        <v>576</v>
      </c>
      <c r="P350" s="803" t="s">
        <v>577</v>
      </c>
      <c r="Q350" s="804"/>
      <c r="S350" s="448"/>
      <c r="T350" s="292"/>
      <c r="V350" s="448"/>
      <c r="W350" s="292"/>
    </row>
    <row r="351" spans="1:24" ht="15" customHeight="1">
      <c r="A351" s="93" t="s">
        <v>24</v>
      </c>
      <c r="B351" s="93" t="s">
        <v>34</v>
      </c>
      <c r="E351" s="93" t="s">
        <v>24</v>
      </c>
      <c r="F351" s="809" t="str">
        <f t="shared" si="36"/>
        <v>薄氷</v>
      </c>
      <c r="G351" s="650" t="s">
        <v>578</v>
      </c>
      <c r="H351" s="806" t="str">
        <f t="shared" si="37"/>
        <v>H:\Taniku\薄氷</v>
      </c>
      <c r="I351" s="650"/>
      <c r="J351" s="807"/>
      <c r="K351" s="646" t="s">
        <v>30</v>
      </c>
      <c r="L351" s="646" t="s">
        <v>129</v>
      </c>
      <c r="M351" s="650"/>
      <c r="N351" s="647" t="s">
        <v>579</v>
      </c>
      <c r="O351" s="646" t="s">
        <v>576</v>
      </c>
      <c r="P351" s="649" t="s">
        <v>580</v>
      </c>
      <c r="Q351" s="808"/>
      <c r="S351" s="448"/>
      <c r="T351" s="292"/>
      <c r="V351" s="448"/>
      <c r="W351" s="292"/>
      <c r="X351" s="292"/>
    </row>
    <row r="352" spans="1:24" ht="15" customHeight="1">
      <c r="A352" s="93" t="s">
        <v>24</v>
      </c>
      <c r="B352" s="93" t="s">
        <v>34</v>
      </c>
      <c r="F352" s="809" t="str">
        <f t="shared" si="36"/>
        <v>白牡丹</v>
      </c>
      <c r="G352" s="650" t="s">
        <v>581</v>
      </c>
      <c r="H352" s="806" t="str">
        <f t="shared" si="37"/>
        <v>H:\Taniku\白牡丹</v>
      </c>
      <c r="I352" s="650"/>
      <c r="J352" s="807"/>
      <c r="K352" s="646"/>
      <c r="L352" s="646"/>
      <c r="M352" s="650"/>
      <c r="N352" s="647" t="s">
        <v>263</v>
      </c>
      <c r="O352" s="646" t="s">
        <v>163</v>
      </c>
      <c r="P352" s="649" t="s">
        <v>302</v>
      </c>
      <c r="Q352" s="808"/>
    </row>
    <row r="353" spans="1:24" ht="15" customHeight="1">
      <c r="A353" s="93" t="s">
        <v>24</v>
      </c>
      <c r="B353" s="93" t="s">
        <v>21</v>
      </c>
      <c r="E353" s="93" t="s">
        <v>24</v>
      </c>
      <c r="F353" s="805" t="str">
        <f t="shared" si="36"/>
        <v>花うらら</v>
      </c>
      <c r="G353" s="650" t="s">
        <v>248</v>
      </c>
      <c r="H353" s="806" t="str">
        <f t="shared" si="37"/>
        <v>H:\Taniku\花うらら</v>
      </c>
      <c r="I353" s="650"/>
      <c r="J353" s="807"/>
      <c r="K353" s="646" t="s">
        <v>27</v>
      </c>
      <c r="L353" s="646" t="s">
        <v>116</v>
      </c>
      <c r="M353" s="650"/>
      <c r="N353" s="647" t="s">
        <v>582</v>
      </c>
      <c r="O353" s="646" t="s">
        <v>215</v>
      </c>
      <c r="P353" s="649" t="s">
        <v>583</v>
      </c>
      <c r="Q353" s="808"/>
    </row>
    <row r="354" spans="1:24" ht="15" customHeight="1">
      <c r="A354" s="93" t="s">
        <v>24</v>
      </c>
      <c r="B354" s="93" t="s">
        <v>21</v>
      </c>
      <c r="D354" s="93" t="s">
        <v>24</v>
      </c>
      <c r="E354" s="93" t="s">
        <v>24</v>
      </c>
      <c r="F354" s="805" t="str">
        <f t="shared" si="36"/>
        <v>花月夜</v>
      </c>
      <c r="G354" s="650" t="s">
        <v>584</v>
      </c>
      <c r="H354" s="806" t="str">
        <f t="shared" si="37"/>
        <v>H:\Taniku\花月夜</v>
      </c>
      <c r="I354" s="650"/>
      <c r="J354" s="807" t="s">
        <v>585</v>
      </c>
      <c r="K354" s="646" t="s">
        <v>23</v>
      </c>
      <c r="L354" s="646" t="s">
        <v>48</v>
      </c>
      <c r="M354" s="650"/>
      <c r="N354" s="647" t="s">
        <v>248</v>
      </c>
      <c r="O354" s="646" t="s">
        <v>163</v>
      </c>
      <c r="P354" s="649" t="s">
        <v>238</v>
      </c>
      <c r="Q354" s="808"/>
      <c r="X354" s="292"/>
    </row>
    <row r="355" spans="1:24" ht="15" customHeight="1">
      <c r="A355" s="93" t="s">
        <v>24</v>
      </c>
      <c r="B355" s="93" t="s">
        <v>79</v>
      </c>
      <c r="E355" s="93" t="s">
        <v>24</v>
      </c>
      <c r="F355" s="809" t="str">
        <f t="shared" si="36"/>
        <v>ハートカズラ</v>
      </c>
      <c r="G355" s="650" t="s">
        <v>586</v>
      </c>
      <c r="H355" s="806" t="str">
        <f t="shared" si="37"/>
        <v>H:\Taniku\ハートカズラ</v>
      </c>
      <c r="I355" s="650"/>
      <c r="J355" s="807"/>
      <c r="K355" s="646" t="s">
        <v>23</v>
      </c>
      <c r="L355" s="646" t="s">
        <v>587</v>
      </c>
      <c r="M355" s="650"/>
      <c r="N355" s="647" t="s">
        <v>588</v>
      </c>
      <c r="O355" s="646" t="s">
        <v>576</v>
      </c>
      <c r="P355" s="649" t="s">
        <v>589</v>
      </c>
      <c r="Q355" s="808"/>
    </row>
    <row r="356" spans="1:24" ht="15" customHeight="1">
      <c r="A356" s="93" t="s">
        <v>24</v>
      </c>
      <c r="B356" s="93" t="s">
        <v>21</v>
      </c>
      <c r="E356" s="93" t="s">
        <v>24</v>
      </c>
      <c r="F356" s="809" t="str">
        <f t="shared" si="36"/>
        <v>パープルシャンペーン</v>
      </c>
      <c r="G356" s="650" t="s">
        <v>590</v>
      </c>
      <c r="H356" s="806" t="str">
        <f t="shared" si="37"/>
        <v>H:\Taniku\パープルシャンペーン</v>
      </c>
      <c r="I356" s="650"/>
      <c r="J356" s="807"/>
      <c r="K356" s="646" t="s">
        <v>23</v>
      </c>
      <c r="L356" s="646" t="s">
        <v>55</v>
      </c>
      <c r="M356" s="650"/>
      <c r="N356" s="647" t="s">
        <v>214</v>
      </c>
      <c r="O356" s="646" t="s">
        <v>163</v>
      </c>
      <c r="P356" s="649" t="s">
        <v>237</v>
      </c>
      <c r="Q356" s="808"/>
      <c r="S356" s="448"/>
      <c r="T356" s="292"/>
      <c r="V356" s="448"/>
      <c r="W356" s="292"/>
      <c r="X356" s="292"/>
    </row>
    <row r="357" spans="1:24" ht="15" customHeight="1">
      <c r="A357" s="93" t="s">
        <v>24</v>
      </c>
      <c r="B357" s="93" t="s">
        <v>28</v>
      </c>
      <c r="E357" s="93" t="s">
        <v>24</v>
      </c>
      <c r="F357" s="809" t="str">
        <f t="shared" si="36"/>
        <v>パープルヘイズ</v>
      </c>
      <c r="G357" s="650" t="s">
        <v>591</v>
      </c>
      <c r="H357" s="806" t="str">
        <f t="shared" si="37"/>
        <v>H:\Taniku\パープルヘイズ</v>
      </c>
      <c r="I357" s="650"/>
      <c r="J357" s="807"/>
      <c r="K357" s="646" t="s">
        <v>260</v>
      </c>
      <c r="L357" s="646" t="s">
        <v>592</v>
      </c>
      <c r="M357" s="650"/>
      <c r="N357" s="647"/>
      <c r="O357" s="646"/>
      <c r="P357" s="649"/>
      <c r="Q357" s="808"/>
      <c r="X357" s="292"/>
    </row>
    <row r="358" spans="1:24" ht="15" customHeight="1">
      <c r="A358" s="93" t="s">
        <v>180</v>
      </c>
      <c r="B358" s="93" t="s">
        <v>28</v>
      </c>
      <c r="E358" s="93" t="s">
        <v>24</v>
      </c>
      <c r="F358" s="805" t="str">
        <f t="shared" si="36"/>
        <v>パープルヘイズ ストロベリーカラー</v>
      </c>
      <c r="G358" s="650" t="s">
        <v>593</v>
      </c>
      <c r="H358" s="806" t="str">
        <f t="shared" si="37"/>
        <v>H:\Taniku\パープルヘイズ ストロベリーカラー</v>
      </c>
      <c r="I358" s="650"/>
      <c r="J358" s="807"/>
      <c r="K358" s="646" t="s">
        <v>23</v>
      </c>
      <c r="L358" s="646" t="s">
        <v>55</v>
      </c>
      <c r="M358" s="650"/>
      <c r="N358" s="647"/>
      <c r="O358" s="646"/>
      <c r="P358" s="649"/>
      <c r="Q358" s="808"/>
    </row>
    <row r="359" spans="1:24" ht="15" customHeight="1">
      <c r="A359" s="93" t="s">
        <v>24</v>
      </c>
      <c r="B359" s="93" t="s">
        <v>21</v>
      </c>
      <c r="D359" s="93" t="s">
        <v>24</v>
      </c>
      <c r="E359" s="93" t="s">
        <v>24</v>
      </c>
      <c r="F359" s="809" t="str">
        <f t="shared" si="36"/>
        <v>パールフォンニュルンベルク</v>
      </c>
      <c r="G359" s="650" t="s">
        <v>594</v>
      </c>
      <c r="H359" s="806" t="str">
        <f t="shared" si="37"/>
        <v>H:\Taniku\パールフォンニュルンベルク</v>
      </c>
      <c r="I359" s="650"/>
      <c r="J359" s="807" t="s">
        <v>595</v>
      </c>
      <c r="K359" s="646" t="s">
        <v>30</v>
      </c>
      <c r="L359" s="646" t="s">
        <v>129</v>
      </c>
      <c r="M359" s="650"/>
      <c r="N359" s="647" t="s">
        <v>596</v>
      </c>
      <c r="O359" s="646" t="s">
        <v>163</v>
      </c>
      <c r="P359" s="649" t="s">
        <v>238</v>
      </c>
      <c r="Q359" s="808"/>
    </row>
    <row r="360" spans="1:24" ht="15" customHeight="1">
      <c r="A360" s="93" t="s">
        <v>24</v>
      </c>
      <c r="B360" s="93" t="s">
        <v>82</v>
      </c>
      <c r="E360" s="93" t="s">
        <v>24</v>
      </c>
      <c r="F360" s="809" t="str">
        <f t="shared" si="36"/>
        <v>初雪カズラ</v>
      </c>
      <c r="G360" s="650" t="s">
        <v>597</v>
      </c>
      <c r="H360" s="806" t="str">
        <f t="shared" si="37"/>
        <v>H:\Taniku\初雪カズラ</v>
      </c>
      <c r="I360" s="650"/>
      <c r="J360" s="807"/>
      <c r="K360" s="646" t="s">
        <v>30</v>
      </c>
      <c r="L360" s="646" t="s">
        <v>598</v>
      </c>
      <c r="M360" s="650"/>
      <c r="N360" s="647" t="s">
        <v>597</v>
      </c>
      <c r="O360" s="646" t="s">
        <v>231</v>
      </c>
      <c r="P360" s="649" t="s">
        <v>599</v>
      </c>
      <c r="Q360" s="808"/>
      <c r="S360" s="448"/>
      <c r="T360" s="292"/>
      <c r="V360" s="448"/>
      <c r="W360" s="292"/>
    </row>
    <row r="361" spans="1:24" ht="15" customHeight="1">
      <c r="A361" s="93" t="s">
        <v>24</v>
      </c>
      <c r="B361" s="93" t="s">
        <v>67</v>
      </c>
      <c r="D361" s="93" t="s">
        <v>24</v>
      </c>
      <c r="E361" s="93" t="s">
        <v>24</v>
      </c>
      <c r="F361" s="809" t="str">
        <f t="shared" si="36"/>
        <v>バニラシフォン</v>
      </c>
      <c r="G361" s="650" t="s">
        <v>600</v>
      </c>
      <c r="H361" s="806" t="str">
        <f t="shared" si="37"/>
        <v>H:\Taniku\バニラシフォン</v>
      </c>
      <c r="I361" s="650"/>
      <c r="J361" s="807" t="s">
        <v>601</v>
      </c>
      <c r="K361" s="646" t="s">
        <v>23</v>
      </c>
      <c r="L361" s="646" t="s">
        <v>55</v>
      </c>
      <c r="M361" s="650"/>
      <c r="N361" s="647" t="s">
        <v>602</v>
      </c>
      <c r="O361" s="646" t="s">
        <v>603</v>
      </c>
      <c r="P361" s="649" t="s">
        <v>510</v>
      </c>
      <c r="Q361" s="808"/>
      <c r="X361" s="292"/>
    </row>
    <row r="362" spans="1:24" ht="15" customHeight="1">
      <c r="A362" s="93" t="s">
        <v>24</v>
      </c>
      <c r="B362" s="93" t="s">
        <v>21</v>
      </c>
      <c r="E362" s="93" t="s">
        <v>24</v>
      </c>
      <c r="F362" s="809" t="str">
        <f t="shared" si="36"/>
        <v>バブルガム</v>
      </c>
      <c r="G362" s="650" t="s">
        <v>604</v>
      </c>
      <c r="H362" s="806" t="str">
        <f t="shared" si="37"/>
        <v>H:\Taniku\バブルガム</v>
      </c>
      <c r="I362" s="650"/>
      <c r="J362" s="807"/>
      <c r="K362" s="646" t="s">
        <v>23</v>
      </c>
      <c r="L362" s="646" t="s">
        <v>55</v>
      </c>
      <c r="M362" s="650"/>
      <c r="N362" s="647"/>
      <c r="O362" s="646"/>
      <c r="P362" s="649"/>
      <c r="Q362" s="808"/>
    </row>
    <row r="363" spans="1:24" ht="15" customHeight="1">
      <c r="A363" s="93" t="s">
        <v>24</v>
      </c>
      <c r="B363" s="93" t="s">
        <v>21</v>
      </c>
      <c r="E363" s="93" t="s">
        <v>24</v>
      </c>
      <c r="F363" s="809" t="str">
        <f t="shared" si="36"/>
        <v>バブルキャンディ</v>
      </c>
      <c r="G363" s="650" t="s">
        <v>605</v>
      </c>
      <c r="H363" s="806" t="str">
        <f t="shared" si="37"/>
        <v>H:\Taniku\バブルキャンディ</v>
      </c>
      <c r="I363" s="650"/>
      <c r="J363" s="807"/>
      <c r="K363" s="646" t="s">
        <v>27</v>
      </c>
      <c r="L363" s="646" t="s">
        <v>44</v>
      </c>
      <c r="M363" s="650"/>
      <c r="N363" s="647" t="s">
        <v>551</v>
      </c>
      <c r="O363" s="646" t="s">
        <v>288</v>
      </c>
      <c r="P363" s="649" t="s">
        <v>606</v>
      </c>
      <c r="Q363" s="808"/>
      <c r="S363" s="448"/>
      <c r="T363" s="292"/>
      <c r="V363" s="448"/>
      <c r="W363" s="292"/>
    </row>
    <row r="364" spans="1:24" ht="15" customHeight="1">
      <c r="A364" s="93"/>
      <c r="E364" s="93" t="s">
        <v>24</v>
      </c>
      <c r="F364" s="805" t="str">
        <f t="shared" si="36"/>
        <v>ばらまきワンダワンダNo2</v>
      </c>
      <c r="G364" s="650" t="s">
        <v>607</v>
      </c>
      <c r="H364" s="806" t="str">
        <f t="shared" si="37"/>
        <v>H:\Taniku\ばらまきワンダワンダNo2</v>
      </c>
      <c r="I364" s="650"/>
      <c r="J364" s="807"/>
      <c r="K364" s="646" t="s">
        <v>27</v>
      </c>
      <c r="L364" s="646" t="s">
        <v>608</v>
      </c>
      <c r="M364" s="650"/>
      <c r="N364" s="647"/>
      <c r="O364" s="646"/>
      <c r="P364" s="649"/>
      <c r="Q364" s="808"/>
    </row>
    <row r="365" spans="1:24" ht="15" customHeight="1">
      <c r="A365" s="93" t="s">
        <v>24</v>
      </c>
      <c r="B365" s="93" t="s">
        <v>28</v>
      </c>
      <c r="E365" s="93" t="s">
        <v>24</v>
      </c>
      <c r="F365" s="809" t="str">
        <f t="shared" si="36"/>
        <v>パリダム</v>
      </c>
      <c r="G365" s="650" t="s">
        <v>380</v>
      </c>
      <c r="H365" s="806" t="str">
        <f t="shared" si="37"/>
        <v>H:\Taniku\パリダム</v>
      </c>
      <c r="I365" s="650"/>
      <c r="J365" s="807"/>
      <c r="K365" s="646" t="s">
        <v>27</v>
      </c>
      <c r="L365" s="646" t="s">
        <v>608</v>
      </c>
      <c r="M365" s="650"/>
      <c r="N365" s="647"/>
      <c r="O365" s="646"/>
      <c r="P365" s="649"/>
      <c r="Q365" s="808"/>
      <c r="X365" s="292"/>
    </row>
    <row r="366" spans="1:24" ht="15" customHeight="1">
      <c r="A366" s="93" t="s">
        <v>24</v>
      </c>
      <c r="B366" s="93" t="s">
        <v>28</v>
      </c>
      <c r="E366" s="93" t="s">
        <v>24</v>
      </c>
      <c r="F366" s="805" t="str">
        <f t="shared" si="36"/>
        <v>春萌</v>
      </c>
      <c r="G366" s="650" t="s">
        <v>609</v>
      </c>
      <c r="H366" s="806" t="str">
        <f t="shared" si="37"/>
        <v>H:\Taniku\春萌</v>
      </c>
      <c r="I366" s="650"/>
      <c r="J366" s="807"/>
      <c r="K366" s="646" t="s">
        <v>20</v>
      </c>
      <c r="L366" s="646" t="s">
        <v>45</v>
      </c>
      <c r="M366" s="650"/>
      <c r="N366" s="647" t="s">
        <v>375</v>
      </c>
      <c r="O366" s="646" t="s">
        <v>163</v>
      </c>
      <c r="P366" s="649" t="s">
        <v>610</v>
      </c>
      <c r="Q366" s="808"/>
    </row>
    <row r="367" spans="1:24" ht="15" customHeight="1" thickBot="1">
      <c r="A367" s="93" t="s">
        <v>24</v>
      </c>
      <c r="B367" s="93" t="s">
        <v>36</v>
      </c>
      <c r="E367" s="93" t="s">
        <v>24</v>
      </c>
      <c r="F367" s="810" t="str">
        <f t="shared" si="36"/>
        <v>パンダ</v>
      </c>
      <c r="G367" s="811" t="s">
        <v>611</v>
      </c>
      <c r="H367" s="812" t="str">
        <f t="shared" si="37"/>
        <v>H:\Taniku\パンダ</v>
      </c>
      <c r="I367" s="650"/>
      <c r="J367" s="813"/>
      <c r="K367" s="814" t="s">
        <v>27</v>
      </c>
      <c r="L367" s="814" t="s">
        <v>612</v>
      </c>
      <c r="M367" s="811"/>
      <c r="N367" s="815"/>
      <c r="O367" s="814"/>
      <c r="P367" s="816"/>
      <c r="Q367" s="817"/>
    </row>
    <row r="368" spans="1:24" ht="15" customHeight="1" thickTop="1">
      <c r="B368" s="262" t="s">
        <v>12</v>
      </c>
      <c r="C368" s="262" t="s">
        <v>12</v>
      </c>
      <c r="D368" s="262"/>
      <c r="E368" s="262" t="s">
        <v>12</v>
      </c>
      <c r="F368" s="650"/>
      <c r="G368" s="650"/>
      <c r="H368" s="646"/>
      <c r="I368" s="650"/>
      <c r="J368" s="646"/>
      <c r="K368" s="646"/>
      <c r="L368" s="646"/>
      <c r="M368" s="650"/>
      <c r="N368" s="647"/>
      <c r="O368" s="646"/>
      <c r="P368" s="649"/>
      <c r="Q368" s="650"/>
      <c r="X368" s="292"/>
    </row>
    <row r="369" spans="1:17" ht="15" customHeight="1" thickBot="1">
      <c r="B369" s="262" t="s">
        <v>12</v>
      </c>
      <c r="C369" s="262" t="s">
        <v>12</v>
      </c>
      <c r="D369" s="262"/>
      <c r="E369" s="262" t="s">
        <v>12</v>
      </c>
      <c r="F369" s="818" t="s">
        <v>613</v>
      </c>
      <c r="G369" s="818"/>
      <c r="H369" s="646"/>
      <c r="I369" s="818"/>
      <c r="J369" s="646"/>
      <c r="K369" s="646"/>
      <c r="L369" s="646"/>
      <c r="M369" s="818"/>
      <c r="N369" s="647"/>
      <c r="O369" s="819"/>
      <c r="P369" s="649"/>
      <c r="Q369" s="650"/>
    </row>
    <row r="370" spans="1:17" ht="15" customHeight="1" thickTop="1">
      <c r="A370" s="93" t="s">
        <v>24</v>
      </c>
      <c r="B370" s="93" t="s">
        <v>28</v>
      </c>
      <c r="E370" s="93" t="s">
        <v>24</v>
      </c>
      <c r="F370" s="820" t="str">
        <f t="shared" ref="F370:F394" si="38">HYPERLINK(H370,G370)</f>
        <v>ビアホップ</v>
      </c>
      <c r="G370" s="821" t="s">
        <v>614</v>
      </c>
      <c r="H370" s="822" t="str">
        <f t="shared" ref="H370:H394" si="39">CONCATENATE("H:\Taniku\",G370)</f>
        <v>H:\Taniku\ビアホップ</v>
      </c>
      <c r="I370" s="650"/>
      <c r="J370" s="823"/>
      <c r="K370" s="824" t="s">
        <v>23</v>
      </c>
      <c r="L370" s="824" t="s">
        <v>63</v>
      </c>
      <c r="M370" s="821"/>
      <c r="N370" s="825"/>
      <c r="O370" s="824"/>
      <c r="P370" s="826"/>
      <c r="Q370" s="827"/>
    </row>
    <row r="371" spans="1:17" ht="15" customHeight="1">
      <c r="A371" s="93" t="s">
        <v>24</v>
      </c>
      <c r="B371" s="93" t="s">
        <v>21</v>
      </c>
      <c r="C371" s="93" t="s">
        <v>24</v>
      </c>
      <c r="E371" s="93" t="s">
        <v>24</v>
      </c>
      <c r="F371" s="828" t="str">
        <f t="shared" si="38"/>
        <v>ヒアリナ</v>
      </c>
      <c r="G371" s="650" t="s">
        <v>253</v>
      </c>
      <c r="H371" s="829" t="str">
        <f t="shared" si="39"/>
        <v>H:\Taniku\ヒアリナ</v>
      </c>
      <c r="I371" s="650"/>
      <c r="J371" s="830"/>
      <c r="K371" s="646" t="s">
        <v>27</v>
      </c>
      <c r="L371" s="646" t="s">
        <v>108</v>
      </c>
      <c r="M371" s="650"/>
      <c r="N371" s="647"/>
      <c r="O371" s="646"/>
      <c r="P371" s="649"/>
      <c r="Q371" s="831"/>
    </row>
    <row r="372" spans="1:17" ht="15" customHeight="1">
      <c r="A372" s="443" t="s">
        <v>15</v>
      </c>
      <c r="B372" s="93" t="s">
        <v>21</v>
      </c>
      <c r="D372" s="93" t="s">
        <v>24</v>
      </c>
      <c r="E372" s="93" t="s">
        <v>24</v>
      </c>
      <c r="F372" s="832" t="str">
        <f t="shared" si="38"/>
        <v>光る源氏</v>
      </c>
      <c r="G372" s="650" t="s">
        <v>615</v>
      </c>
      <c r="H372" s="829" t="str">
        <f t="shared" si="39"/>
        <v>H:\Taniku\光る源氏</v>
      </c>
      <c r="I372" s="650"/>
      <c r="J372" s="830" t="s">
        <v>366</v>
      </c>
      <c r="K372" s="646" t="s">
        <v>23</v>
      </c>
      <c r="L372" s="646" t="s">
        <v>90</v>
      </c>
      <c r="M372" s="650"/>
      <c r="N372" s="647" t="s">
        <v>616</v>
      </c>
      <c r="O372" s="646" t="s">
        <v>163</v>
      </c>
      <c r="P372" s="649" t="s">
        <v>422</v>
      </c>
      <c r="Q372" s="831"/>
    </row>
    <row r="373" spans="1:17" ht="15" customHeight="1">
      <c r="A373" s="93" t="s">
        <v>24</v>
      </c>
      <c r="B373" s="93" t="s">
        <v>31</v>
      </c>
      <c r="E373" s="93" t="s">
        <v>24</v>
      </c>
      <c r="F373" s="832" t="str">
        <f t="shared" si="38"/>
        <v>火祭り</v>
      </c>
      <c r="G373" s="650" t="s">
        <v>617</v>
      </c>
      <c r="H373" s="829" t="str">
        <f t="shared" si="39"/>
        <v>H:\Taniku\火祭り</v>
      </c>
      <c r="I373" s="650"/>
      <c r="J373" s="830"/>
      <c r="K373" s="646" t="s">
        <v>23</v>
      </c>
      <c r="L373" s="646" t="s">
        <v>48</v>
      </c>
      <c r="M373" s="650"/>
      <c r="N373" s="647"/>
      <c r="O373" s="646"/>
      <c r="P373" s="649"/>
      <c r="Q373" s="831"/>
    </row>
    <row r="374" spans="1:17" ht="15" customHeight="1">
      <c r="A374" s="93" t="s">
        <v>24</v>
      </c>
      <c r="B374" s="93" t="s">
        <v>31</v>
      </c>
      <c r="E374" s="93" t="s">
        <v>24</v>
      </c>
      <c r="F374" s="828" t="str">
        <f t="shared" si="38"/>
        <v>姫花月</v>
      </c>
      <c r="G374" s="650" t="s">
        <v>618</v>
      </c>
      <c r="H374" s="829" t="str">
        <f t="shared" si="39"/>
        <v>H:\Taniku\姫花月</v>
      </c>
      <c r="I374" s="650"/>
      <c r="J374" s="830"/>
      <c r="K374" s="646" t="s">
        <v>23</v>
      </c>
      <c r="L374" s="646" t="s">
        <v>63</v>
      </c>
      <c r="M374" s="650"/>
      <c r="N374" s="647"/>
      <c r="O374" s="646"/>
      <c r="P374" s="649"/>
      <c r="Q374" s="831"/>
    </row>
    <row r="375" spans="1:17" ht="15" customHeight="1">
      <c r="A375" s="93" t="s">
        <v>24</v>
      </c>
      <c r="B375" s="93" t="s">
        <v>42</v>
      </c>
      <c r="E375" s="93" t="s">
        <v>24</v>
      </c>
      <c r="F375" s="832" t="str">
        <f t="shared" si="38"/>
        <v>姫秀麗</v>
      </c>
      <c r="G375" s="650" t="s">
        <v>619</v>
      </c>
      <c r="H375" s="829" t="str">
        <f t="shared" si="39"/>
        <v>H:\Taniku\姫秀麗</v>
      </c>
      <c r="I375" s="650"/>
      <c r="J375" s="830"/>
      <c r="K375" s="646" t="s">
        <v>30</v>
      </c>
      <c r="L375" s="646" t="s">
        <v>129</v>
      </c>
      <c r="M375" s="650"/>
      <c r="N375" s="647"/>
      <c r="O375" s="646"/>
      <c r="P375" s="649"/>
      <c r="Q375" s="831"/>
    </row>
    <row r="376" spans="1:17" ht="15" customHeight="1">
      <c r="A376" s="93" t="s">
        <v>24</v>
      </c>
      <c r="B376" s="93" t="s">
        <v>21</v>
      </c>
      <c r="E376" s="93" t="s">
        <v>24</v>
      </c>
      <c r="F376" s="828" t="str">
        <f t="shared" si="38"/>
        <v>ピラニア</v>
      </c>
      <c r="G376" s="650" t="s">
        <v>620</v>
      </c>
      <c r="H376" s="829" t="str">
        <f t="shared" si="39"/>
        <v>H:\Taniku\ピラニア</v>
      </c>
      <c r="I376" s="650"/>
      <c r="J376" s="830" t="s">
        <v>542</v>
      </c>
      <c r="K376" s="646" t="s">
        <v>23</v>
      </c>
      <c r="L376" s="646" t="s">
        <v>75</v>
      </c>
      <c r="M376" s="650"/>
      <c r="N376" s="647"/>
      <c r="O376" s="646"/>
      <c r="P376" s="649"/>
      <c r="Q376" s="831"/>
    </row>
    <row r="377" spans="1:17" ht="15" customHeight="1">
      <c r="A377" s="93" t="s">
        <v>24</v>
      </c>
      <c r="B377" s="93" t="s">
        <v>21</v>
      </c>
      <c r="E377" s="93" t="s">
        <v>24</v>
      </c>
      <c r="F377" s="828" t="str">
        <f t="shared" si="38"/>
        <v>ピュアラブ</v>
      </c>
      <c r="G377" s="650" t="s">
        <v>621</v>
      </c>
      <c r="H377" s="829" t="str">
        <f t="shared" si="39"/>
        <v>H:\Taniku\ピュアラブ</v>
      </c>
      <c r="I377" s="650"/>
      <c r="J377" s="830" t="s">
        <v>622</v>
      </c>
      <c r="K377" s="646" t="s">
        <v>27</v>
      </c>
      <c r="L377" s="646" t="s">
        <v>44</v>
      </c>
      <c r="M377" s="650"/>
      <c r="N377" s="647" t="s">
        <v>623</v>
      </c>
      <c r="O377" s="646" t="s">
        <v>215</v>
      </c>
      <c r="P377" s="649" t="s">
        <v>624</v>
      </c>
      <c r="Q377" s="831"/>
    </row>
    <row r="378" spans="1:17" ht="15" customHeight="1">
      <c r="A378" s="93" t="s">
        <v>24</v>
      </c>
      <c r="B378" s="93" t="s">
        <v>21</v>
      </c>
      <c r="E378" s="93" t="s">
        <v>24</v>
      </c>
      <c r="F378" s="832" t="str">
        <f t="shared" si="38"/>
        <v>氷山</v>
      </c>
      <c r="G378" s="650" t="s">
        <v>625</v>
      </c>
      <c r="H378" s="829" t="str">
        <f t="shared" si="39"/>
        <v>H:\Taniku\氷山</v>
      </c>
      <c r="I378" s="650"/>
      <c r="J378" s="830"/>
      <c r="K378" s="646" t="s">
        <v>260</v>
      </c>
      <c r="L378" s="646" t="s">
        <v>626</v>
      </c>
      <c r="M378" s="650"/>
      <c r="N378" s="647" t="s">
        <v>627</v>
      </c>
      <c r="O378" s="646" t="s">
        <v>163</v>
      </c>
      <c r="P378" s="649" t="s">
        <v>422</v>
      </c>
      <c r="Q378" s="831"/>
    </row>
    <row r="379" spans="1:17" ht="15" customHeight="1">
      <c r="A379" s="93" t="s">
        <v>24</v>
      </c>
      <c r="B379" s="93" t="s">
        <v>21</v>
      </c>
      <c r="E379" s="93" t="s">
        <v>24</v>
      </c>
      <c r="F379" s="828" t="str">
        <f t="shared" si="38"/>
        <v>ピンキー(エケベリア)</v>
      </c>
      <c r="G379" s="650" t="s">
        <v>628</v>
      </c>
      <c r="H379" s="829" t="str">
        <f t="shared" si="39"/>
        <v>H:\Taniku\ピンキー(エケベリア)</v>
      </c>
      <c r="I379" s="650"/>
      <c r="J379" s="830"/>
      <c r="K379" s="646" t="s">
        <v>27</v>
      </c>
      <c r="L379" s="646" t="s">
        <v>44</v>
      </c>
      <c r="M379" s="650"/>
      <c r="N379" s="647" t="s">
        <v>343</v>
      </c>
      <c r="O379" s="646" t="s">
        <v>163</v>
      </c>
      <c r="P379" s="649" t="s">
        <v>629</v>
      </c>
      <c r="Q379" s="831"/>
    </row>
    <row r="380" spans="1:17" ht="15" customHeight="1">
      <c r="A380" s="93" t="s">
        <v>24</v>
      </c>
      <c r="B380" s="93" t="s">
        <v>88</v>
      </c>
      <c r="E380" s="93" t="s">
        <v>24</v>
      </c>
      <c r="F380" s="828" t="str">
        <f t="shared" si="38"/>
        <v>ピンキー(セダム)</v>
      </c>
      <c r="G380" s="650" t="s">
        <v>630</v>
      </c>
      <c r="H380" s="829" t="str">
        <f t="shared" si="39"/>
        <v>H:\Taniku\ピンキー(セダム)</v>
      </c>
      <c r="I380" s="650"/>
      <c r="J380" s="830"/>
      <c r="K380" s="646" t="s">
        <v>27</v>
      </c>
      <c r="L380" s="646"/>
      <c r="M380" s="650"/>
      <c r="N380" s="647"/>
      <c r="O380" s="646"/>
      <c r="P380" s="649"/>
      <c r="Q380" s="831"/>
    </row>
    <row r="381" spans="1:17" ht="15" customHeight="1">
      <c r="A381" s="93" t="s">
        <v>24</v>
      </c>
      <c r="B381" s="93" t="s">
        <v>21</v>
      </c>
      <c r="E381" s="93" t="s">
        <v>24</v>
      </c>
      <c r="F381" s="828" t="str">
        <f t="shared" si="38"/>
        <v>ピンクアレックス</v>
      </c>
      <c r="G381" s="650" t="s">
        <v>631</v>
      </c>
      <c r="H381" s="829" t="str">
        <f t="shared" si="39"/>
        <v>H:\Taniku\ピンクアレックス</v>
      </c>
      <c r="I381" s="650"/>
      <c r="J381" s="830"/>
      <c r="K381" s="646" t="s">
        <v>27</v>
      </c>
      <c r="L381" s="646" t="s">
        <v>108</v>
      </c>
      <c r="M381" s="650"/>
      <c r="N381" s="647"/>
      <c r="O381" s="646"/>
      <c r="P381" s="649"/>
      <c r="Q381" s="831"/>
    </row>
    <row r="382" spans="1:17" ht="15" customHeight="1">
      <c r="A382" s="93" t="s">
        <v>24</v>
      </c>
      <c r="B382" s="93" t="s">
        <v>21</v>
      </c>
      <c r="E382" s="93" t="s">
        <v>24</v>
      </c>
      <c r="F382" s="828" t="str">
        <f t="shared" si="38"/>
        <v>ピンクエッジ</v>
      </c>
      <c r="G382" s="650" t="s">
        <v>632</v>
      </c>
      <c r="H382" s="829" t="str">
        <f t="shared" si="39"/>
        <v>H:\Taniku\ピンクエッジ</v>
      </c>
      <c r="I382" s="650"/>
      <c r="J382" s="830"/>
      <c r="K382" s="646" t="s">
        <v>27</v>
      </c>
      <c r="L382" s="646" t="s">
        <v>116</v>
      </c>
      <c r="M382" s="650"/>
      <c r="N382" s="647"/>
      <c r="O382" s="646"/>
      <c r="P382" s="649"/>
      <c r="Q382" s="831"/>
    </row>
    <row r="383" spans="1:17" ht="15" customHeight="1">
      <c r="A383" s="93" t="s">
        <v>24</v>
      </c>
      <c r="B383" s="93" t="s">
        <v>633</v>
      </c>
      <c r="E383" s="93" t="s">
        <v>24</v>
      </c>
      <c r="F383" s="828" t="str">
        <f t="shared" si="38"/>
        <v>ピンクウィッチ</v>
      </c>
      <c r="G383" s="650" t="s">
        <v>634</v>
      </c>
      <c r="H383" s="829" t="str">
        <f t="shared" si="39"/>
        <v>H:\Taniku\ピンクウィッチ</v>
      </c>
      <c r="I383" s="650"/>
      <c r="J383" s="830"/>
      <c r="K383" s="646" t="s">
        <v>23</v>
      </c>
      <c r="L383" s="646" t="s">
        <v>72</v>
      </c>
      <c r="M383" s="650"/>
      <c r="N383" s="647" t="s">
        <v>635</v>
      </c>
      <c r="O383" s="646" t="s">
        <v>215</v>
      </c>
      <c r="P383" s="649" t="s">
        <v>246</v>
      </c>
      <c r="Q383" s="831"/>
    </row>
    <row r="384" spans="1:17" ht="15" customHeight="1">
      <c r="A384" s="93" t="s">
        <v>24</v>
      </c>
      <c r="B384" s="93" t="s">
        <v>21</v>
      </c>
      <c r="D384" s="93" t="s">
        <v>24</v>
      </c>
      <c r="E384" s="93" t="s">
        <v>24</v>
      </c>
      <c r="F384" s="828" t="str">
        <f t="shared" si="38"/>
        <v>ピンクキャビア</v>
      </c>
      <c r="G384" s="650" t="s">
        <v>636</v>
      </c>
      <c r="H384" s="829" t="str">
        <f t="shared" si="39"/>
        <v>H:\Taniku\ピンクキャビア</v>
      </c>
      <c r="I384" s="650"/>
      <c r="J384" s="830" t="s">
        <v>131</v>
      </c>
      <c r="K384" s="646" t="s">
        <v>30</v>
      </c>
      <c r="L384" s="646" t="s">
        <v>131</v>
      </c>
      <c r="M384" s="650"/>
      <c r="N384" s="647"/>
      <c r="O384" s="646"/>
      <c r="P384" s="649"/>
      <c r="Q384" s="831"/>
    </row>
    <row r="385" spans="1:17" ht="15" customHeight="1">
      <c r="A385" s="93" t="s">
        <v>24</v>
      </c>
      <c r="B385" s="93" t="s">
        <v>21</v>
      </c>
      <c r="D385" s="93" t="s">
        <v>24</v>
      </c>
      <c r="E385" s="93" t="s">
        <v>24</v>
      </c>
      <c r="F385" s="832" t="str">
        <f t="shared" si="38"/>
        <v>ピンクザラゴーサ</v>
      </c>
      <c r="G385" s="650" t="s">
        <v>637</v>
      </c>
      <c r="H385" s="829" t="str">
        <f t="shared" si="39"/>
        <v>H:\Taniku\ピンクザラゴーサ</v>
      </c>
      <c r="I385" s="650"/>
      <c r="J385" s="830"/>
      <c r="K385" s="646" t="s">
        <v>23</v>
      </c>
      <c r="L385" s="646" t="s">
        <v>354</v>
      </c>
      <c r="M385" s="650"/>
      <c r="N385" s="647"/>
      <c r="O385" s="646"/>
      <c r="P385" s="649"/>
      <c r="Q385" s="831"/>
    </row>
    <row r="386" spans="1:17" ht="15" customHeight="1">
      <c r="A386" s="443" t="s">
        <v>15</v>
      </c>
      <c r="B386" s="93" t="s">
        <v>21</v>
      </c>
      <c r="D386" s="93" t="s">
        <v>24</v>
      </c>
      <c r="E386" s="93" t="s">
        <v>24</v>
      </c>
      <c r="F386" s="832" t="str">
        <f t="shared" si="38"/>
        <v>ピンクスパイダー</v>
      </c>
      <c r="G386" s="650" t="s">
        <v>638</v>
      </c>
      <c r="H386" s="829" t="str">
        <f t="shared" si="39"/>
        <v>H:\Taniku\ピンクスパイダー</v>
      </c>
      <c r="I386" s="650"/>
      <c r="J386" s="830" t="s">
        <v>272</v>
      </c>
      <c r="K386" s="646" t="s">
        <v>23</v>
      </c>
      <c r="L386" s="646" t="s">
        <v>84</v>
      </c>
      <c r="M386" s="650"/>
      <c r="N386" s="647"/>
      <c r="O386" s="646"/>
      <c r="P386" s="649"/>
      <c r="Q386" s="831"/>
    </row>
    <row r="387" spans="1:17" ht="15" customHeight="1">
      <c r="A387" s="93" t="s">
        <v>24</v>
      </c>
      <c r="B387" s="93" t="s">
        <v>21</v>
      </c>
      <c r="E387" s="93" t="s">
        <v>24</v>
      </c>
      <c r="F387" s="832" t="str">
        <f t="shared" si="38"/>
        <v>ピンクチップス</v>
      </c>
      <c r="G387" s="650" t="s">
        <v>639</v>
      </c>
      <c r="H387" s="829" t="str">
        <f t="shared" si="39"/>
        <v>H:\Taniku\ピンクチップス</v>
      </c>
      <c r="I387" s="650"/>
      <c r="J387" s="830"/>
      <c r="K387" s="646" t="s">
        <v>27</v>
      </c>
      <c r="L387" s="646" t="s">
        <v>120</v>
      </c>
      <c r="M387" s="650"/>
      <c r="N387" s="647"/>
      <c r="O387" s="646"/>
      <c r="P387" s="649"/>
      <c r="Q387" s="831"/>
    </row>
    <row r="388" spans="1:17" ht="15" customHeight="1">
      <c r="A388" s="93" t="s">
        <v>24</v>
      </c>
      <c r="B388" s="93" t="s">
        <v>34</v>
      </c>
      <c r="E388" s="93" t="s">
        <v>24</v>
      </c>
      <c r="F388" s="828" t="str">
        <f t="shared" si="38"/>
        <v>ピンクプリティ</v>
      </c>
      <c r="G388" s="650" t="s">
        <v>640</v>
      </c>
      <c r="H388" s="829" t="str">
        <f t="shared" si="39"/>
        <v>H:\Taniku\ピンクプリティ</v>
      </c>
      <c r="I388" s="650"/>
      <c r="J388" s="830"/>
      <c r="K388" s="646" t="s">
        <v>27</v>
      </c>
      <c r="L388" s="646" t="s">
        <v>114</v>
      </c>
      <c r="M388" s="650"/>
      <c r="N388" s="647"/>
      <c r="O388" s="646"/>
      <c r="P388" s="649"/>
      <c r="Q388" s="831"/>
    </row>
    <row r="389" spans="1:17" ht="15" customHeight="1">
      <c r="A389" s="93" t="s">
        <v>24</v>
      </c>
      <c r="B389" s="93" t="s">
        <v>21</v>
      </c>
      <c r="E389" s="93" t="s">
        <v>24</v>
      </c>
      <c r="F389" s="828" t="str">
        <f t="shared" si="38"/>
        <v>ピンクマルガン</v>
      </c>
      <c r="G389" s="650" t="s">
        <v>641</v>
      </c>
      <c r="H389" s="829" t="str">
        <f t="shared" si="39"/>
        <v>H:\Taniku\ピンクマルガン</v>
      </c>
      <c r="I389" s="650"/>
      <c r="J389" s="830"/>
      <c r="K389" s="646" t="s">
        <v>23</v>
      </c>
      <c r="L389" s="646" t="s">
        <v>55</v>
      </c>
      <c r="M389" s="650"/>
      <c r="N389" s="647"/>
      <c r="O389" s="646"/>
      <c r="P389" s="649"/>
      <c r="Q389" s="831"/>
    </row>
    <row r="390" spans="1:17" ht="15" customHeight="1">
      <c r="A390" s="93" t="s">
        <v>24</v>
      </c>
      <c r="B390" s="93" t="s">
        <v>34</v>
      </c>
      <c r="E390" s="93" t="s">
        <v>24</v>
      </c>
      <c r="F390" s="828" t="str">
        <f t="shared" si="38"/>
        <v>ピンクルルビー</v>
      </c>
      <c r="G390" s="650" t="s">
        <v>642</v>
      </c>
      <c r="H390" s="829" t="str">
        <f t="shared" si="39"/>
        <v>H:\Taniku\ピンクルルビー</v>
      </c>
      <c r="I390" s="650"/>
      <c r="J390" s="830" t="s">
        <v>320</v>
      </c>
      <c r="K390" s="646" t="s">
        <v>643</v>
      </c>
      <c r="L390" s="646" t="s">
        <v>644</v>
      </c>
      <c r="M390" s="650"/>
      <c r="N390" s="647"/>
      <c r="O390" s="646"/>
      <c r="P390" s="649"/>
      <c r="Q390" s="831"/>
    </row>
    <row r="391" spans="1:17" ht="15" customHeight="1">
      <c r="A391" s="93" t="s">
        <v>24</v>
      </c>
      <c r="B391" s="93" t="s">
        <v>21</v>
      </c>
      <c r="E391" s="93" t="s">
        <v>24</v>
      </c>
      <c r="F391" s="828" t="str">
        <f t="shared" si="38"/>
        <v>ピンクローサ</v>
      </c>
      <c r="G391" s="650" t="s">
        <v>645</v>
      </c>
      <c r="H391" s="829" t="str">
        <f t="shared" si="39"/>
        <v>H:\Taniku\ピンクローサ</v>
      </c>
      <c r="I391" s="650"/>
      <c r="J391" s="830" t="s">
        <v>646</v>
      </c>
      <c r="K391" s="646" t="s">
        <v>27</v>
      </c>
      <c r="L391" s="646" t="s">
        <v>44</v>
      </c>
      <c r="M391" s="650"/>
      <c r="N391" s="647" t="s">
        <v>647</v>
      </c>
      <c r="O391" s="646" t="s">
        <v>163</v>
      </c>
      <c r="P391" s="649" t="s">
        <v>303</v>
      </c>
      <c r="Q391" s="831"/>
    </row>
    <row r="392" spans="1:17" ht="15" customHeight="1">
      <c r="A392" s="93" t="s">
        <v>24</v>
      </c>
      <c r="B392" s="93" t="s">
        <v>21</v>
      </c>
      <c r="E392" s="93" t="s">
        <v>24</v>
      </c>
      <c r="F392" s="828" t="str">
        <f t="shared" si="38"/>
        <v>ピンクロール</v>
      </c>
      <c r="G392" s="650" t="s">
        <v>648</v>
      </c>
      <c r="H392" s="829" t="str">
        <f t="shared" si="39"/>
        <v>H:\Taniku\ピンクロール</v>
      </c>
      <c r="I392" s="650"/>
      <c r="J392" s="830"/>
      <c r="K392" s="646" t="s">
        <v>27</v>
      </c>
      <c r="L392" s="646" t="s">
        <v>108</v>
      </c>
      <c r="M392" s="650"/>
      <c r="N392" s="647"/>
      <c r="O392" s="646"/>
      <c r="P392" s="649"/>
      <c r="Q392" s="831"/>
    </row>
    <row r="393" spans="1:17" ht="15" customHeight="1">
      <c r="A393" s="93" t="s">
        <v>24</v>
      </c>
      <c r="B393" s="93" t="s">
        <v>21</v>
      </c>
      <c r="E393" s="93" t="s">
        <v>24</v>
      </c>
      <c r="F393" s="828" t="str">
        <f t="shared" si="38"/>
        <v>ビンセントカウル</v>
      </c>
      <c r="G393" s="650" t="s">
        <v>649</v>
      </c>
      <c r="H393" s="829" t="str">
        <f t="shared" si="39"/>
        <v>H:\Taniku\ビンセントカウル</v>
      </c>
      <c r="I393" s="650"/>
      <c r="J393" s="830"/>
      <c r="K393" s="646" t="s">
        <v>23</v>
      </c>
      <c r="L393" s="646" t="s">
        <v>60</v>
      </c>
      <c r="M393" s="650"/>
      <c r="N393" s="647"/>
      <c r="O393" s="646"/>
      <c r="P393" s="649"/>
      <c r="Q393" s="831"/>
    </row>
    <row r="394" spans="1:17" ht="15" customHeight="1" thickBot="1">
      <c r="A394" s="93" t="s">
        <v>24</v>
      </c>
      <c r="B394" s="93" t="s">
        <v>21</v>
      </c>
      <c r="E394" s="93" t="s">
        <v>24</v>
      </c>
      <c r="F394" s="833" t="str">
        <f t="shared" si="38"/>
        <v>ビンセントカトー</v>
      </c>
      <c r="G394" s="834" t="s">
        <v>650</v>
      </c>
      <c r="H394" s="835" t="str">
        <f t="shared" si="39"/>
        <v>H:\Taniku\ビンセントカトー</v>
      </c>
      <c r="I394" s="650"/>
      <c r="J394" s="836"/>
      <c r="K394" s="837" t="s">
        <v>23</v>
      </c>
      <c r="L394" s="837" t="s">
        <v>55</v>
      </c>
      <c r="M394" s="834"/>
      <c r="N394" s="838" t="s">
        <v>651</v>
      </c>
      <c r="O394" s="837"/>
      <c r="P394" s="839" t="s">
        <v>652</v>
      </c>
      <c r="Q394" s="840"/>
    </row>
    <row r="395" spans="1:17" ht="15" customHeight="1" thickTop="1">
      <c r="B395" s="262" t="s">
        <v>12</v>
      </c>
      <c r="C395" s="262" t="s">
        <v>12</v>
      </c>
      <c r="D395" s="262"/>
      <c r="E395" s="262" t="s">
        <v>12</v>
      </c>
      <c r="F395" s="650"/>
      <c r="G395" s="650"/>
      <c r="H395" s="646"/>
      <c r="I395" s="650"/>
      <c r="J395" s="646"/>
      <c r="K395" s="646"/>
      <c r="L395" s="646"/>
      <c r="M395" s="650"/>
      <c r="N395" s="647"/>
      <c r="O395" s="646"/>
      <c r="P395" s="649"/>
      <c r="Q395" s="650"/>
    </row>
    <row r="396" spans="1:17" ht="15" customHeight="1" thickBot="1">
      <c r="B396" s="262" t="s">
        <v>12</v>
      </c>
      <c r="C396" s="262" t="s">
        <v>12</v>
      </c>
      <c r="D396" s="262"/>
      <c r="E396" s="262" t="s">
        <v>12</v>
      </c>
      <c r="F396" s="841" t="s">
        <v>653</v>
      </c>
      <c r="G396" s="841"/>
      <c r="H396" s="646"/>
      <c r="I396" s="841"/>
      <c r="J396" s="646"/>
      <c r="K396" s="646"/>
      <c r="L396" s="646"/>
      <c r="M396" s="841"/>
      <c r="N396" s="647"/>
      <c r="O396" s="842"/>
      <c r="P396" s="649"/>
      <c r="Q396" s="650"/>
    </row>
    <row r="397" spans="1:17" ht="15" customHeight="1" thickTop="1">
      <c r="A397" s="93" t="s">
        <v>24</v>
      </c>
      <c r="B397" s="93" t="s">
        <v>21</v>
      </c>
      <c r="E397" s="93" t="s">
        <v>24</v>
      </c>
      <c r="F397" s="843" t="str">
        <f t="shared" ref="F397:F433" si="40">HYPERLINK(H397,G397)</f>
        <v>ファイヤーピラー</v>
      </c>
      <c r="G397" s="844" t="s">
        <v>654</v>
      </c>
      <c r="H397" s="845" t="str">
        <f t="shared" ref="H397:H433" si="41">CONCATENATE("H:\Taniku\",G397)</f>
        <v>H:\Taniku\ファイヤーピラー</v>
      </c>
      <c r="I397" s="650"/>
      <c r="J397" s="846"/>
      <c r="K397" s="847" t="s">
        <v>27</v>
      </c>
      <c r="L397" s="847" t="s">
        <v>106</v>
      </c>
      <c r="M397" s="844"/>
      <c r="N397" s="848" t="s">
        <v>287</v>
      </c>
      <c r="O397" s="847" t="s">
        <v>520</v>
      </c>
      <c r="P397" s="849" t="s">
        <v>655</v>
      </c>
      <c r="Q397" s="850"/>
    </row>
    <row r="398" spans="1:17" ht="15" customHeight="1">
      <c r="A398" s="93" t="s">
        <v>24</v>
      </c>
      <c r="B398" s="93" t="s">
        <v>21</v>
      </c>
      <c r="E398" s="93" t="s">
        <v>24</v>
      </c>
      <c r="F398" s="851" t="str">
        <f t="shared" si="40"/>
        <v>ファンクイーン</v>
      </c>
      <c r="G398" s="650" t="s">
        <v>656</v>
      </c>
      <c r="H398" s="852" t="str">
        <f t="shared" si="41"/>
        <v>H:\Taniku\ファンクイーン</v>
      </c>
      <c r="I398" s="650"/>
      <c r="J398" s="853"/>
      <c r="K398" s="646" t="s">
        <v>657</v>
      </c>
      <c r="L398" s="646" t="s">
        <v>658</v>
      </c>
      <c r="M398" s="650"/>
      <c r="N398" s="647" t="s">
        <v>302</v>
      </c>
      <c r="O398" s="646" t="s">
        <v>163</v>
      </c>
      <c r="P398" s="649" t="s">
        <v>359</v>
      </c>
      <c r="Q398" s="854"/>
    </row>
    <row r="399" spans="1:17" ht="15" customHeight="1">
      <c r="A399" s="93" t="s">
        <v>24</v>
      </c>
      <c r="B399" s="93" t="s">
        <v>31</v>
      </c>
      <c r="E399" s="93" t="s">
        <v>24</v>
      </c>
      <c r="F399" s="855" t="str">
        <f t="shared" si="40"/>
        <v>ファンタジー</v>
      </c>
      <c r="G399" s="650" t="s">
        <v>659</v>
      </c>
      <c r="H399" s="852" t="str">
        <f t="shared" si="41"/>
        <v>H:\Taniku\ファンタジー</v>
      </c>
      <c r="I399" s="650"/>
      <c r="J399" s="853"/>
      <c r="K399" s="646" t="s">
        <v>23</v>
      </c>
      <c r="L399" s="646" t="s">
        <v>55</v>
      </c>
      <c r="M399" s="650"/>
      <c r="N399" s="647" t="s">
        <v>660</v>
      </c>
      <c r="O399" s="646" t="s">
        <v>215</v>
      </c>
      <c r="P399" s="649" t="s">
        <v>246</v>
      </c>
      <c r="Q399" s="854"/>
    </row>
    <row r="400" spans="1:17" ht="15" customHeight="1">
      <c r="A400" s="93" t="s">
        <v>24</v>
      </c>
      <c r="B400" s="93" t="s">
        <v>21</v>
      </c>
      <c r="E400" s="93" t="s">
        <v>24</v>
      </c>
      <c r="F400" s="855" t="str">
        <f t="shared" si="40"/>
        <v>フィオナ</v>
      </c>
      <c r="G400" s="650" t="s">
        <v>661</v>
      </c>
      <c r="H400" s="852" t="str">
        <f t="shared" si="41"/>
        <v>H:\Taniku\フィオナ</v>
      </c>
      <c r="I400" s="650"/>
      <c r="J400" s="853"/>
      <c r="K400" s="646" t="s">
        <v>27</v>
      </c>
      <c r="L400" s="646" t="s">
        <v>662</v>
      </c>
      <c r="M400" s="650"/>
      <c r="N400" s="647" t="s">
        <v>663</v>
      </c>
      <c r="O400" s="646" t="s">
        <v>231</v>
      </c>
      <c r="P400" s="649" t="s">
        <v>664</v>
      </c>
      <c r="Q400" s="854"/>
    </row>
    <row r="401" spans="1:17" ht="15" customHeight="1">
      <c r="A401" s="93" t="s">
        <v>342</v>
      </c>
      <c r="B401" s="93" t="s">
        <v>28</v>
      </c>
      <c r="E401" s="93" t="s">
        <v>24</v>
      </c>
      <c r="F401" s="855" t="str">
        <f t="shared" si="40"/>
        <v>ブードゥー</v>
      </c>
      <c r="G401" s="650" t="s">
        <v>665</v>
      </c>
      <c r="H401" s="852" t="str">
        <f t="shared" si="41"/>
        <v>H:\Taniku\ブードゥー</v>
      </c>
      <c r="I401" s="650"/>
      <c r="J401" s="853"/>
      <c r="K401" s="646" t="s">
        <v>30</v>
      </c>
      <c r="L401" s="646" t="s">
        <v>133</v>
      </c>
      <c r="M401" s="650"/>
      <c r="N401" s="647" t="s">
        <v>548</v>
      </c>
      <c r="O401" s="646" t="s">
        <v>215</v>
      </c>
      <c r="P401" s="649" t="s">
        <v>666</v>
      </c>
      <c r="Q401" s="854"/>
    </row>
    <row r="402" spans="1:17" ht="15" customHeight="1">
      <c r="A402" s="93" t="s">
        <v>24</v>
      </c>
      <c r="B402" s="93" t="s">
        <v>50</v>
      </c>
      <c r="E402" s="93" t="s">
        <v>24</v>
      </c>
      <c r="F402" s="855" t="str">
        <f t="shared" si="40"/>
        <v>斑入りグリーンネックレス</v>
      </c>
      <c r="G402" s="650" t="s">
        <v>667</v>
      </c>
      <c r="H402" s="852" t="str">
        <f t="shared" si="41"/>
        <v>H:\Taniku\斑入りグリーンネックレス</v>
      </c>
      <c r="I402" s="650"/>
      <c r="J402" s="853"/>
      <c r="K402" s="646" t="s">
        <v>23</v>
      </c>
      <c r="L402" s="646" t="s">
        <v>55</v>
      </c>
      <c r="M402" s="650"/>
      <c r="N402" s="647" t="s">
        <v>268</v>
      </c>
      <c r="O402" s="646" t="s">
        <v>231</v>
      </c>
      <c r="P402" s="649" t="s">
        <v>668</v>
      </c>
      <c r="Q402" s="854"/>
    </row>
    <row r="403" spans="1:17" ht="15" customHeight="1">
      <c r="A403" s="93" t="s">
        <v>24</v>
      </c>
      <c r="B403" s="93" t="s">
        <v>61</v>
      </c>
      <c r="E403" s="93" t="s">
        <v>24</v>
      </c>
      <c r="F403" s="855" t="str">
        <f t="shared" si="40"/>
        <v>斑入り子持ち蓮華</v>
      </c>
      <c r="G403" s="650" t="s">
        <v>669</v>
      </c>
      <c r="H403" s="852" t="str">
        <f t="shared" si="41"/>
        <v>H:\Taniku\斑入り子持ち蓮華</v>
      </c>
      <c r="I403" s="650"/>
      <c r="J403" s="853"/>
      <c r="K403" s="646" t="s">
        <v>23</v>
      </c>
      <c r="L403" s="646" t="s">
        <v>55</v>
      </c>
      <c r="M403" s="650"/>
      <c r="N403" s="647"/>
      <c r="O403" s="646"/>
      <c r="P403" s="649"/>
      <c r="Q403" s="854"/>
    </row>
    <row r="404" spans="1:17" ht="15" customHeight="1">
      <c r="A404" s="93" t="s">
        <v>24</v>
      </c>
      <c r="B404" s="93" t="s">
        <v>28</v>
      </c>
      <c r="E404" s="93" t="s">
        <v>24</v>
      </c>
      <c r="F404" s="851" t="str">
        <f t="shared" si="40"/>
        <v>斑入りタイトゴメ</v>
      </c>
      <c r="G404" s="650" t="s">
        <v>670</v>
      </c>
      <c r="H404" s="852" t="str">
        <f t="shared" si="41"/>
        <v>H:\Taniku\斑入りタイトゴメ</v>
      </c>
      <c r="I404" s="650"/>
      <c r="J404" s="853"/>
      <c r="K404" s="646" t="s">
        <v>23</v>
      </c>
      <c r="L404" s="646" t="s">
        <v>55</v>
      </c>
      <c r="M404" s="650"/>
      <c r="N404" s="647"/>
      <c r="O404" s="646"/>
      <c r="P404" s="649"/>
      <c r="Q404" s="854"/>
    </row>
    <row r="405" spans="1:17" ht="15" customHeight="1">
      <c r="A405" s="93" t="s">
        <v>24</v>
      </c>
      <c r="B405" s="93" t="s">
        <v>28</v>
      </c>
      <c r="E405" s="93" t="s">
        <v>24</v>
      </c>
      <c r="F405" s="855" t="str">
        <f t="shared" si="40"/>
        <v>斑入りミセバヤ</v>
      </c>
      <c r="G405" s="650" t="s">
        <v>671</v>
      </c>
      <c r="H405" s="852" t="str">
        <f t="shared" si="41"/>
        <v>H:\Taniku\斑入りミセバヤ</v>
      </c>
      <c r="I405" s="650"/>
      <c r="J405" s="853"/>
      <c r="K405" s="646" t="s">
        <v>23</v>
      </c>
      <c r="L405" s="646" t="s">
        <v>55</v>
      </c>
      <c r="M405" s="650"/>
      <c r="N405" s="647"/>
      <c r="O405" s="646"/>
      <c r="P405" s="649"/>
      <c r="Q405" s="854"/>
    </row>
    <row r="406" spans="1:17" ht="15" customHeight="1">
      <c r="A406" s="93" t="s">
        <v>24</v>
      </c>
      <c r="B406" s="93" t="s">
        <v>28</v>
      </c>
      <c r="E406" s="93" t="s">
        <v>24</v>
      </c>
      <c r="F406" s="855" t="str">
        <f t="shared" si="40"/>
        <v>斑入り細葉万年草</v>
      </c>
      <c r="G406" s="650" t="s">
        <v>672</v>
      </c>
      <c r="H406" s="852" t="str">
        <f t="shared" si="41"/>
        <v>H:\Taniku\斑入り細葉万年草</v>
      </c>
      <c r="I406" s="650"/>
      <c r="J406" s="853"/>
      <c r="K406" s="646" t="s">
        <v>27</v>
      </c>
      <c r="L406" s="646" t="s">
        <v>112</v>
      </c>
      <c r="M406" s="650"/>
      <c r="N406" s="647"/>
      <c r="O406" s="646"/>
      <c r="P406" s="649"/>
      <c r="Q406" s="854"/>
    </row>
    <row r="407" spans="1:17" ht="15" customHeight="1">
      <c r="A407" s="93" t="s">
        <v>24</v>
      </c>
      <c r="B407" s="93" t="s">
        <v>28</v>
      </c>
      <c r="E407" s="93" t="s">
        <v>24</v>
      </c>
      <c r="F407" s="855" t="str">
        <f t="shared" si="40"/>
        <v>斑入り丸葉万年草</v>
      </c>
      <c r="G407" s="650" t="s">
        <v>673</v>
      </c>
      <c r="H407" s="852" t="str">
        <f t="shared" si="41"/>
        <v>H:\Taniku\斑入り丸葉万年草</v>
      </c>
      <c r="I407" s="650"/>
      <c r="J407" s="853"/>
      <c r="K407" s="646" t="s">
        <v>27</v>
      </c>
      <c r="L407" s="646" t="s">
        <v>112</v>
      </c>
      <c r="M407" s="650"/>
      <c r="N407" s="647"/>
      <c r="O407" s="646"/>
      <c r="P407" s="649"/>
      <c r="Q407" s="854"/>
    </row>
    <row r="408" spans="1:17" ht="15" customHeight="1">
      <c r="A408" s="93" t="s">
        <v>24</v>
      </c>
      <c r="B408" s="93" t="s">
        <v>56</v>
      </c>
      <c r="E408" s="93" t="s">
        <v>24</v>
      </c>
      <c r="F408" s="855" t="str">
        <f t="shared" si="40"/>
        <v>福だるま</v>
      </c>
      <c r="G408" s="650" t="s">
        <v>674</v>
      </c>
      <c r="H408" s="852" t="str">
        <f t="shared" si="41"/>
        <v>H:\Taniku\福だるま</v>
      </c>
      <c r="I408" s="650"/>
      <c r="J408" s="853"/>
      <c r="K408" s="646" t="s">
        <v>23</v>
      </c>
      <c r="L408" s="646" t="s">
        <v>48</v>
      </c>
      <c r="M408" s="650"/>
      <c r="N408" s="647" t="s">
        <v>268</v>
      </c>
      <c r="O408" s="646" t="s">
        <v>231</v>
      </c>
      <c r="P408" s="649" t="s">
        <v>675</v>
      </c>
      <c r="Q408" s="854"/>
    </row>
    <row r="409" spans="1:17" ht="15" customHeight="1">
      <c r="A409" s="93" t="s">
        <v>24</v>
      </c>
      <c r="B409" s="93" t="s">
        <v>21</v>
      </c>
      <c r="E409" s="93" t="s">
        <v>24</v>
      </c>
      <c r="F409" s="855" t="str">
        <f t="shared" si="40"/>
        <v>プシケ</v>
      </c>
      <c r="G409" s="650" t="s">
        <v>676</v>
      </c>
      <c r="H409" s="852" t="str">
        <f t="shared" si="41"/>
        <v>H:\Taniku\プシケ</v>
      </c>
      <c r="I409" s="650"/>
      <c r="J409" s="853"/>
      <c r="K409" s="646" t="s">
        <v>27</v>
      </c>
      <c r="L409" s="646" t="s">
        <v>677</v>
      </c>
      <c r="M409" s="650"/>
      <c r="N409" s="647" t="s">
        <v>678</v>
      </c>
      <c r="O409" s="646" t="s">
        <v>679</v>
      </c>
      <c r="P409" s="649" t="s">
        <v>680</v>
      </c>
      <c r="Q409" s="854"/>
    </row>
    <row r="410" spans="1:17" ht="15" customHeight="1">
      <c r="A410" s="93" t="s">
        <v>24</v>
      </c>
      <c r="B410" s="93" t="s">
        <v>36</v>
      </c>
      <c r="E410" s="93" t="s">
        <v>24</v>
      </c>
      <c r="F410" s="855" t="str">
        <f t="shared" si="40"/>
        <v>不死鳥錦</v>
      </c>
      <c r="G410" s="650" t="s">
        <v>681</v>
      </c>
      <c r="H410" s="852" t="str">
        <f t="shared" si="41"/>
        <v>H:\Taniku\不死鳥錦</v>
      </c>
      <c r="I410" s="650"/>
      <c r="J410" s="853"/>
      <c r="K410" s="646" t="s">
        <v>23</v>
      </c>
      <c r="L410" s="646" t="s">
        <v>63</v>
      </c>
      <c r="M410" s="650"/>
      <c r="N410" s="647"/>
      <c r="O410" s="646"/>
      <c r="P410" s="649"/>
      <c r="Q410" s="854"/>
    </row>
    <row r="411" spans="1:17" ht="15" customHeight="1">
      <c r="A411" s="443" t="s">
        <v>15</v>
      </c>
      <c r="B411" s="93" t="s">
        <v>21</v>
      </c>
      <c r="E411" s="93" t="s">
        <v>24</v>
      </c>
      <c r="F411" s="855" t="str">
        <f t="shared" si="40"/>
        <v>プミラxエボニー</v>
      </c>
      <c r="G411" s="650" t="s">
        <v>682</v>
      </c>
      <c r="H411" s="852" t="str">
        <f t="shared" si="41"/>
        <v>H:\Taniku\プミラxエボニー</v>
      </c>
      <c r="I411" s="650"/>
      <c r="J411" s="853"/>
      <c r="K411" s="646" t="s">
        <v>23</v>
      </c>
      <c r="L411" s="646" t="s">
        <v>66</v>
      </c>
      <c r="M411" s="650"/>
      <c r="N411" s="647"/>
      <c r="O411" s="646"/>
      <c r="P411" s="649"/>
      <c r="Q411" s="854"/>
    </row>
    <row r="412" spans="1:17" ht="15" customHeight="1">
      <c r="A412" s="93" t="s">
        <v>24</v>
      </c>
      <c r="B412" s="93" t="s">
        <v>46</v>
      </c>
      <c r="E412" s="93" t="s">
        <v>24</v>
      </c>
      <c r="F412" s="855" t="str">
        <f t="shared" si="40"/>
        <v>フユビジン</v>
      </c>
      <c r="G412" s="650" t="s">
        <v>683</v>
      </c>
      <c r="H412" s="852" t="str">
        <f t="shared" si="41"/>
        <v>H:\Taniku\フユビジン</v>
      </c>
      <c r="I412" s="650"/>
      <c r="J412" s="853"/>
      <c r="K412" s="646" t="s">
        <v>20</v>
      </c>
      <c r="L412" s="646" t="s">
        <v>45</v>
      </c>
      <c r="M412" s="650"/>
      <c r="N412" s="647" t="s">
        <v>268</v>
      </c>
      <c r="O412" s="646" t="s">
        <v>231</v>
      </c>
      <c r="P412" s="649" t="s">
        <v>684</v>
      </c>
      <c r="Q412" s="854"/>
    </row>
    <row r="413" spans="1:17" ht="15" customHeight="1">
      <c r="A413" s="93" t="s">
        <v>24</v>
      </c>
      <c r="B413" s="93" t="s">
        <v>21</v>
      </c>
      <c r="E413" s="93" t="s">
        <v>24</v>
      </c>
      <c r="F413" s="855" t="str">
        <f t="shared" si="40"/>
        <v>ブラウンローズ</v>
      </c>
      <c r="G413" s="650" t="s">
        <v>685</v>
      </c>
      <c r="H413" s="852" t="str">
        <f t="shared" si="41"/>
        <v>H:\Taniku\ブラウンローズ</v>
      </c>
      <c r="I413" s="650"/>
      <c r="J413" s="853"/>
      <c r="K413" s="646" t="s">
        <v>23</v>
      </c>
      <c r="L413" s="646" t="s">
        <v>60</v>
      </c>
      <c r="M413" s="650"/>
      <c r="N413" s="647"/>
      <c r="O413" s="646"/>
      <c r="P413" s="649"/>
      <c r="Q413" s="854"/>
    </row>
    <row r="414" spans="1:17" ht="15" customHeight="1">
      <c r="A414" s="93" t="s">
        <v>342</v>
      </c>
      <c r="B414" s="93" t="s">
        <v>21</v>
      </c>
      <c r="E414" s="93" t="s">
        <v>24</v>
      </c>
      <c r="F414" s="855" t="str">
        <f t="shared" si="40"/>
        <v>ブラックキング</v>
      </c>
      <c r="G414" s="650" t="s">
        <v>686</v>
      </c>
      <c r="H414" s="852" t="str">
        <f t="shared" si="41"/>
        <v>H:\Taniku\ブラックキング</v>
      </c>
      <c r="I414" s="650"/>
      <c r="J414" s="853"/>
      <c r="K414" s="646" t="s">
        <v>27</v>
      </c>
      <c r="L414" s="646" t="s">
        <v>106</v>
      </c>
      <c r="M414" s="650"/>
      <c r="N414" s="647"/>
      <c r="O414" s="646"/>
      <c r="P414" s="649"/>
      <c r="Q414" s="854"/>
    </row>
    <row r="415" spans="1:17" ht="15" customHeight="1">
      <c r="A415" s="93" t="s">
        <v>24</v>
      </c>
      <c r="B415" s="93" t="s">
        <v>21</v>
      </c>
      <c r="E415" s="93" t="s">
        <v>24</v>
      </c>
      <c r="F415" s="855" t="str">
        <f t="shared" si="40"/>
        <v>ブラックネイル</v>
      </c>
      <c r="G415" s="650" t="s">
        <v>687</v>
      </c>
      <c r="H415" s="852" t="str">
        <f t="shared" si="41"/>
        <v>H:\Taniku\ブラックネイル</v>
      </c>
      <c r="I415" s="650"/>
      <c r="J415" s="853"/>
      <c r="K415" s="646" t="s">
        <v>27</v>
      </c>
      <c r="L415" s="646" t="s">
        <v>114</v>
      </c>
      <c r="M415" s="650"/>
      <c r="N415" s="647" t="s">
        <v>688</v>
      </c>
      <c r="O415" s="646" t="s">
        <v>520</v>
      </c>
      <c r="P415" s="649" t="s">
        <v>689</v>
      </c>
      <c r="Q415" s="854"/>
    </row>
    <row r="416" spans="1:17" ht="15" customHeight="1">
      <c r="A416" s="93" t="s">
        <v>24</v>
      </c>
      <c r="B416" s="93" t="s">
        <v>28</v>
      </c>
      <c r="E416" s="93" t="s">
        <v>24</v>
      </c>
      <c r="F416" s="855" t="str">
        <f t="shared" si="40"/>
        <v>ブラックベリー</v>
      </c>
      <c r="G416" s="650" t="s">
        <v>690</v>
      </c>
      <c r="H416" s="852" t="str">
        <f t="shared" si="41"/>
        <v>H:\Taniku\ブラックベリー</v>
      </c>
      <c r="I416" s="650"/>
      <c r="J416" s="853"/>
      <c r="K416" s="646" t="s">
        <v>23</v>
      </c>
      <c r="L416" s="646" t="s">
        <v>55</v>
      </c>
      <c r="M416" s="650"/>
      <c r="N416" s="647"/>
      <c r="O416" s="646"/>
      <c r="P416" s="649"/>
      <c r="Q416" s="854"/>
    </row>
    <row r="417" spans="1:17" ht="15" customHeight="1">
      <c r="A417" s="93" t="s">
        <v>24</v>
      </c>
      <c r="B417" s="93" t="s">
        <v>21</v>
      </c>
      <c r="E417" s="93" t="s">
        <v>24</v>
      </c>
      <c r="F417" s="855" t="str">
        <f t="shared" si="40"/>
        <v>ブラックローズ</v>
      </c>
      <c r="G417" s="650" t="s">
        <v>691</v>
      </c>
      <c r="H417" s="852" t="str">
        <f t="shared" si="41"/>
        <v>H:\Taniku\ブラックローズ</v>
      </c>
      <c r="I417" s="650"/>
      <c r="J417" s="853"/>
      <c r="K417" s="646" t="s">
        <v>27</v>
      </c>
      <c r="L417" s="646" t="s">
        <v>106</v>
      </c>
      <c r="M417" s="650"/>
      <c r="N417" s="647" t="s">
        <v>268</v>
      </c>
      <c r="O417" s="646" t="s">
        <v>231</v>
      </c>
      <c r="P417" s="649" t="s">
        <v>692</v>
      </c>
      <c r="Q417" s="854"/>
    </row>
    <row r="418" spans="1:17" ht="15" customHeight="1">
      <c r="A418" s="93" t="s">
        <v>24</v>
      </c>
      <c r="B418" s="93" t="s">
        <v>21</v>
      </c>
      <c r="E418" s="93" t="s">
        <v>24</v>
      </c>
      <c r="F418" s="851" t="str">
        <f t="shared" si="40"/>
        <v>フランチェスカ</v>
      </c>
      <c r="G418" s="650" t="s">
        <v>693</v>
      </c>
      <c r="H418" s="852" t="str">
        <f t="shared" si="41"/>
        <v>H:\Taniku\フランチェスカ</v>
      </c>
      <c r="I418" s="650"/>
      <c r="J418" s="853" t="s">
        <v>226</v>
      </c>
      <c r="K418" s="646" t="s">
        <v>23</v>
      </c>
      <c r="L418" s="646" t="s">
        <v>72</v>
      </c>
      <c r="M418" s="650"/>
      <c r="N418" s="647"/>
      <c r="O418" s="646"/>
      <c r="P418" s="649"/>
      <c r="Q418" s="854"/>
    </row>
    <row r="419" spans="1:17" ht="15" customHeight="1">
      <c r="A419" s="93" t="s">
        <v>24</v>
      </c>
      <c r="B419" s="93" t="s">
        <v>21</v>
      </c>
      <c r="E419" s="93" t="s">
        <v>24</v>
      </c>
      <c r="F419" s="855" t="str">
        <f t="shared" si="40"/>
        <v>プリズム</v>
      </c>
      <c r="G419" s="650" t="s">
        <v>694</v>
      </c>
      <c r="H419" s="852" t="str">
        <f t="shared" si="41"/>
        <v>H:\Taniku\プリズム</v>
      </c>
      <c r="I419" s="650"/>
      <c r="J419" s="853"/>
      <c r="K419" s="646" t="s">
        <v>27</v>
      </c>
      <c r="L419" s="646" t="s">
        <v>108</v>
      </c>
      <c r="M419" s="650"/>
      <c r="N419" s="647"/>
      <c r="O419" s="646"/>
      <c r="P419" s="649"/>
      <c r="Q419" s="854"/>
    </row>
    <row r="420" spans="1:17" ht="15" customHeight="1">
      <c r="A420" s="93" t="s">
        <v>24</v>
      </c>
      <c r="B420" s="93" t="s">
        <v>39</v>
      </c>
      <c r="E420" s="93" t="s">
        <v>24</v>
      </c>
      <c r="F420" s="851" t="str">
        <f t="shared" si="40"/>
        <v>ブルーエルフ</v>
      </c>
      <c r="G420" s="650" t="s">
        <v>695</v>
      </c>
      <c r="H420" s="852" t="str">
        <f t="shared" si="41"/>
        <v>H:\Taniku\ブルーエルフ</v>
      </c>
      <c r="I420" s="650"/>
      <c r="J420" s="853"/>
      <c r="K420" s="646" t="s">
        <v>260</v>
      </c>
      <c r="L420" s="646" t="s">
        <v>696</v>
      </c>
      <c r="M420" s="650"/>
      <c r="N420" s="647"/>
      <c r="O420" s="646"/>
      <c r="P420" s="649"/>
      <c r="Q420" s="854"/>
    </row>
    <row r="421" spans="1:17" ht="15" customHeight="1">
      <c r="A421" s="93" t="s">
        <v>24</v>
      </c>
      <c r="B421" s="93" t="s">
        <v>21</v>
      </c>
      <c r="E421" s="93" t="s">
        <v>24</v>
      </c>
      <c r="F421" s="855" t="str">
        <f t="shared" si="40"/>
        <v>ブルーサプライズ</v>
      </c>
      <c r="G421" s="650" t="s">
        <v>697</v>
      </c>
      <c r="H421" s="852" t="str">
        <f t="shared" si="41"/>
        <v>H:\Taniku\ブルーサプライズ</v>
      </c>
      <c r="I421" s="650"/>
      <c r="J421" s="853"/>
      <c r="K421" s="646" t="s">
        <v>27</v>
      </c>
      <c r="L421" s="646" t="s">
        <v>118</v>
      </c>
      <c r="M421" s="650"/>
      <c r="N421" s="647" t="s">
        <v>698</v>
      </c>
      <c r="O421" s="646" t="s">
        <v>215</v>
      </c>
      <c r="P421" s="649" t="s">
        <v>624</v>
      </c>
      <c r="Q421" s="854"/>
    </row>
    <row r="422" spans="1:17" ht="15" customHeight="1">
      <c r="A422" s="93" t="s">
        <v>24</v>
      </c>
      <c r="B422" s="93" t="s">
        <v>21</v>
      </c>
      <c r="E422" s="93" t="s">
        <v>24</v>
      </c>
      <c r="F422" s="855" t="str">
        <f t="shared" si="40"/>
        <v>ブルードラゴン</v>
      </c>
      <c r="G422" s="650" t="s">
        <v>699</v>
      </c>
      <c r="H422" s="852" t="str">
        <f t="shared" si="41"/>
        <v>H:\Taniku\ブルードラゴン</v>
      </c>
      <c r="I422" s="650"/>
      <c r="J422" s="853"/>
      <c r="K422" s="646" t="s">
        <v>27</v>
      </c>
      <c r="L422" s="646" t="s">
        <v>106</v>
      </c>
      <c r="M422" s="650"/>
      <c r="N422" s="647"/>
      <c r="O422" s="646"/>
      <c r="P422" s="649"/>
      <c r="Q422" s="854"/>
    </row>
    <row r="423" spans="1:17" ht="15" customHeight="1">
      <c r="A423" s="93" t="s">
        <v>24</v>
      </c>
      <c r="B423" s="93" t="s">
        <v>21</v>
      </c>
      <c r="E423" s="93" t="s">
        <v>24</v>
      </c>
      <c r="F423" s="855" t="str">
        <f t="shared" si="40"/>
        <v>ブルーバード</v>
      </c>
      <c r="G423" s="650" t="s">
        <v>700</v>
      </c>
      <c r="H423" s="852" t="str">
        <f t="shared" si="41"/>
        <v>H:\Taniku\ブルーバード</v>
      </c>
      <c r="I423" s="650"/>
      <c r="J423" s="853"/>
      <c r="K423" s="646" t="s">
        <v>27</v>
      </c>
      <c r="L423" s="646" t="s">
        <v>701</v>
      </c>
      <c r="M423" s="650"/>
      <c r="N423" s="647" t="s">
        <v>422</v>
      </c>
      <c r="O423" s="646" t="s">
        <v>163</v>
      </c>
      <c r="P423" s="649" t="s">
        <v>702</v>
      </c>
      <c r="Q423" s="854"/>
    </row>
    <row r="424" spans="1:17" ht="15" customHeight="1">
      <c r="A424" s="93" t="s">
        <v>24</v>
      </c>
      <c r="B424" s="93" t="s">
        <v>28</v>
      </c>
      <c r="E424" s="93" t="s">
        <v>24</v>
      </c>
      <c r="F424" s="855" t="str">
        <f t="shared" si="40"/>
        <v>ブルービーン</v>
      </c>
      <c r="G424" s="650" t="s">
        <v>703</v>
      </c>
      <c r="H424" s="852" t="str">
        <f t="shared" si="41"/>
        <v>H:\Taniku\ブルービーン</v>
      </c>
      <c r="I424" s="650"/>
      <c r="J424" s="853"/>
      <c r="K424" s="646" t="s">
        <v>23</v>
      </c>
      <c r="L424" s="646" t="s">
        <v>55</v>
      </c>
      <c r="M424" s="650"/>
      <c r="N424" s="647"/>
      <c r="O424" s="646"/>
      <c r="P424" s="649"/>
      <c r="Q424" s="854"/>
    </row>
    <row r="425" spans="1:17" ht="15" customHeight="1">
      <c r="A425" s="93" t="s">
        <v>24</v>
      </c>
      <c r="B425" s="93" t="s">
        <v>21</v>
      </c>
      <c r="D425" s="93" t="s">
        <v>24</v>
      </c>
      <c r="E425" s="93" t="s">
        <v>24</v>
      </c>
      <c r="F425" s="855" t="str">
        <f t="shared" si="40"/>
        <v>ブルーミニマ</v>
      </c>
      <c r="G425" s="650" t="s">
        <v>704</v>
      </c>
      <c r="H425" s="852" t="str">
        <f t="shared" si="41"/>
        <v>H:\Taniku\ブルーミニマ</v>
      </c>
      <c r="I425" s="650"/>
      <c r="J425" s="853"/>
      <c r="K425" s="646" t="s">
        <v>30</v>
      </c>
      <c r="L425" s="646" t="s">
        <v>131</v>
      </c>
      <c r="M425" s="650"/>
      <c r="N425" s="647"/>
      <c r="O425" s="646"/>
      <c r="P425" s="649"/>
      <c r="Q425" s="854"/>
    </row>
    <row r="426" spans="1:17" ht="15" customHeight="1">
      <c r="A426" s="93" t="s">
        <v>24</v>
      </c>
      <c r="B426" s="93" t="s">
        <v>31</v>
      </c>
      <c r="E426" s="93" t="s">
        <v>24</v>
      </c>
      <c r="F426" s="855" t="str">
        <f t="shared" si="40"/>
        <v>ブルーリボン</v>
      </c>
      <c r="G426" s="650" t="s">
        <v>705</v>
      </c>
      <c r="H426" s="852" t="str">
        <f t="shared" si="41"/>
        <v>H:\Taniku\ブルーリボン</v>
      </c>
      <c r="I426" s="650"/>
      <c r="J426" s="853"/>
      <c r="K426" s="646" t="s">
        <v>23</v>
      </c>
      <c r="L426" s="646" t="s">
        <v>60</v>
      </c>
      <c r="M426" s="650"/>
      <c r="N426" s="647" t="s">
        <v>706</v>
      </c>
      <c r="O426" s="646" t="s">
        <v>215</v>
      </c>
      <c r="P426" s="649" t="s">
        <v>707</v>
      </c>
      <c r="Q426" s="854"/>
    </row>
    <row r="427" spans="1:17" ht="15" customHeight="1">
      <c r="A427" s="93" t="s">
        <v>342</v>
      </c>
      <c r="B427" s="93" t="s">
        <v>28</v>
      </c>
      <c r="E427" s="93" t="s">
        <v>24</v>
      </c>
      <c r="F427" s="855" t="str">
        <f t="shared" si="40"/>
        <v>プレビフォリウム天使のそよ風</v>
      </c>
      <c r="G427" s="650" t="s">
        <v>708</v>
      </c>
      <c r="H427" s="852" t="str">
        <f t="shared" si="41"/>
        <v>H:\Taniku\プレビフォリウム天使のそよ風</v>
      </c>
      <c r="I427" s="650"/>
      <c r="J427" s="853"/>
      <c r="K427" s="646" t="s">
        <v>27</v>
      </c>
      <c r="L427" s="646" t="s">
        <v>110</v>
      </c>
      <c r="M427" s="650"/>
      <c r="N427" s="647"/>
      <c r="O427" s="646"/>
      <c r="P427" s="649"/>
      <c r="Q427" s="854"/>
    </row>
    <row r="428" spans="1:17" ht="15" customHeight="1">
      <c r="A428" s="93" t="s">
        <v>24</v>
      </c>
      <c r="B428" s="93" t="s">
        <v>21</v>
      </c>
      <c r="E428" s="93" t="s">
        <v>24</v>
      </c>
      <c r="F428" s="855" t="str">
        <f t="shared" si="40"/>
        <v>プレリンゼ</v>
      </c>
      <c r="G428" s="650" t="s">
        <v>709</v>
      </c>
      <c r="H428" s="852" t="str">
        <f t="shared" si="41"/>
        <v>H:\Taniku\プレリンゼ</v>
      </c>
      <c r="I428" s="650"/>
      <c r="J428" s="853"/>
      <c r="K428" s="646" t="s">
        <v>23</v>
      </c>
      <c r="L428" s="646" t="s">
        <v>66</v>
      </c>
      <c r="M428" s="650"/>
      <c r="N428" s="647" t="s">
        <v>248</v>
      </c>
      <c r="O428" s="646" t="s">
        <v>163</v>
      </c>
      <c r="P428" s="649" t="s">
        <v>169</v>
      </c>
      <c r="Q428" s="854"/>
    </row>
    <row r="429" spans="1:17" ht="15" customHeight="1">
      <c r="A429" s="93" t="s">
        <v>24</v>
      </c>
      <c r="B429" s="93" t="s">
        <v>31</v>
      </c>
      <c r="E429" s="93" t="s">
        <v>24</v>
      </c>
      <c r="F429" s="855" t="str">
        <f t="shared" si="40"/>
        <v>ブロウメアナ</v>
      </c>
      <c r="G429" s="650" t="s">
        <v>710</v>
      </c>
      <c r="H429" s="852" t="str">
        <f t="shared" si="41"/>
        <v>H:\Taniku\ブロウメアナ</v>
      </c>
      <c r="I429" s="650"/>
      <c r="J429" s="853"/>
      <c r="K429" s="646" t="s">
        <v>27</v>
      </c>
      <c r="L429" s="646" t="s">
        <v>711</v>
      </c>
      <c r="M429" s="650"/>
      <c r="N429" s="647" t="s">
        <v>268</v>
      </c>
      <c r="O429" s="646" t="s">
        <v>231</v>
      </c>
      <c r="P429" s="649" t="s">
        <v>712</v>
      </c>
      <c r="Q429" s="854"/>
    </row>
    <row r="430" spans="1:17" ht="15" customHeight="1">
      <c r="A430" s="93" t="s">
        <v>24</v>
      </c>
      <c r="B430" s="93" t="s">
        <v>21</v>
      </c>
      <c r="E430" s="93" t="s">
        <v>24</v>
      </c>
      <c r="F430" s="855" t="str">
        <f t="shared" si="40"/>
        <v>ブロードドロップ</v>
      </c>
      <c r="G430" s="650" t="s">
        <v>713</v>
      </c>
      <c r="H430" s="852" t="str">
        <f t="shared" si="41"/>
        <v>H:\Taniku\ブロードドロップ</v>
      </c>
      <c r="I430" s="650"/>
      <c r="J430" s="853"/>
      <c r="K430" s="646" t="s">
        <v>23</v>
      </c>
      <c r="L430" s="646" t="s">
        <v>55</v>
      </c>
      <c r="M430" s="650"/>
      <c r="N430" s="647" t="s">
        <v>714</v>
      </c>
      <c r="O430" s="646"/>
      <c r="P430" s="649"/>
      <c r="Q430" s="854"/>
    </row>
    <row r="431" spans="1:17" ht="15" customHeight="1">
      <c r="A431" s="93" t="s">
        <v>24</v>
      </c>
      <c r="B431" s="93" t="s">
        <v>21</v>
      </c>
      <c r="E431" s="93" t="s">
        <v>24</v>
      </c>
      <c r="F431" s="855" t="str">
        <f t="shared" si="40"/>
        <v>プロリフィカ</v>
      </c>
      <c r="G431" s="650" t="s">
        <v>715</v>
      </c>
      <c r="H431" s="852" t="str">
        <f t="shared" si="41"/>
        <v>H:\Taniku\プロリフィカ</v>
      </c>
      <c r="I431" s="650"/>
      <c r="J431" s="853"/>
      <c r="K431" s="646" t="s">
        <v>27</v>
      </c>
      <c r="L431" s="646" t="s">
        <v>124</v>
      </c>
      <c r="M431" s="650"/>
      <c r="N431" s="647" t="s">
        <v>716</v>
      </c>
      <c r="O431" s="646" t="s">
        <v>520</v>
      </c>
      <c r="P431" s="649" t="s">
        <v>717</v>
      </c>
      <c r="Q431" s="854"/>
    </row>
    <row r="432" spans="1:17" ht="15" customHeight="1">
      <c r="A432" s="93" t="s">
        <v>24</v>
      </c>
      <c r="B432" s="93" t="s">
        <v>21</v>
      </c>
      <c r="E432" s="93" t="s">
        <v>24</v>
      </c>
      <c r="F432" s="855" t="str">
        <f t="shared" si="40"/>
        <v>プロリフェラ</v>
      </c>
      <c r="G432" s="650" t="s">
        <v>716</v>
      </c>
      <c r="H432" s="852" t="str">
        <f t="shared" si="41"/>
        <v>H:\Taniku\プロリフェラ</v>
      </c>
      <c r="I432" s="650"/>
      <c r="J432" s="853"/>
      <c r="K432" s="646" t="s">
        <v>20</v>
      </c>
      <c r="L432" s="646" t="s">
        <v>45</v>
      </c>
      <c r="M432" s="650"/>
      <c r="N432" s="647" t="s">
        <v>303</v>
      </c>
      <c r="O432" s="646" t="s">
        <v>520</v>
      </c>
      <c r="P432" s="649" t="s">
        <v>717</v>
      </c>
      <c r="Q432" s="854"/>
    </row>
    <row r="433" spans="1:17" ht="15" customHeight="1" thickBot="1">
      <c r="A433" s="93" t="s">
        <v>24</v>
      </c>
      <c r="B433" s="93" t="s">
        <v>64</v>
      </c>
      <c r="E433" s="93" t="s">
        <v>24</v>
      </c>
      <c r="F433" s="958" t="str">
        <f t="shared" si="40"/>
        <v>ブロンズ姫</v>
      </c>
      <c r="G433" s="857" t="s">
        <v>718</v>
      </c>
      <c r="H433" s="858" t="str">
        <f t="shared" si="41"/>
        <v>H:\Taniku\ブロンズ姫</v>
      </c>
      <c r="I433" s="650"/>
      <c r="J433" s="859"/>
      <c r="K433" s="860" t="s">
        <v>23</v>
      </c>
      <c r="L433" s="860" t="s">
        <v>93</v>
      </c>
      <c r="M433" s="857"/>
      <c r="N433" s="861" t="s">
        <v>263</v>
      </c>
      <c r="O433" s="860" t="s">
        <v>163</v>
      </c>
      <c r="P433" s="862" t="s">
        <v>719</v>
      </c>
      <c r="Q433" s="863"/>
    </row>
    <row r="434" spans="1:17" ht="15" customHeight="1" thickTop="1">
      <c r="B434" s="262" t="s">
        <v>12</v>
      </c>
      <c r="C434" s="262" t="s">
        <v>12</v>
      </c>
      <c r="D434" s="262"/>
      <c r="E434" s="262" t="s">
        <v>12</v>
      </c>
      <c r="F434" s="650"/>
      <c r="G434" s="650"/>
      <c r="H434" s="646"/>
      <c r="I434" s="650"/>
      <c r="J434" s="646"/>
      <c r="K434" s="646"/>
      <c r="L434" s="646"/>
      <c r="M434" s="650"/>
      <c r="N434" s="647"/>
      <c r="O434" s="646"/>
      <c r="P434" s="649"/>
      <c r="Q434" s="650"/>
    </row>
    <row r="435" spans="1:17" ht="15" customHeight="1" thickBot="1">
      <c r="B435" s="262" t="s">
        <v>12</v>
      </c>
      <c r="C435" s="262" t="s">
        <v>12</v>
      </c>
      <c r="D435" s="262"/>
      <c r="E435" s="262" t="s">
        <v>12</v>
      </c>
      <c r="F435" s="864" t="s">
        <v>720</v>
      </c>
      <c r="G435" s="864"/>
      <c r="H435" s="646"/>
      <c r="I435" s="864"/>
      <c r="J435" s="646"/>
      <c r="K435" s="646"/>
      <c r="L435" s="646"/>
      <c r="M435" s="864"/>
      <c r="N435" s="647"/>
      <c r="O435" s="865"/>
      <c r="P435" s="649"/>
      <c r="Q435" s="650"/>
    </row>
    <row r="436" spans="1:17" ht="15" customHeight="1" thickTop="1">
      <c r="A436" s="93" t="s">
        <v>24</v>
      </c>
      <c r="B436" s="93" t="s">
        <v>91</v>
      </c>
      <c r="E436" s="93" t="s">
        <v>24</v>
      </c>
      <c r="F436" s="866" t="str">
        <f t="shared" ref="F436:F447" si="42">HYPERLINK(H436,G436)</f>
        <v>碧魚連</v>
      </c>
      <c r="G436" s="867" t="s">
        <v>721</v>
      </c>
      <c r="H436" s="868" t="str">
        <f>CONCATENATE("H:\Taniku\",G436)</f>
        <v>H:\Taniku\碧魚連</v>
      </c>
      <c r="I436" s="650"/>
      <c r="J436" s="869"/>
      <c r="K436" s="870" t="s">
        <v>23</v>
      </c>
      <c r="L436" s="870" t="s">
        <v>55</v>
      </c>
      <c r="M436" s="867"/>
      <c r="N436" s="871"/>
      <c r="O436" s="870"/>
      <c r="P436" s="872"/>
      <c r="Q436" s="873"/>
    </row>
    <row r="437" spans="1:17" ht="15" customHeight="1">
      <c r="A437" s="93" t="s">
        <v>342</v>
      </c>
      <c r="B437" s="93" t="s">
        <v>56</v>
      </c>
      <c r="E437" s="93" t="s">
        <v>24</v>
      </c>
      <c r="F437" s="874" t="str">
        <f t="shared" si="42"/>
        <v>紅かんざし</v>
      </c>
      <c r="G437" s="650" t="s">
        <v>722</v>
      </c>
      <c r="H437" s="875" t="str">
        <f>CONCATENATE("H:\Taniku\",G437)</f>
        <v>H:\Taniku\紅かんざし</v>
      </c>
      <c r="I437" s="650"/>
      <c r="J437" s="876"/>
      <c r="K437" s="646" t="s">
        <v>23</v>
      </c>
      <c r="L437" s="646" t="s">
        <v>63</v>
      </c>
      <c r="M437" s="650"/>
      <c r="N437" s="647"/>
      <c r="O437" s="646"/>
      <c r="P437" s="649"/>
      <c r="Q437" s="877"/>
    </row>
    <row r="438" spans="1:17" ht="15" customHeight="1">
      <c r="A438" s="93" t="s">
        <v>24</v>
      </c>
      <c r="B438" s="93" t="s">
        <v>31</v>
      </c>
      <c r="E438" s="93" t="s">
        <v>24</v>
      </c>
      <c r="F438" s="959" t="str">
        <f t="shared" si="42"/>
        <v>紅稚児</v>
      </c>
      <c r="G438" s="650" t="s">
        <v>723</v>
      </c>
      <c r="H438" s="875" t="str">
        <f>CONCATENATE("H:\Taniku\",G438)</f>
        <v>H:\Taniku\紅稚児</v>
      </c>
      <c r="I438" s="650"/>
      <c r="J438" s="876"/>
      <c r="K438" s="646" t="s">
        <v>27</v>
      </c>
      <c r="L438" s="646" t="s">
        <v>110</v>
      </c>
      <c r="M438" s="650"/>
      <c r="N438" s="647"/>
      <c r="O438" s="646"/>
      <c r="P438" s="649"/>
      <c r="Q438" s="877"/>
    </row>
    <row r="439" spans="1:17" ht="15" customHeight="1">
      <c r="A439" s="93" t="s">
        <v>24</v>
      </c>
      <c r="B439" s="93" t="s">
        <v>28</v>
      </c>
      <c r="E439" s="93" t="s">
        <v>24</v>
      </c>
      <c r="F439" s="874" t="str">
        <f t="shared" si="42"/>
        <v>ベッラデインベルノ</v>
      </c>
      <c r="G439" s="650" t="s">
        <v>724</v>
      </c>
      <c r="H439" s="875" t="s">
        <v>725</v>
      </c>
      <c r="I439" s="650"/>
      <c r="J439" s="876"/>
      <c r="K439" s="646" t="s">
        <v>30</v>
      </c>
      <c r="L439" s="646" t="s">
        <v>129</v>
      </c>
      <c r="M439" s="650"/>
      <c r="N439" s="647"/>
      <c r="O439" s="646"/>
      <c r="P439" s="649"/>
      <c r="Q439" s="877"/>
    </row>
    <row r="440" spans="1:17" ht="15" customHeight="1">
      <c r="A440" s="93" t="s">
        <v>24</v>
      </c>
      <c r="B440" s="93" t="s">
        <v>726</v>
      </c>
      <c r="E440" s="93" t="s">
        <v>24</v>
      </c>
      <c r="F440" s="874" t="str">
        <f t="shared" si="42"/>
        <v>ベビーサンローズ</v>
      </c>
      <c r="G440" s="650" t="s">
        <v>727</v>
      </c>
      <c r="H440" s="875" t="str">
        <f t="shared" ref="H440:H447" si="43">CONCATENATE("H:\Taniku\",G440)</f>
        <v>H:\Taniku\ベビーサンローズ</v>
      </c>
      <c r="I440" s="650"/>
      <c r="J440" s="876"/>
      <c r="K440" s="646" t="s">
        <v>30</v>
      </c>
      <c r="L440" s="646" t="s">
        <v>129</v>
      </c>
      <c r="M440" s="650"/>
      <c r="N440" s="647"/>
      <c r="O440" s="646"/>
      <c r="P440" s="649"/>
      <c r="Q440" s="877"/>
    </row>
    <row r="441" spans="1:17" ht="15" customHeight="1">
      <c r="A441" s="93" t="s">
        <v>24</v>
      </c>
      <c r="B441" s="93" t="s">
        <v>21</v>
      </c>
      <c r="E441" s="93" t="s">
        <v>24</v>
      </c>
      <c r="F441" s="874" t="str">
        <f t="shared" si="42"/>
        <v>ヘラクレス</v>
      </c>
      <c r="G441" s="650" t="s">
        <v>728</v>
      </c>
      <c r="H441" s="875" t="str">
        <f t="shared" si="43"/>
        <v>H:\Taniku\ヘラクレス</v>
      </c>
      <c r="I441" s="650"/>
      <c r="J441" s="876"/>
      <c r="K441" s="646" t="s">
        <v>20</v>
      </c>
      <c r="L441" s="646" t="s">
        <v>45</v>
      </c>
      <c r="M441" s="650"/>
      <c r="N441" s="647" t="s">
        <v>248</v>
      </c>
      <c r="O441" s="646" t="s">
        <v>163</v>
      </c>
      <c r="P441" s="649" t="s">
        <v>238</v>
      </c>
      <c r="Q441" s="877"/>
    </row>
    <row r="442" spans="1:17" ht="15" customHeight="1">
      <c r="A442" s="93" t="s">
        <v>24</v>
      </c>
      <c r="B442" s="93" t="s">
        <v>31</v>
      </c>
      <c r="E442" s="93" t="s">
        <v>24</v>
      </c>
      <c r="F442" s="874" t="str">
        <f t="shared" si="42"/>
        <v>ペルシダ錦</v>
      </c>
      <c r="G442" s="650" t="s">
        <v>729</v>
      </c>
      <c r="H442" s="875" t="str">
        <f t="shared" si="43"/>
        <v>H:\Taniku\ペルシダ錦</v>
      </c>
      <c r="I442" s="650"/>
      <c r="J442" s="876"/>
      <c r="K442" s="646" t="s">
        <v>27</v>
      </c>
      <c r="L442" s="646" t="s">
        <v>110</v>
      </c>
      <c r="M442" s="650"/>
      <c r="N442" s="647"/>
      <c r="O442" s="646"/>
      <c r="P442" s="649"/>
      <c r="Q442" s="877"/>
    </row>
    <row r="443" spans="1:17" ht="15" customHeight="1">
      <c r="A443" s="93" t="s">
        <v>24</v>
      </c>
      <c r="B443" s="93" t="s">
        <v>28</v>
      </c>
      <c r="E443" s="93" t="s">
        <v>24</v>
      </c>
      <c r="F443" s="874" t="str">
        <f t="shared" si="42"/>
        <v>ペレスデラロサエ</v>
      </c>
      <c r="G443" s="650" t="s">
        <v>730</v>
      </c>
      <c r="H443" s="875" t="str">
        <f t="shared" si="43"/>
        <v>H:\Taniku\ペレスデラロサエ</v>
      </c>
      <c r="I443" s="650"/>
      <c r="J443" s="876"/>
      <c r="K443" s="646" t="s">
        <v>27</v>
      </c>
      <c r="L443" s="646" t="s">
        <v>731</v>
      </c>
      <c r="M443" s="650"/>
      <c r="N443" s="647"/>
      <c r="O443" s="646"/>
      <c r="P443" s="649"/>
      <c r="Q443" s="877"/>
    </row>
    <row r="444" spans="1:17" ht="15" customHeight="1">
      <c r="A444" s="93" t="s">
        <v>24</v>
      </c>
      <c r="B444" s="93" t="s">
        <v>28</v>
      </c>
      <c r="E444" s="93" t="s">
        <v>24</v>
      </c>
      <c r="F444" s="874" t="str">
        <f t="shared" si="42"/>
        <v>ペレスデラロサエピンクエッジ</v>
      </c>
      <c r="G444" s="650" t="s">
        <v>732</v>
      </c>
      <c r="H444" s="875" t="str">
        <f t="shared" si="43"/>
        <v>H:\Taniku\ペレスデラロサエピンクエッジ</v>
      </c>
      <c r="I444" s="650"/>
      <c r="J444" s="876"/>
      <c r="K444" s="646" t="s">
        <v>27</v>
      </c>
      <c r="L444" s="646" t="s">
        <v>733</v>
      </c>
      <c r="M444" s="650"/>
      <c r="N444" s="647"/>
      <c r="O444" s="646"/>
      <c r="P444" s="649"/>
      <c r="Q444" s="877"/>
    </row>
    <row r="445" spans="1:17" ht="15" customHeight="1">
      <c r="A445" s="93" t="s">
        <v>24</v>
      </c>
      <c r="B445" s="93" t="s">
        <v>633</v>
      </c>
      <c r="E445" s="93" t="s">
        <v>24</v>
      </c>
      <c r="F445" s="874" t="str">
        <f t="shared" si="42"/>
        <v>ベロア</v>
      </c>
      <c r="G445" s="650" t="s">
        <v>734</v>
      </c>
      <c r="H445" s="875" t="str">
        <f t="shared" si="43"/>
        <v>H:\Taniku\ベロア</v>
      </c>
      <c r="I445" s="650"/>
      <c r="J445" s="876"/>
      <c r="K445" s="646" t="s">
        <v>27</v>
      </c>
      <c r="L445" s="646" t="s">
        <v>44</v>
      </c>
      <c r="M445" s="650"/>
      <c r="N445" s="647"/>
      <c r="O445" s="646"/>
      <c r="P445" s="649"/>
      <c r="Q445" s="877"/>
    </row>
    <row r="446" spans="1:17" ht="15" customHeight="1">
      <c r="A446" s="93" t="s">
        <v>24</v>
      </c>
      <c r="B446" s="93" t="s">
        <v>56</v>
      </c>
      <c r="E446" s="93" t="s">
        <v>24</v>
      </c>
      <c r="F446" s="874" t="str">
        <f t="shared" si="42"/>
        <v>ペンデンス</v>
      </c>
      <c r="G446" s="650" t="s">
        <v>735</v>
      </c>
      <c r="H446" s="875" t="str">
        <f t="shared" si="43"/>
        <v>H:\Taniku\ペンデンス</v>
      </c>
      <c r="I446" s="650"/>
      <c r="J446" s="876"/>
      <c r="K446" s="646" t="s">
        <v>23</v>
      </c>
      <c r="L446" s="646" t="s">
        <v>63</v>
      </c>
      <c r="M446" s="650"/>
      <c r="N446" s="647"/>
      <c r="O446" s="646"/>
      <c r="P446" s="649"/>
      <c r="Q446" s="877"/>
    </row>
    <row r="447" spans="1:17" ht="15" customHeight="1" thickBot="1">
      <c r="A447" s="93" t="s">
        <v>180</v>
      </c>
      <c r="B447" s="93" t="s">
        <v>21</v>
      </c>
      <c r="E447" s="93" t="s">
        <v>24</v>
      </c>
      <c r="F447" s="960" t="str">
        <f t="shared" si="42"/>
        <v>ベンバディス</v>
      </c>
      <c r="G447" s="879" t="s">
        <v>736</v>
      </c>
      <c r="H447" s="880" t="str">
        <f t="shared" si="43"/>
        <v>H:\Taniku\ベンバディス</v>
      </c>
      <c r="I447" s="650"/>
      <c r="J447" s="881" t="s">
        <v>737</v>
      </c>
      <c r="K447" s="882" t="s">
        <v>23</v>
      </c>
      <c r="L447" s="882" t="s">
        <v>60</v>
      </c>
      <c r="M447" s="879"/>
      <c r="N447" s="883" t="s">
        <v>738</v>
      </c>
      <c r="O447" s="882" t="s">
        <v>195</v>
      </c>
      <c r="P447" s="884" t="s">
        <v>302</v>
      </c>
      <c r="Q447" s="885"/>
    </row>
    <row r="448" spans="1:17" ht="15" customHeight="1" thickTop="1">
      <c r="B448" s="262" t="s">
        <v>12</v>
      </c>
      <c r="C448" s="262" t="s">
        <v>12</v>
      </c>
      <c r="D448" s="262"/>
      <c r="E448" s="262" t="s">
        <v>12</v>
      </c>
      <c r="F448" s="650"/>
      <c r="G448" s="650"/>
      <c r="H448" s="646"/>
      <c r="I448" s="650"/>
      <c r="J448" s="646"/>
      <c r="K448" s="646"/>
      <c r="L448" s="646"/>
      <c r="M448" s="650"/>
      <c r="N448" s="647"/>
      <c r="O448" s="646"/>
      <c r="P448" s="649"/>
      <c r="Q448" s="650"/>
    </row>
    <row r="449" spans="1:17" ht="15" customHeight="1" thickBot="1">
      <c r="B449" s="262" t="s">
        <v>12</v>
      </c>
      <c r="C449" s="262" t="s">
        <v>12</v>
      </c>
      <c r="D449" s="262"/>
      <c r="E449" s="262" t="s">
        <v>12</v>
      </c>
      <c r="F449" s="886" t="s">
        <v>739</v>
      </c>
      <c r="G449" s="886"/>
      <c r="H449" s="646"/>
      <c r="I449" s="886"/>
      <c r="J449" s="646"/>
      <c r="K449" s="646"/>
      <c r="L449" s="646"/>
      <c r="M449" s="886"/>
      <c r="N449" s="647"/>
      <c r="O449" s="887"/>
      <c r="P449" s="649"/>
      <c r="Q449" s="650"/>
    </row>
    <row r="450" spans="1:17" ht="15" customHeight="1" thickTop="1">
      <c r="A450" s="93" t="s">
        <v>24</v>
      </c>
      <c r="B450" s="93" t="s">
        <v>21</v>
      </c>
      <c r="E450" s="93" t="s">
        <v>24</v>
      </c>
      <c r="F450" s="888" t="str">
        <f t="shared" ref="F450:F458" si="44">HYPERLINK(H450,G450)</f>
        <v>ボールオブファット</v>
      </c>
      <c r="G450" s="889" t="s">
        <v>740</v>
      </c>
      <c r="H450" s="890" t="str">
        <f t="shared" ref="H450:H458" si="45">CONCATENATE("H:\Taniku\",G450)</f>
        <v>H:\Taniku\ボールオブファット</v>
      </c>
      <c r="I450" s="650"/>
      <c r="J450" s="891"/>
      <c r="K450" s="892" t="s">
        <v>23</v>
      </c>
      <c r="L450" s="892" t="s">
        <v>60</v>
      </c>
      <c r="M450" s="889"/>
      <c r="N450" s="893"/>
      <c r="O450" s="892"/>
      <c r="P450" s="894"/>
      <c r="Q450" s="895"/>
    </row>
    <row r="451" spans="1:17" ht="15" customHeight="1">
      <c r="A451" s="93" t="s">
        <v>24</v>
      </c>
      <c r="B451" s="93" t="s">
        <v>21</v>
      </c>
      <c r="E451" s="93" t="s">
        <v>24</v>
      </c>
      <c r="F451" s="896" t="str">
        <f t="shared" si="44"/>
        <v>ポールビーン</v>
      </c>
      <c r="G451" s="650" t="s">
        <v>741</v>
      </c>
      <c r="H451" s="897" t="str">
        <f t="shared" si="45"/>
        <v>H:\Taniku\ポールビーン</v>
      </c>
      <c r="I451" s="650"/>
      <c r="J451" s="898"/>
      <c r="K451" s="646" t="s">
        <v>27</v>
      </c>
      <c r="L451" s="646" t="s">
        <v>44</v>
      </c>
      <c r="M451" s="650"/>
      <c r="N451" s="647"/>
      <c r="O451" s="646"/>
      <c r="P451" s="649"/>
      <c r="Q451" s="899"/>
    </row>
    <row r="452" spans="1:17" ht="15" customHeight="1">
      <c r="A452" s="93" t="s">
        <v>24</v>
      </c>
      <c r="B452" s="93" t="s">
        <v>31</v>
      </c>
      <c r="E452" s="93" t="s">
        <v>24</v>
      </c>
      <c r="F452" s="896" t="str">
        <f t="shared" si="44"/>
        <v>星の王子</v>
      </c>
      <c r="G452" s="650" t="s">
        <v>742</v>
      </c>
      <c r="H452" s="897" t="str">
        <f t="shared" si="45"/>
        <v>H:\Taniku\星の王子</v>
      </c>
      <c r="I452" s="650"/>
      <c r="J452" s="898"/>
      <c r="K452" s="646" t="s">
        <v>30</v>
      </c>
      <c r="L452" s="646" t="s">
        <v>129</v>
      </c>
      <c r="M452" s="650"/>
      <c r="N452" s="647"/>
      <c r="O452" s="646"/>
      <c r="P452" s="649"/>
      <c r="Q452" s="899"/>
    </row>
    <row r="453" spans="1:17" ht="15" customHeight="1">
      <c r="A453" s="93" t="s">
        <v>24</v>
      </c>
      <c r="B453" s="93" t="s">
        <v>53</v>
      </c>
      <c r="E453" s="93" t="s">
        <v>24</v>
      </c>
      <c r="F453" s="896" t="str">
        <f t="shared" si="44"/>
        <v>星美人</v>
      </c>
      <c r="G453" s="650" t="s">
        <v>243</v>
      </c>
      <c r="H453" s="897" t="str">
        <f t="shared" si="45"/>
        <v>H:\Taniku\星美人</v>
      </c>
      <c r="I453" s="650"/>
      <c r="J453" s="898"/>
      <c r="K453" s="646" t="s">
        <v>30</v>
      </c>
      <c r="L453" s="646" t="s">
        <v>129</v>
      </c>
      <c r="M453" s="650"/>
      <c r="N453" s="647"/>
      <c r="O453" s="646"/>
      <c r="P453" s="649"/>
      <c r="Q453" s="899"/>
    </row>
    <row r="454" spans="1:17" ht="15" customHeight="1">
      <c r="A454" s="93" t="s">
        <v>24</v>
      </c>
      <c r="B454" s="93" t="s">
        <v>21</v>
      </c>
      <c r="E454" s="93" t="s">
        <v>24</v>
      </c>
      <c r="F454" s="900" t="str">
        <f t="shared" si="44"/>
        <v>ポセイドン</v>
      </c>
      <c r="G454" s="650" t="s">
        <v>743</v>
      </c>
      <c r="H454" s="897" t="str">
        <f t="shared" si="45"/>
        <v>H:\Taniku\ポセイドン</v>
      </c>
      <c r="I454" s="650"/>
      <c r="J454" s="898"/>
      <c r="K454" s="646" t="s">
        <v>27</v>
      </c>
      <c r="L454" s="646" t="s">
        <v>106</v>
      </c>
      <c r="M454" s="650"/>
      <c r="N454" s="647"/>
      <c r="O454" s="646"/>
      <c r="P454" s="649"/>
      <c r="Q454" s="899"/>
    </row>
    <row r="455" spans="1:17" ht="15" customHeight="1">
      <c r="A455" s="93" t="s">
        <v>24</v>
      </c>
      <c r="B455" s="93" t="s">
        <v>744</v>
      </c>
      <c r="E455" s="93" t="s">
        <v>24</v>
      </c>
      <c r="F455" s="896" t="str">
        <f t="shared" si="44"/>
        <v>ホヤカーリー</v>
      </c>
      <c r="G455" s="650" t="s">
        <v>745</v>
      </c>
      <c r="H455" s="897" t="str">
        <f t="shared" si="45"/>
        <v>H:\Taniku\ホヤカーリー</v>
      </c>
      <c r="I455" s="650"/>
      <c r="J455" s="898"/>
      <c r="K455" s="646" t="s">
        <v>27</v>
      </c>
      <c r="L455" s="646" t="s">
        <v>746</v>
      </c>
      <c r="M455" s="650"/>
      <c r="N455" s="647"/>
      <c r="O455" s="646"/>
      <c r="P455" s="649"/>
      <c r="Q455" s="899"/>
    </row>
    <row r="456" spans="1:17" ht="15" customHeight="1">
      <c r="A456" s="93" t="s">
        <v>24</v>
      </c>
      <c r="B456" s="93" t="s">
        <v>21</v>
      </c>
      <c r="E456" s="93" t="s">
        <v>24</v>
      </c>
      <c r="F456" s="896" t="str">
        <f t="shared" si="44"/>
        <v>ボルモン</v>
      </c>
      <c r="G456" s="650" t="s">
        <v>747</v>
      </c>
      <c r="H456" s="897" t="str">
        <f t="shared" si="45"/>
        <v>H:\Taniku\ボルモン</v>
      </c>
      <c r="I456" s="650"/>
      <c r="J456" s="898"/>
      <c r="K456" s="646" t="s">
        <v>27</v>
      </c>
      <c r="L456" s="646" t="s">
        <v>116</v>
      </c>
      <c r="M456" s="650"/>
      <c r="N456" s="647"/>
      <c r="O456" s="646"/>
      <c r="P456" s="649"/>
      <c r="Q456" s="899"/>
    </row>
    <row r="457" spans="1:17" ht="15" customHeight="1">
      <c r="A457" s="93" t="s">
        <v>24</v>
      </c>
      <c r="B457" s="93" t="s">
        <v>31</v>
      </c>
      <c r="E457" s="93" t="s">
        <v>24</v>
      </c>
      <c r="F457" s="896" t="str">
        <f t="shared" si="44"/>
        <v>ボルケンシー</v>
      </c>
      <c r="G457" s="650" t="s">
        <v>748</v>
      </c>
      <c r="H457" s="897" t="str">
        <f t="shared" si="45"/>
        <v>H:\Taniku\ボルケンシー</v>
      </c>
      <c r="I457" s="650"/>
      <c r="J457" s="898"/>
      <c r="K457" s="646" t="s">
        <v>27</v>
      </c>
      <c r="L457" s="646" t="s">
        <v>44</v>
      </c>
      <c r="M457" s="650"/>
      <c r="N457" s="647"/>
      <c r="O457" s="646"/>
      <c r="P457" s="649"/>
      <c r="Q457" s="899"/>
    </row>
    <row r="458" spans="1:17" ht="15" customHeight="1" thickBot="1">
      <c r="A458" s="93" t="s">
        <v>24</v>
      </c>
      <c r="B458" s="93" t="s">
        <v>21</v>
      </c>
      <c r="E458" s="93" t="s">
        <v>24</v>
      </c>
      <c r="F458" s="901" t="str">
        <f t="shared" si="44"/>
        <v>ホワイトホース</v>
      </c>
      <c r="G458" s="902" t="s">
        <v>749</v>
      </c>
      <c r="H458" s="903" t="str">
        <f t="shared" si="45"/>
        <v>H:\Taniku\ホワイトホース</v>
      </c>
      <c r="I458" s="650"/>
      <c r="J458" s="904"/>
      <c r="K458" s="905" t="s">
        <v>27</v>
      </c>
      <c r="L458" s="905" t="s">
        <v>44</v>
      </c>
      <c r="M458" s="902"/>
      <c r="N458" s="906"/>
      <c r="O458" s="905"/>
      <c r="P458" s="907"/>
      <c r="Q458" s="908"/>
    </row>
    <row r="459" spans="1:17" ht="15" customHeight="1" thickTop="1">
      <c r="B459" s="262" t="s">
        <v>12</v>
      </c>
      <c r="C459" s="262" t="s">
        <v>12</v>
      </c>
      <c r="D459" s="262"/>
      <c r="E459" s="262" t="s">
        <v>12</v>
      </c>
    </row>
    <row r="460" spans="1:17" ht="15" customHeight="1" thickBot="1">
      <c r="B460" s="262" t="s">
        <v>12</v>
      </c>
      <c r="C460" s="262" t="s">
        <v>12</v>
      </c>
      <c r="D460" s="262"/>
      <c r="E460" s="262" t="s">
        <v>12</v>
      </c>
      <c r="F460" s="909" t="s">
        <v>750</v>
      </c>
      <c r="G460" s="909"/>
      <c r="H460" s="675"/>
      <c r="I460" s="909"/>
      <c r="J460" s="675"/>
      <c r="K460" s="675"/>
      <c r="L460" s="675"/>
      <c r="M460" s="909"/>
      <c r="N460" s="676"/>
      <c r="O460" s="910"/>
      <c r="P460" s="678"/>
      <c r="Q460" s="679"/>
    </row>
    <row r="461" spans="1:17" ht="15" customHeight="1" thickTop="1">
      <c r="A461" s="93" t="s">
        <v>24</v>
      </c>
      <c r="B461" s="93" t="s">
        <v>21</v>
      </c>
      <c r="D461" s="93" t="s">
        <v>24</v>
      </c>
      <c r="E461" s="93" t="s">
        <v>24</v>
      </c>
      <c r="F461" s="680" t="str">
        <f t="shared" ref="F461:F472" si="46">HYPERLINK(H461,G461)</f>
        <v>マイルドライン</v>
      </c>
      <c r="G461" s="681" t="s">
        <v>751</v>
      </c>
      <c r="H461" s="682" t="str">
        <f>CONCATENATE("H:\Taniku\",G461)</f>
        <v>H:\Taniku\マイルドライン</v>
      </c>
      <c r="I461" s="679"/>
      <c r="J461" s="683"/>
      <c r="K461" s="684" t="s">
        <v>30</v>
      </c>
      <c r="L461" s="684" t="s">
        <v>131</v>
      </c>
      <c r="M461" s="681"/>
      <c r="N461" s="685"/>
      <c r="O461" s="684"/>
      <c r="P461" s="687"/>
      <c r="Q461" s="688"/>
    </row>
    <row r="462" spans="1:17" ht="15" customHeight="1">
      <c r="A462" s="93" t="s">
        <v>24</v>
      </c>
      <c r="B462" s="93" t="s">
        <v>34</v>
      </c>
      <c r="E462" s="93" t="s">
        <v>24</v>
      </c>
      <c r="F462" s="689" t="str">
        <f t="shared" si="46"/>
        <v>マーガレットレッピン</v>
      </c>
      <c r="G462" s="679" t="s">
        <v>752</v>
      </c>
      <c r="H462" s="690" t="s">
        <v>753</v>
      </c>
      <c r="I462" s="679"/>
      <c r="J462" s="691"/>
      <c r="K462" s="675" t="s">
        <v>23</v>
      </c>
      <c r="L462" s="675" t="s">
        <v>55</v>
      </c>
      <c r="M462" s="679"/>
      <c r="N462" s="676" t="s">
        <v>754</v>
      </c>
      <c r="O462" s="675" t="s">
        <v>163</v>
      </c>
      <c r="P462" s="678" t="s">
        <v>581</v>
      </c>
      <c r="Q462" s="692"/>
    </row>
    <row r="463" spans="1:17" ht="15" customHeight="1">
      <c r="A463" s="93" t="s">
        <v>24</v>
      </c>
      <c r="B463" s="93" t="s">
        <v>21</v>
      </c>
      <c r="E463" s="93" t="s">
        <v>24</v>
      </c>
      <c r="F463" s="689" t="str">
        <f t="shared" si="46"/>
        <v>マカダミア</v>
      </c>
      <c r="G463" s="679" t="s">
        <v>755</v>
      </c>
      <c r="H463" s="690" t="str">
        <f t="shared" ref="H463:H470" si="47">CONCATENATE("H:\Taniku\",G463)</f>
        <v>H:\Taniku\マカダミア</v>
      </c>
      <c r="I463" s="679"/>
      <c r="J463" s="691"/>
      <c r="K463" s="675" t="s">
        <v>27</v>
      </c>
      <c r="L463" s="675" t="s">
        <v>44</v>
      </c>
      <c r="M463" s="679"/>
      <c r="N463" s="676"/>
      <c r="O463" s="675"/>
      <c r="P463" s="678"/>
      <c r="Q463" s="692"/>
    </row>
    <row r="464" spans="1:17" ht="15" customHeight="1">
      <c r="A464" s="93" t="s">
        <v>24</v>
      </c>
      <c r="B464" s="93" t="s">
        <v>21</v>
      </c>
      <c r="E464" s="93" t="s">
        <v>24</v>
      </c>
      <c r="F464" s="689" t="str">
        <f t="shared" si="46"/>
        <v>マスカポーネ</v>
      </c>
      <c r="G464" s="679" t="s">
        <v>756</v>
      </c>
      <c r="H464" s="690" t="str">
        <f t="shared" si="47"/>
        <v>H:\Taniku\マスカポーネ</v>
      </c>
      <c r="I464" s="679"/>
      <c r="J464" s="691"/>
      <c r="K464" s="675" t="s">
        <v>27</v>
      </c>
      <c r="L464" s="675" t="s">
        <v>116</v>
      </c>
      <c r="M464" s="679"/>
      <c r="N464" s="676"/>
      <c r="O464" s="675"/>
      <c r="P464" s="678"/>
      <c r="Q464" s="692"/>
    </row>
    <row r="465" spans="1:17" ht="15" customHeight="1">
      <c r="A465" s="93" t="s">
        <v>24</v>
      </c>
      <c r="B465" s="93" t="s">
        <v>28</v>
      </c>
      <c r="E465" s="93" t="s">
        <v>24</v>
      </c>
      <c r="F465" s="689" t="str">
        <f t="shared" si="46"/>
        <v>マジョール</v>
      </c>
      <c r="G465" s="679" t="s">
        <v>757</v>
      </c>
      <c r="H465" s="690" t="str">
        <f t="shared" si="47"/>
        <v>H:\Taniku\マジョール</v>
      </c>
      <c r="I465" s="679"/>
      <c r="J465" s="691"/>
      <c r="K465" s="675" t="s">
        <v>23</v>
      </c>
      <c r="L465" s="675" t="s">
        <v>55</v>
      </c>
      <c r="M465" s="679"/>
      <c r="N465" s="676"/>
      <c r="O465" s="675"/>
      <c r="P465" s="678"/>
      <c r="Q465" s="692"/>
    </row>
    <row r="466" spans="1:17" ht="15" customHeight="1">
      <c r="A466" s="93" t="s">
        <v>24</v>
      </c>
      <c r="B466" s="93" t="s">
        <v>39</v>
      </c>
      <c r="E466" s="93" t="s">
        <v>24</v>
      </c>
      <c r="F466" s="689" t="str">
        <f t="shared" si="46"/>
        <v>マッコス</v>
      </c>
      <c r="G466" s="679" t="s">
        <v>758</v>
      </c>
      <c r="H466" s="690" t="str">
        <f t="shared" si="47"/>
        <v>H:\Taniku\マッコス</v>
      </c>
      <c r="I466" s="679"/>
      <c r="J466" s="691"/>
      <c r="K466" s="675" t="s">
        <v>20</v>
      </c>
      <c r="L466" s="675" t="s">
        <v>49</v>
      </c>
      <c r="M466" s="679"/>
      <c r="N466" s="676"/>
      <c r="O466" s="675"/>
      <c r="P466" s="678"/>
      <c r="Q466" s="692"/>
    </row>
    <row r="467" spans="1:17" ht="15" customHeight="1">
      <c r="A467" s="93" t="s">
        <v>24</v>
      </c>
      <c r="B467" s="93" t="s">
        <v>39</v>
      </c>
      <c r="E467" s="93" t="s">
        <v>24</v>
      </c>
      <c r="F467" s="693" t="str">
        <f t="shared" si="46"/>
        <v>マッコス錦</v>
      </c>
      <c r="G467" s="679" t="s">
        <v>759</v>
      </c>
      <c r="H467" s="690" t="str">
        <f t="shared" si="47"/>
        <v>H:\Taniku\マッコス錦</v>
      </c>
      <c r="I467" s="679"/>
      <c r="J467" s="691"/>
      <c r="K467" s="675" t="s">
        <v>23</v>
      </c>
      <c r="L467" s="675" t="s">
        <v>55</v>
      </c>
      <c r="M467" s="679"/>
      <c r="N467" s="676"/>
      <c r="O467" s="675"/>
      <c r="P467" s="678"/>
      <c r="Q467" s="692"/>
    </row>
    <row r="468" spans="1:17" ht="15" customHeight="1">
      <c r="A468" s="93" t="s">
        <v>24</v>
      </c>
      <c r="B468" s="93" t="s">
        <v>21</v>
      </c>
      <c r="E468" s="93" t="s">
        <v>24</v>
      </c>
      <c r="F468" s="689" t="str">
        <f t="shared" si="46"/>
        <v>マディバ</v>
      </c>
      <c r="G468" s="679" t="s">
        <v>760</v>
      </c>
      <c r="H468" s="690" t="str">
        <f t="shared" si="47"/>
        <v>H:\Taniku\マディバ</v>
      </c>
      <c r="I468" s="679"/>
      <c r="J468" s="691" t="s">
        <v>761</v>
      </c>
      <c r="K468" s="675" t="s">
        <v>23</v>
      </c>
      <c r="L468" s="675" t="s">
        <v>60</v>
      </c>
      <c r="M468" s="679"/>
      <c r="N468" s="676" t="s">
        <v>196</v>
      </c>
      <c r="O468" s="675" t="s">
        <v>215</v>
      </c>
      <c r="P468" s="678" t="s">
        <v>240</v>
      </c>
      <c r="Q468" s="692"/>
    </row>
    <row r="469" spans="1:17" ht="15" customHeight="1">
      <c r="A469" s="93" t="s">
        <v>24</v>
      </c>
      <c r="B469" s="93" t="s">
        <v>21</v>
      </c>
      <c r="E469" s="93" t="s">
        <v>24</v>
      </c>
      <c r="F469" s="689" t="str">
        <f t="shared" si="46"/>
        <v>マドレーヌ</v>
      </c>
      <c r="G469" s="679" t="s">
        <v>762</v>
      </c>
      <c r="H469" s="690" t="str">
        <f t="shared" si="47"/>
        <v>H:\Taniku\マドレーヌ</v>
      </c>
      <c r="I469" s="679"/>
      <c r="J469" s="691"/>
      <c r="K469" s="675" t="s">
        <v>27</v>
      </c>
      <c r="L469" s="675" t="s">
        <v>108</v>
      </c>
      <c r="M469" s="679"/>
      <c r="N469" s="676" t="s">
        <v>237</v>
      </c>
      <c r="O469" s="675" t="s">
        <v>163</v>
      </c>
      <c r="P469" s="678" t="s">
        <v>253</v>
      </c>
      <c r="Q469" s="692"/>
    </row>
    <row r="470" spans="1:17" ht="15" customHeight="1">
      <c r="A470" s="93" t="s">
        <v>24</v>
      </c>
      <c r="B470" s="93" t="s">
        <v>21</v>
      </c>
      <c r="E470" s="93" t="s">
        <v>24</v>
      </c>
      <c r="F470" s="689" t="str">
        <f t="shared" si="46"/>
        <v>マドンナ</v>
      </c>
      <c r="G470" s="679" t="s">
        <v>763</v>
      </c>
      <c r="H470" s="690" t="str">
        <f t="shared" si="47"/>
        <v>H:\Taniku\マドンナ</v>
      </c>
      <c r="I470" s="679"/>
      <c r="J470" s="691"/>
      <c r="K470" s="675" t="s">
        <v>23</v>
      </c>
      <c r="L470" s="675" t="s">
        <v>55</v>
      </c>
      <c r="M470" s="679"/>
      <c r="N470" s="676"/>
      <c r="O470" s="675"/>
      <c r="P470" s="678"/>
      <c r="Q470" s="692"/>
    </row>
    <row r="471" spans="1:17" ht="15" customHeight="1">
      <c r="A471" s="93" t="s">
        <v>24</v>
      </c>
      <c r="B471" s="93" t="s">
        <v>31</v>
      </c>
      <c r="E471" s="93" t="s">
        <v>24</v>
      </c>
      <c r="F471" s="689" t="str">
        <f t="shared" si="46"/>
        <v>マネーメーカー</v>
      </c>
      <c r="G471" s="679" t="s">
        <v>764</v>
      </c>
      <c r="H471" s="690" t="s">
        <v>765</v>
      </c>
      <c r="I471" s="679"/>
      <c r="J471" s="691"/>
      <c r="K471" s="675" t="s">
        <v>23</v>
      </c>
      <c r="L471" s="675" t="s">
        <v>55</v>
      </c>
      <c r="M471" s="679"/>
      <c r="N471" s="676"/>
      <c r="O471" s="675"/>
      <c r="P471" s="678"/>
      <c r="Q471" s="692"/>
    </row>
    <row r="472" spans="1:17" ht="15" customHeight="1" thickBot="1">
      <c r="A472" s="93" t="s">
        <v>24</v>
      </c>
      <c r="B472" s="93" t="s">
        <v>28</v>
      </c>
      <c r="E472" s="93" t="s">
        <v>24</v>
      </c>
      <c r="F472" s="694" t="str">
        <f t="shared" si="46"/>
        <v>丸葉万年草</v>
      </c>
      <c r="G472" s="695" t="s">
        <v>766</v>
      </c>
      <c r="H472" s="696" t="str">
        <f>CONCATENATE("H:\Taniku\",G472)</f>
        <v>H:\Taniku\丸葉万年草</v>
      </c>
      <c r="I472" s="679"/>
      <c r="J472" s="697"/>
      <c r="K472" s="698" t="s">
        <v>27</v>
      </c>
      <c r="L472" s="698" t="s">
        <v>110</v>
      </c>
      <c r="M472" s="695"/>
      <c r="N472" s="699"/>
      <c r="O472" s="698"/>
      <c r="P472" s="701"/>
      <c r="Q472" s="702"/>
    </row>
    <row r="473" spans="1:17" ht="15" customHeight="1" thickTop="1">
      <c r="B473" s="262" t="s">
        <v>12</v>
      </c>
      <c r="C473" s="262" t="s">
        <v>12</v>
      </c>
      <c r="D473" s="262"/>
      <c r="E473" s="262" t="s">
        <v>12</v>
      </c>
      <c r="F473" s="679"/>
      <c r="G473" s="679"/>
      <c r="H473" s="675"/>
      <c r="I473" s="679"/>
      <c r="J473" s="675"/>
      <c r="K473" s="675"/>
      <c r="L473" s="675"/>
      <c r="M473" s="679"/>
      <c r="N473" s="676"/>
      <c r="O473" s="675"/>
      <c r="P473" s="678"/>
      <c r="Q473" s="679"/>
    </row>
    <row r="474" spans="1:17" ht="15" customHeight="1" thickBot="1">
      <c r="B474" s="262" t="s">
        <v>12</v>
      </c>
      <c r="C474" s="262" t="s">
        <v>12</v>
      </c>
      <c r="D474" s="262"/>
      <c r="E474" s="262" t="s">
        <v>12</v>
      </c>
      <c r="F474" s="703" t="s">
        <v>767</v>
      </c>
      <c r="G474" s="703"/>
      <c r="H474" s="675"/>
      <c r="I474" s="703"/>
      <c r="J474" s="675"/>
      <c r="K474" s="675"/>
      <c r="L474" s="675"/>
      <c r="M474" s="703"/>
      <c r="N474" s="676"/>
      <c r="O474" s="911"/>
      <c r="P474" s="678"/>
      <c r="Q474" s="679"/>
    </row>
    <row r="475" spans="1:17" ht="15" customHeight="1" thickTop="1">
      <c r="A475" s="443" t="s">
        <v>15</v>
      </c>
      <c r="B475" s="93" t="s">
        <v>46</v>
      </c>
      <c r="E475" s="93" t="s">
        <v>24</v>
      </c>
      <c r="F475" s="980" t="str">
        <f t="shared" ref="F475:F484" si="48">HYPERLINK(H475,G475)</f>
        <v>三日月美人xアマビレ</v>
      </c>
      <c r="G475" s="913" t="s">
        <v>768</v>
      </c>
      <c r="H475" s="914" t="str">
        <f t="shared" ref="H475:H484" si="49">CONCATENATE("H:\Taniku\",G475)</f>
        <v>H:\Taniku\三日月美人xアマビレ</v>
      </c>
      <c r="I475" s="679"/>
      <c r="J475" s="915"/>
      <c r="K475" s="916" t="s">
        <v>23</v>
      </c>
      <c r="L475" s="916" t="s">
        <v>75</v>
      </c>
      <c r="M475" s="913"/>
      <c r="N475" s="917"/>
      <c r="O475" s="916"/>
      <c r="P475" s="918"/>
      <c r="Q475" s="919"/>
    </row>
    <row r="476" spans="1:17" ht="15" customHeight="1">
      <c r="A476" s="93" t="s">
        <v>24</v>
      </c>
      <c r="B476" s="93" t="s">
        <v>28</v>
      </c>
      <c r="E476" s="93" t="s">
        <v>24</v>
      </c>
      <c r="F476" s="920" t="str">
        <f t="shared" si="48"/>
        <v>ミセバヤ</v>
      </c>
      <c r="G476" s="679" t="s">
        <v>769</v>
      </c>
      <c r="H476" s="921" t="str">
        <f t="shared" si="49"/>
        <v>H:\Taniku\ミセバヤ</v>
      </c>
      <c r="I476" s="679"/>
      <c r="J476" s="922"/>
      <c r="K476" s="675" t="s">
        <v>23</v>
      </c>
      <c r="L476" s="675" t="s">
        <v>55</v>
      </c>
      <c r="M476" s="679"/>
      <c r="N476" s="676"/>
      <c r="O476" s="675"/>
      <c r="P476" s="678"/>
      <c r="Q476" s="923"/>
    </row>
    <row r="477" spans="1:17" ht="15" customHeight="1">
      <c r="A477" s="93" t="s">
        <v>24</v>
      </c>
      <c r="B477" s="93" t="s">
        <v>31</v>
      </c>
      <c r="E477" s="93" t="s">
        <v>24</v>
      </c>
      <c r="F477" s="920" t="str">
        <f t="shared" si="48"/>
        <v>南十字星</v>
      </c>
      <c r="G477" s="679" t="s">
        <v>770</v>
      </c>
      <c r="H477" s="921" t="str">
        <f t="shared" si="49"/>
        <v>H:\Taniku\南十字星</v>
      </c>
      <c r="I477" s="679"/>
      <c r="J477" s="922"/>
      <c r="K477" s="675" t="s">
        <v>30</v>
      </c>
      <c r="L477" s="675" t="s">
        <v>135</v>
      </c>
      <c r="M477" s="679"/>
      <c r="N477" s="676"/>
      <c r="O477" s="675"/>
      <c r="P477" s="678"/>
      <c r="Q477" s="923"/>
    </row>
    <row r="478" spans="1:17" ht="15" customHeight="1">
      <c r="A478" s="93" t="s">
        <v>24</v>
      </c>
      <c r="B478" s="93" t="s">
        <v>21</v>
      </c>
      <c r="E478" s="93" t="s">
        <v>24</v>
      </c>
      <c r="F478" s="920" t="str">
        <f t="shared" si="48"/>
        <v>美尼王妃晃</v>
      </c>
      <c r="G478" s="679" t="s">
        <v>771</v>
      </c>
      <c r="H478" s="921" t="str">
        <f t="shared" si="49"/>
        <v>H:\Taniku\美尼王妃晃</v>
      </c>
      <c r="I478" s="679"/>
      <c r="J478" s="922"/>
      <c r="K478" s="675" t="s">
        <v>27</v>
      </c>
      <c r="L478" s="675" t="s">
        <v>118</v>
      </c>
      <c r="M478" s="679"/>
      <c r="N478" s="676" t="s">
        <v>772</v>
      </c>
      <c r="O478" s="675" t="s">
        <v>163</v>
      </c>
      <c r="P478" s="678" t="s">
        <v>773</v>
      </c>
      <c r="Q478" s="923"/>
    </row>
    <row r="479" spans="1:17" ht="15" customHeight="1">
      <c r="A479" s="93" t="s">
        <v>342</v>
      </c>
      <c r="B479" s="93" t="s">
        <v>21</v>
      </c>
      <c r="E479" s="93" t="s">
        <v>24</v>
      </c>
      <c r="F479" s="920" t="str">
        <f t="shared" si="48"/>
        <v>ミニベル</v>
      </c>
      <c r="G479" s="679" t="s">
        <v>774</v>
      </c>
      <c r="H479" s="921" t="str">
        <f t="shared" si="49"/>
        <v>H:\Taniku\ミニベル</v>
      </c>
      <c r="I479" s="679"/>
      <c r="J479" s="922"/>
      <c r="K479" s="675" t="s">
        <v>27</v>
      </c>
      <c r="L479" s="675" t="s">
        <v>44</v>
      </c>
      <c r="M479" s="679"/>
      <c r="N479" s="676"/>
      <c r="O479" s="675"/>
      <c r="P479" s="678"/>
      <c r="Q479" s="923"/>
    </row>
    <row r="480" spans="1:17" ht="15" customHeight="1">
      <c r="A480" s="93" t="s">
        <v>24</v>
      </c>
      <c r="B480" s="93" t="s">
        <v>21</v>
      </c>
      <c r="E480" s="93" t="s">
        <v>24</v>
      </c>
      <c r="F480" s="920" t="str">
        <f t="shared" si="48"/>
        <v>ミラ</v>
      </c>
      <c r="G480" s="679" t="s">
        <v>775</v>
      </c>
      <c r="H480" s="921" t="str">
        <f t="shared" si="49"/>
        <v>H:\Taniku\ミラ</v>
      </c>
      <c r="I480" s="679"/>
      <c r="J480" s="922"/>
      <c r="K480" s="675" t="s">
        <v>27</v>
      </c>
      <c r="L480" s="675" t="s">
        <v>106</v>
      </c>
      <c r="M480" s="679"/>
      <c r="N480" s="676"/>
      <c r="O480" s="675"/>
      <c r="P480" s="678"/>
      <c r="Q480" s="923"/>
    </row>
    <row r="481" spans="1:17" ht="15" customHeight="1">
      <c r="A481" s="93" t="s">
        <v>24</v>
      </c>
      <c r="B481" s="93" t="s">
        <v>42</v>
      </c>
      <c r="E481" s="93" t="s">
        <v>24</v>
      </c>
      <c r="F481" s="920" t="str">
        <f t="shared" si="48"/>
        <v>ミリナエ</v>
      </c>
      <c r="G481" s="679" t="s">
        <v>776</v>
      </c>
      <c r="H481" s="921" t="str">
        <f t="shared" si="49"/>
        <v>H:\Taniku\ミリナエ</v>
      </c>
      <c r="I481" s="679"/>
      <c r="J481" s="922"/>
      <c r="K481" s="675" t="s">
        <v>20</v>
      </c>
      <c r="L481" s="675" t="s">
        <v>45</v>
      </c>
      <c r="M481" s="679"/>
      <c r="N481" s="676"/>
      <c r="O481" s="675"/>
      <c r="P481" s="678"/>
      <c r="Q481" s="923"/>
    </row>
    <row r="482" spans="1:17" ht="15" customHeight="1">
      <c r="A482" s="93" t="s">
        <v>24</v>
      </c>
      <c r="B482" s="93" t="s">
        <v>21</v>
      </c>
      <c r="E482" s="93" t="s">
        <v>24</v>
      </c>
      <c r="F482" s="924" t="str">
        <f t="shared" si="48"/>
        <v>ミリネ</v>
      </c>
      <c r="G482" s="679" t="s">
        <v>777</v>
      </c>
      <c r="H482" s="921" t="str">
        <f t="shared" si="49"/>
        <v>H:\Taniku\ミリネ</v>
      </c>
      <c r="I482" s="679"/>
      <c r="J482" s="922"/>
      <c r="K482" s="675" t="s">
        <v>23</v>
      </c>
      <c r="L482" s="675" t="s">
        <v>72</v>
      </c>
      <c r="M482" s="679"/>
      <c r="N482" s="676"/>
      <c r="O482" s="675"/>
      <c r="P482" s="678"/>
      <c r="Q482" s="923"/>
    </row>
    <row r="483" spans="1:17" ht="15" customHeight="1">
      <c r="A483" s="93" t="s">
        <v>24</v>
      </c>
      <c r="B483" s="93" t="s">
        <v>28</v>
      </c>
      <c r="E483" s="93" t="s">
        <v>24</v>
      </c>
      <c r="F483" s="920" t="str">
        <f t="shared" si="48"/>
        <v>ミルクゥージ</v>
      </c>
      <c r="G483" s="679" t="s">
        <v>778</v>
      </c>
      <c r="H483" s="921" t="str">
        <f t="shared" si="49"/>
        <v>H:\Taniku\ミルクゥージ</v>
      </c>
      <c r="I483" s="679"/>
      <c r="J483" s="922"/>
      <c r="K483" s="675" t="s">
        <v>27</v>
      </c>
      <c r="L483" s="675" t="s">
        <v>112</v>
      </c>
      <c r="M483" s="679"/>
      <c r="N483" s="676"/>
      <c r="O483" s="675"/>
      <c r="P483" s="678"/>
      <c r="Q483" s="923"/>
    </row>
    <row r="484" spans="1:17" ht="15" customHeight="1" thickBot="1">
      <c r="A484" s="93" t="s">
        <v>24</v>
      </c>
      <c r="B484" s="93" t="s">
        <v>36</v>
      </c>
      <c r="E484" s="93" t="s">
        <v>24</v>
      </c>
      <c r="F484" s="925" t="str">
        <f t="shared" si="48"/>
        <v>ミロッティ</v>
      </c>
      <c r="G484" s="926" t="s">
        <v>779</v>
      </c>
      <c r="H484" s="927" t="str">
        <f t="shared" si="49"/>
        <v>H:\Taniku\ミロッティ</v>
      </c>
      <c r="I484" s="679"/>
      <c r="J484" s="928"/>
      <c r="K484" s="929" t="s">
        <v>30</v>
      </c>
      <c r="L484" s="929" t="s">
        <v>129</v>
      </c>
      <c r="M484" s="926"/>
      <c r="N484" s="930"/>
      <c r="O484" s="929"/>
      <c r="P484" s="931"/>
      <c r="Q484" s="932"/>
    </row>
    <row r="485" spans="1:17" ht="15" customHeight="1" thickTop="1">
      <c r="B485" s="262" t="s">
        <v>12</v>
      </c>
      <c r="C485" s="262" t="s">
        <v>12</v>
      </c>
      <c r="D485" s="262"/>
      <c r="E485" s="262" t="s">
        <v>12</v>
      </c>
      <c r="F485" s="679"/>
      <c r="G485" s="679"/>
      <c r="H485" s="675"/>
      <c r="I485" s="679"/>
      <c r="J485" s="675"/>
      <c r="K485" s="675"/>
      <c r="L485" s="675"/>
      <c r="M485" s="679"/>
      <c r="N485" s="676"/>
      <c r="O485" s="675"/>
      <c r="P485" s="678"/>
      <c r="Q485" s="679"/>
    </row>
    <row r="486" spans="1:17" ht="15" customHeight="1" thickBot="1">
      <c r="B486" s="262" t="s">
        <v>12</v>
      </c>
      <c r="C486" s="262" t="s">
        <v>12</v>
      </c>
      <c r="D486" s="262"/>
      <c r="E486" s="262" t="s">
        <v>12</v>
      </c>
      <c r="F486" s="724" t="s">
        <v>780</v>
      </c>
      <c r="G486" s="724"/>
      <c r="H486" s="675"/>
      <c r="I486" s="724"/>
      <c r="J486" s="675"/>
      <c r="K486" s="675"/>
      <c r="L486" s="675"/>
      <c r="M486" s="724"/>
      <c r="N486" s="676"/>
      <c r="O486" s="933"/>
      <c r="P486" s="678"/>
      <c r="Q486" s="679"/>
    </row>
    <row r="487" spans="1:17" ht="15" customHeight="1" thickTop="1">
      <c r="A487" s="443" t="s">
        <v>15</v>
      </c>
      <c r="B487" s="93" t="s">
        <v>21</v>
      </c>
      <c r="D487" s="93" t="s">
        <v>24</v>
      </c>
      <c r="E487" s="93" t="s">
        <v>24</v>
      </c>
      <c r="F487" s="981" t="str">
        <f>HYPERLINK(H487,G487)</f>
        <v>紫雲丹</v>
      </c>
      <c r="G487" s="982" t="s">
        <v>781</v>
      </c>
      <c r="H487" s="983" t="str">
        <f>CONCATENATE("H:\Taniku\",G487)</f>
        <v>H:\Taniku\紫雲丹</v>
      </c>
      <c r="I487" s="984"/>
      <c r="J487" s="985" t="s">
        <v>48</v>
      </c>
      <c r="K487" s="986" t="s">
        <v>782</v>
      </c>
      <c r="L487" s="986" t="s">
        <v>48</v>
      </c>
      <c r="M487" s="982"/>
      <c r="N487" s="987" t="s">
        <v>783</v>
      </c>
      <c r="O487" s="986"/>
      <c r="P487" s="988"/>
      <c r="Q487" s="989"/>
    </row>
    <row r="488" spans="1:17" ht="15" customHeight="1" thickBot="1">
      <c r="A488" s="443" t="s">
        <v>15</v>
      </c>
      <c r="B488" s="93" t="s">
        <v>21</v>
      </c>
      <c r="D488" s="93" t="s">
        <v>24</v>
      </c>
      <c r="E488" s="93" t="s">
        <v>24</v>
      </c>
      <c r="F488" s="990" t="str">
        <f>HYPERLINK(H488,G488)</f>
        <v>紫式部</v>
      </c>
      <c r="G488" s="991" t="s">
        <v>784</v>
      </c>
      <c r="H488" s="992" t="str">
        <f>CONCATENATE("H:\Taniku\",G488)</f>
        <v>H:\Taniku\紫式部</v>
      </c>
      <c r="I488" s="984"/>
      <c r="J488" s="993" t="s">
        <v>366</v>
      </c>
      <c r="K488" s="994" t="s">
        <v>782</v>
      </c>
      <c r="L488" s="994" t="s">
        <v>785</v>
      </c>
      <c r="M488" s="991"/>
      <c r="N488" s="995" t="s">
        <v>786</v>
      </c>
      <c r="O488" s="994" t="s">
        <v>163</v>
      </c>
      <c r="P488" s="996" t="s">
        <v>787</v>
      </c>
      <c r="Q488" s="997"/>
    </row>
    <row r="489" spans="1:17" ht="15" customHeight="1" thickTop="1">
      <c r="B489" s="262" t="s">
        <v>12</v>
      </c>
      <c r="C489" s="262"/>
      <c r="D489" s="262"/>
      <c r="E489" s="262"/>
      <c r="F489" s="748"/>
      <c r="G489" s="748"/>
      <c r="H489" s="675"/>
      <c r="I489" s="748"/>
      <c r="J489" s="675"/>
      <c r="K489" s="675"/>
      <c r="L489" s="675"/>
      <c r="M489" s="748"/>
      <c r="N489" s="676"/>
      <c r="O489" s="934"/>
      <c r="P489" s="678"/>
      <c r="Q489" s="679"/>
    </row>
    <row r="490" spans="1:17" ht="15" customHeight="1" thickBot="1">
      <c r="B490" s="262" t="s">
        <v>12</v>
      </c>
      <c r="C490" s="262" t="s">
        <v>12</v>
      </c>
      <c r="D490" s="262"/>
      <c r="E490" s="262" t="s">
        <v>12</v>
      </c>
      <c r="F490" s="748" t="s">
        <v>788</v>
      </c>
      <c r="G490" s="748"/>
      <c r="H490" s="675"/>
      <c r="I490" s="748"/>
      <c r="J490" s="675"/>
      <c r="K490" s="675"/>
      <c r="L490" s="675"/>
      <c r="M490" s="748"/>
      <c r="N490" s="676"/>
      <c r="O490" s="934"/>
      <c r="P490" s="678"/>
      <c r="Q490" s="679"/>
    </row>
    <row r="491" spans="1:17" ht="15" customHeight="1" thickTop="1">
      <c r="A491" s="93" t="s">
        <v>24</v>
      </c>
      <c r="B491" s="93" t="s">
        <v>21</v>
      </c>
      <c r="E491" s="93" t="s">
        <v>24</v>
      </c>
      <c r="F491" s="935" t="str">
        <f t="shared" ref="F491:F498" si="50">HYPERLINK(H491,G491)</f>
        <v>メキシカンジャイアント</v>
      </c>
      <c r="G491" s="750" t="s">
        <v>789</v>
      </c>
      <c r="H491" s="751" t="str">
        <f t="shared" ref="H491:H498" si="51">CONCATENATE("H:\Taniku\",G491)</f>
        <v>H:\Taniku\メキシカンジャイアント</v>
      </c>
      <c r="I491" s="679"/>
      <c r="J491" s="752"/>
      <c r="K491" s="753" t="s">
        <v>23</v>
      </c>
      <c r="L491" s="753" t="s">
        <v>48</v>
      </c>
      <c r="M491" s="750"/>
      <c r="N491" s="754"/>
      <c r="O491" s="753"/>
      <c r="P491" s="756"/>
      <c r="Q491" s="757"/>
    </row>
    <row r="492" spans="1:17" ht="15" customHeight="1">
      <c r="A492" s="93" t="s">
        <v>24</v>
      </c>
      <c r="B492" s="93" t="s">
        <v>21</v>
      </c>
      <c r="E492" s="93" t="s">
        <v>24</v>
      </c>
      <c r="F492" s="758" t="str">
        <f t="shared" si="50"/>
        <v>メキシカンスノーボール</v>
      </c>
      <c r="G492" s="679" t="s">
        <v>790</v>
      </c>
      <c r="H492" s="759" t="str">
        <f t="shared" si="51"/>
        <v>H:\Taniku\メキシカンスノーボール</v>
      </c>
      <c r="I492" s="679"/>
      <c r="J492" s="760"/>
      <c r="K492" s="675" t="s">
        <v>20</v>
      </c>
      <c r="L492" s="675" t="s">
        <v>45</v>
      </c>
      <c r="M492" s="679"/>
      <c r="N492" s="676"/>
      <c r="O492" s="675"/>
      <c r="P492" s="678"/>
      <c r="Q492" s="761"/>
    </row>
    <row r="493" spans="1:17" ht="15" customHeight="1">
      <c r="A493" s="93" t="s">
        <v>24</v>
      </c>
      <c r="B493" s="93" t="s">
        <v>21</v>
      </c>
      <c r="E493" s="93" t="s">
        <v>24</v>
      </c>
      <c r="F493" s="998" t="str">
        <f t="shared" si="50"/>
        <v>メキシコクリーム</v>
      </c>
      <c r="G493" s="679" t="s">
        <v>791</v>
      </c>
      <c r="H493" s="759" t="str">
        <f t="shared" si="51"/>
        <v>H:\Taniku\メキシコクリーム</v>
      </c>
      <c r="I493" s="679"/>
      <c r="J493" s="760"/>
      <c r="K493" s="675" t="s">
        <v>27</v>
      </c>
      <c r="L493" s="675" t="s">
        <v>106</v>
      </c>
      <c r="M493" s="679"/>
      <c r="N493" s="676"/>
      <c r="O493" s="675"/>
      <c r="P493" s="678"/>
      <c r="Q493" s="761"/>
    </row>
    <row r="494" spans="1:17" ht="15" customHeight="1">
      <c r="A494" s="93" t="s">
        <v>24</v>
      </c>
      <c r="B494" s="93" t="s">
        <v>21</v>
      </c>
      <c r="D494" s="93" t="s">
        <v>24</v>
      </c>
      <c r="E494" s="93" t="s">
        <v>24</v>
      </c>
      <c r="F494" s="998" t="str">
        <f t="shared" si="50"/>
        <v>メキシコポルデンシス</v>
      </c>
      <c r="G494" s="679" t="s">
        <v>438</v>
      </c>
      <c r="H494" s="759" t="str">
        <f t="shared" si="51"/>
        <v>H:\Taniku\メキシコポルデンシス</v>
      </c>
      <c r="I494" s="679"/>
      <c r="J494" s="760"/>
      <c r="K494" s="675" t="s">
        <v>23</v>
      </c>
      <c r="L494" s="675" t="s">
        <v>48</v>
      </c>
      <c r="M494" s="679"/>
      <c r="N494" s="676"/>
      <c r="O494" s="675"/>
      <c r="P494" s="678"/>
      <c r="Q494" s="761"/>
    </row>
    <row r="495" spans="1:17" ht="15" customHeight="1">
      <c r="A495" s="93" t="s">
        <v>24</v>
      </c>
      <c r="B495" s="93" t="s">
        <v>21</v>
      </c>
      <c r="E495" s="93" t="s">
        <v>24</v>
      </c>
      <c r="F495" s="998" t="str">
        <f t="shared" si="50"/>
        <v>女雛</v>
      </c>
      <c r="G495" s="679" t="s">
        <v>792</v>
      </c>
      <c r="H495" s="759" t="str">
        <f t="shared" si="51"/>
        <v>H:\Taniku\女雛</v>
      </c>
      <c r="I495" s="679"/>
      <c r="J495" s="760"/>
      <c r="K495" s="675" t="s">
        <v>23</v>
      </c>
      <c r="L495" s="675" t="s">
        <v>55</v>
      </c>
      <c r="M495" s="679"/>
      <c r="N495" s="676" t="s">
        <v>302</v>
      </c>
      <c r="O495" s="675" t="s">
        <v>163</v>
      </c>
      <c r="P495" s="678" t="s">
        <v>248</v>
      </c>
      <c r="Q495" s="761"/>
    </row>
    <row r="496" spans="1:17" ht="15" customHeight="1">
      <c r="A496" s="93" t="s">
        <v>24</v>
      </c>
      <c r="B496" s="93" t="s">
        <v>21</v>
      </c>
      <c r="E496" s="93" t="s">
        <v>24</v>
      </c>
      <c r="F496" s="758" t="str">
        <f t="shared" si="50"/>
        <v>メラコ</v>
      </c>
      <c r="G496" s="679" t="s">
        <v>793</v>
      </c>
      <c r="H496" s="759" t="str">
        <f t="shared" si="51"/>
        <v>H:\Taniku\メラコ</v>
      </c>
      <c r="I496" s="679"/>
      <c r="J496" s="760"/>
      <c r="K496" s="675" t="s">
        <v>27</v>
      </c>
      <c r="L496" s="675" t="s">
        <v>118</v>
      </c>
      <c r="M496" s="679"/>
      <c r="N496" s="676"/>
      <c r="O496" s="675"/>
      <c r="P496" s="678"/>
      <c r="Q496" s="761"/>
    </row>
    <row r="497" spans="1:17" ht="15" customHeight="1">
      <c r="A497" s="93" t="s">
        <v>24</v>
      </c>
      <c r="B497" s="93" t="s">
        <v>21</v>
      </c>
      <c r="E497" s="93" t="s">
        <v>24</v>
      </c>
      <c r="F497" s="998" t="str">
        <f t="shared" si="50"/>
        <v>メンサ</v>
      </c>
      <c r="G497" s="679" t="s">
        <v>3385</v>
      </c>
      <c r="H497" s="759" t="str">
        <f t="shared" si="51"/>
        <v>H:\Taniku\メンサ</v>
      </c>
      <c r="I497" s="679"/>
      <c r="J497" s="760"/>
      <c r="K497" s="675" t="s">
        <v>30</v>
      </c>
      <c r="L497" s="675" t="s">
        <v>598</v>
      </c>
      <c r="M497" s="679"/>
      <c r="N497" s="676"/>
      <c r="O497" s="675"/>
      <c r="P497" s="678"/>
      <c r="Q497" s="761"/>
    </row>
    <row r="498" spans="1:17" ht="15" customHeight="1" thickBot="1">
      <c r="A498" s="93" t="s">
        <v>24</v>
      </c>
      <c r="B498" s="93" t="s">
        <v>21</v>
      </c>
      <c r="E498" s="93" t="s">
        <v>24</v>
      </c>
      <c r="F498" s="762" t="str">
        <f t="shared" si="50"/>
        <v>メリーベル</v>
      </c>
      <c r="G498" s="763" t="s">
        <v>794</v>
      </c>
      <c r="H498" s="764" t="str">
        <f t="shared" si="51"/>
        <v>H:\Taniku\メリーベル</v>
      </c>
      <c r="I498" s="679"/>
      <c r="J498" s="765"/>
      <c r="K498" s="766" t="s">
        <v>23</v>
      </c>
      <c r="L498" s="766" t="s">
        <v>60</v>
      </c>
      <c r="M498" s="763"/>
      <c r="N498" s="767"/>
      <c r="O498" s="766"/>
      <c r="P498" s="769"/>
      <c r="Q498" s="770"/>
    </row>
    <row r="499" spans="1:17" ht="15" customHeight="1" thickTop="1">
      <c r="B499" s="262" t="s">
        <v>12</v>
      </c>
      <c r="C499" s="262" t="s">
        <v>12</v>
      </c>
      <c r="D499" s="262"/>
      <c r="E499" s="262" t="s">
        <v>12</v>
      </c>
      <c r="F499" s="679"/>
      <c r="G499" s="679"/>
      <c r="H499" s="675"/>
      <c r="I499" s="679"/>
      <c r="J499" s="675"/>
      <c r="K499" s="675"/>
      <c r="L499" s="675"/>
      <c r="M499" s="679"/>
      <c r="N499" s="676"/>
      <c r="O499" s="675"/>
      <c r="P499" s="678"/>
      <c r="Q499" s="679"/>
    </row>
    <row r="500" spans="1:17" ht="15" customHeight="1" thickBot="1">
      <c r="B500" s="262" t="s">
        <v>12</v>
      </c>
      <c r="C500" s="262" t="s">
        <v>12</v>
      </c>
      <c r="D500" s="262"/>
      <c r="E500" s="262" t="s">
        <v>12</v>
      </c>
      <c r="F500" s="771" t="s">
        <v>795</v>
      </c>
      <c r="G500" s="771"/>
      <c r="H500" s="675"/>
      <c r="I500" s="771"/>
      <c r="J500" s="675"/>
      <c r="K500" s="675"/>
      <c r="L500" s="675"/>
      <c r="M500" s="771"/>
      <c r="N500" s="676"/>
      <c r="O500" s="936"/>
      <c r="P500" s="678"/>
      <c r="Q500" s="679"/>
    </row>
    <row r="501" spans="1:17" ht="15" customHeight="1" thickTop="1">
      <c r="A501" s="93" t="s">
        <v>24</v>
      </c>
      <c r="B501" s="93" t="s">
        <v>21</v>
      </c>
      <c r="E501" s="93" t="s">
        <v>24</v>
      </c>
      <c r="F501" s="772" t="str">
        <f t="shared" ref="F501:F509" si="52">HYPERLINK(H501,G501)</f>
        <v>モーサン</v>
      </c>
      <c r="G501" s="773" t="s">
        <v>796</v>
      </c>
      <c r="H501" s="774" t="str">
        <f t="shared" ref="H501:H509" si="53">CONCATENATE("H:\Taniku\",G501)</f>
        <v>H:\Taniku\モーサン</v>
      </c>
      <c r="I501" s="679"/>
      <c r="J501" s="775"/>
      <c r="K501" s="776" t="s">
        <v>23</v>
      </c>
      <c r="L501" s="776" t="s">
        <v>55</v>
      </c>
      <c r="M501" s="773"/>
      <c r="N501" s="777"/>
      <c r="O501" s="776"/>
      <c r="P501" s="779"/>
      <c r="Q501" s="780"/>
    </row>
    <row r="502" spans="1:17" ht="15" customHeight="1">
      <c r="A502" s="93" t="s">
        <v>24</v>
      </c>
      <c r="B502" s="93" t="s">
        <v>21</v>
      </c>
      <c r="E502" s="93" t="s">
        <v>24</v>
      </c>
      <c r="F502" s="781" t="str">
        <f t="shared" si="52"/>
        <v>モヒカン</v>
      </c>
      <c r="G502" s="679" t="s">
        <v>797</v>
      </c>
      <c r="H502" s="782" t="str">
        <f t="shared" si="53"/>
        <v>H:\Taniku\モヒカン</v>
      </c>
      <c r="I502" s="679"/>
      <c r="J502" s="783"/>
      <c r="K502" s="675" t="s">
        <v>27</v>
      </c>
      <c r="L502" s="675" t="s">
        <v>108</v>
      </c>
      <c r="M502" s="679"/>
      <c r="N502" s="676"/>
      <c r="O502" s="675"/>
      <c r="P502" s="678"/>
      <c r="Q502" s="784"/>
    </row>
    <row r="503" spans="1:17" ht="15" customHeight="1">
      <c r="A503" s="93" t="s">
        <v>24</v>
      </c>
      <c r="B503" s="93" t="s">
        <v>21</v>
      </c>
      <c r="D503" s="93" t="s">
        <v>17</v>
      </c>
      <c r="E503" s="93" t="s">
        <v>24</v>
      </c>
      <c r="F503" s="785" t="str">
        <f t="shared" si="52"/>
        <v>桃くま</v>
      </c>
      <c r="G503" s="679" t="s">
        <v>798</v>
      </c>
      <c r="H503" s="782" t="str">
        <f t="shared" si="53"/>
        <v>H:\Taniku\桃くま</v>
      </c>
      <c r="I503" s="679"/>
      <c r="J503" s="783" t="s">
        <v>272</v>
      </c>
      <c r="K503" s="675" t="s">
        <v>23</v>
      </c>
      <c r="L503" s="675" t="s">
        <v>26</v>
      </c>
      <c r="M503" s="679"/>
      <c r="N503" s="676"/>
      <c r="O503" s="675"/>
      <c r="P503" s="678"/>
      <c r="Q503" s="784"/>
    </row>
    <row r="504" spans="1:17" ht="15" customHeight="1">
      <c r="A504" s="93" t="s">
        <v>24</v>
      </c>
      <c r="B504" s="93" t="s">
        <v>21</v>
      </c>
      <c r="E504" s="93" t="s">
        <v>24</v>
      </c>
      <c r="F504" s="785" t="str">
        <f t="shared" si="52"/>
        <v>桃太郎</v>
      </c>
      <c r="G504" s="679" t="s">
        <v>523</v>
      </c>
      <c r="H504" s="782" t="str">
        <f t="shared" si="53"/>
        <v>H:\Taniku\桃太郎</v>
      </c>
      <c r="I504" s="679"/>
      <c r="J504" s="783"/>
      <c r="K504" s="675" t="s">
        <v>260</v>
      </c>
      <c r="L504" s="675" t="s">
        <v>799</v>
      </c>
      <c r="M504" s="679"/>
      <c r="N504" s="676" t="s">
        <v>456</v>
      </c>
      <c r="O504" s="675" t="s">
        <v>163</v>
      </c>
      <c r="P504" s="678" t="s">
        <v>169</v>
      </c>
      <c r="Q504" s="784"/>
    </row>
    <row r="505" spans="1:17" ht="15" customHeight="1">
      <c r="A505" s="93" t="s">
        <v>24</v>
      </c>
      <c r="B505" s="93" t="s">
        <v>53</v>
      </c>
      <c r="E505" s="93" t="s">
        <v>24</v>
      </c>
      <c r="F505" s="785" t="str">
        <f t="shared" si="52"/>
        <v>桃美人</v>
      </c>
      <c r="G505" s="679" t="s">
        <v>800</v>
      </c>
      <c r="H505" s="782" t="str">
        <f t="shared" si="53"/>
        <v>H:\Taniku\桃美人</v>
      </c>
      <c r="I505" s="679"/>
      <c r="J505" s="783"/>
      <c r="K505" s="675" t="s">
        <v>30</v>
      </c>
      <c r="L505" s="675" t="s">
        <v>129</v>
      </c>
      <c r="M505" s="679"/>
      <c r="N505" s="676"/>
      <c r="O505" s="675"/>
      <c r="P505" s="678"/>
      <c r="Q505" s="784"/>
    </row>
    <row r="506" spans="1:17" ht="15" customHeight="1">
      <c r="A506" s="93" t="s">
        <v>24</v>
      </c>
      <c r="B506" s="93" t="s">
        <v>28</v>
      </c>
      <c r="E506" s="93" t="s">
        <v>24</v>
      </c>
      <c r="F506" s="781" t="str">
        <f t="shared" si="52"/>
        <v>モリムラマンネングサ</v>
      </c>
      <c r="G506" s="679" t="s">
        <v>801</v>
      </c>
      <c r="H506" s="782" t="str">
        <f t="shared" si="53"/>
        <v>H:\Taniku\モリムラマンネングサ</v>
      </c>
      <c r="I506" s="679"/>
      <c r="J506" s="783"/>
      <c r="K506" s="675" t="s">
        <v>27</v>
      </c>
      <c r="L506" s="675" t="s">
        <v>112</v>
      </c>
      <c r="M506" s="679"/>
      <c r="N506" s="676"/>
      <c r="O506" s="675"/>
      <c r="P506" s="678"/>
      <c r="Q506" s="784"/>
    </row>
    <row r="507" spans="1:17" ht="15" customHeight="1">
      <c r="A507" s="93" t="s">
        <v>24</v>
      </c>
      <c r="B507" s="93" t="s">
        <v>88</v>
      </c>
      <c r="E507" s="93" t="s">
        <v>24</v>
      </c>
      <c r="F507" s="781" t="str">
        <f t="shared" si="52"/>
        <v>モロキニエンシス</v>
      </c>
      <c r="G507" s="679" t="s">
        <v>802</v>
      </c>
      <c r="H507" s="782" t="str">
        <f t="shared" si="53"/>
        <v>H:\Taniku\モロキニエンシス</v>
      </c>
      <c r="I507" s="679"/>
      <c r="J507" s="783"/>
      <c r="K507" s="675" t="s">
        <v>803</v>
      </c>
      <c r="L507" s="675" t="s">
        <v>804</v>
      </c>
      <c r="M507" s="679"/>
      <c r="N507" s="676"/>
      <c r="O507" s="675"/>
      <c r="P507" s="678"/>
      <c r="Q507" s="784"/>
    </row>
    <row r="508" spans="1:17" ht="15" customHeight="1">
      <c r="A508" s="93" t="s">
        <v>24</v>
      </c>
      <c r="B508" s="93" t="s">
        <v>21</v>
      </c>
      <c r="E508" s="93" t="s">
        <v>24</v>
      </c>
      <c r="F508" s="785" t="str">
        <f t="shared" si="52"/>
        <v>モンロー</v>
      </c>
      <c r="G508" s="679" t="s">
        <v>805</v>
      </c>
      <c r="H508" s="782" t="str">
        <f t="shared" si="53"/>
        <v>H:\Taniku\モンロー</v>
      </c>
      <c r="I508" s="679"/>
      <c r="J508" s="783"/>
      <c r="K508" s="675" t="s">
        <v>260</v>
      </c>
      <c r="L508" s="675" t="s">
        <v>423</v>
      </c>
      <c r="M508" s="679"/>
      <c r="N508" s="676" t="s">
        <v>237</v>
      </c>
      <c r="O508" s="677" t="s">
        <v>163</v>
      </c>
      <c r="P508" s="678" t="s">
        <v>169</v>
      </c>
      <c r="Q508" s="784"/>
    </row>
    <row r="509" spans="1:17" ht="15" customHeight="1" thickBot="1">
      <c r="A509" s="93" t="s">
        <v>24</v>
      </c>
      <c r="B509" s="93" t="s">
        <v>21</v>
      </c>
      <c r="E509" s="93" t="s">
        <v>24</v>
      </c>
      <c r="F509" s="999" t="str">
        <f t="shared" si="52"/>
        <v>モンローQ</v>
      </c>
      <c r="G509" s="787" t="s">
        <v>806</v>
      </c>
      <c r="H509" s="788" t="str">
        <f t="shared" si="53"/>
        <v>H:\Taniku\モンローQ</v>
      </c>
      <c r="I509" s="679"/>
      <c r="J509" s="789"/>
      <c r="K509" s="790" t="s">
        <v>27</v>
      </c>
      <c r="L509" s="790" t="s">
        <v>106</v>
      </c>
      <c r="M509" s="787"/>
      <c r="N509" s="791"/>
      <c r="O509" s="790"/>
      <c r="P509" s="793"/>
      <c r="Q509" s="794"/>
    </row>
    <row r="510" spans="1:17" ht="15" customHeight="1" thickTop="1">
      <c r="B510" s="262" t="s">
        <v>12</v>
      </c>
      <c r="C510" s="262" t="s">
        <v>12</v>
      </c>
      <c r="D510" s="262"/>
      <c r="E510" s="262" t="s">
        <v>12</v>
      </c>
    </row>
    <row r="511" spans="1:17" ht="16.5" thickBot="1">
      <c r="B511" s="262" t="s">
        <v>12</v>
      </c>
      <c r="C511" s="262" t="s">
        <v>12</v>
      </c>
      <c r="D511" s="262"/>
      <c r="E511" s="262" t="s">
        <v>12</v>
      </c>
      <c r="F511" s="795" t="s">
        <v>807</v>
      </c>
      <c r="G511" s="795"/>
      <c r="H511" s="646"/>
      <c r="I511" s="795"/>
      <c r="J511" s="646"/>
      <c r="K511" s="646"/>
      <c r="L511" s="646"/>
      <c r="M511" s="795"/>
      <c r="N511" s="647"/>
      <c r="O511" s="796"/>
      <c r="P511" s="649"/>
      <c r="Q511" s="650"/>
    </row>
    <row r="512" spans="1:17" ht="14" thickTop="1">
      <c r="A512" s="93" t="s">
        <v>24</v>
      </c>
      <c r="B512" s="93" t="s">
        <v>28</v>
      </c>
      <c r="E512" s="93" t="s">
        <v>24</v>
      </c>
      <c r="F512" s="938" t="str">
        <f>HYPERLINK(H512,G512)</f>
        <v>八千代</v>
      </c>
      <c r="G512" s="798" t="s">
        <v>808</v>
      </c>
      <c r="H512" s="799" t="str">
        <f>CONCATENATE("H:\Taniku\",G512)</f>
        <v>H:\Taniku\八千代</v>
      </c>
      <c r="I512" s="650"/>
      <c r="J512" s="800"/>
      <c r="K512" s="801" t="s">
        <v>30</v>
      </c>
      <c r="L512" s="801" t="s">
        <v>129</v>
      </c>
      <c r="M512" s="798"/>
      <c r="N512" s="802"/>
      <c r="O512" s="801"/>
      <c r="P512" s="803"/>
      <c r="Q512" s="804"/>
    </row>
    <row r="513" spans="1:17">
      <c r="A513" s="93" t="s">
        <v>24</v>
      </c>
      <c r="B513" s="93" t="s">
        <v>21</v>
      </c>
      <c r="C513" s="93" t="s">
        <v>24</v>
      </c>
      <c r="E513" s="93" t="s">
        <v>24</v>
      </c>
      <c r="F513" s="805" t="str">
        <f>HYPERLINK(H513,G513)</f>
        <v>ヤマトニシキ</v>
      </c>
      <c r="G513" s="650" t="s">
        <v>809</v>
      </c>
      <c r="H513" s="806" t="str">
        <f>CONCATENATE("H:\Taniku\",G513)</f>
        <v>H:\Taniku\ヤマトニシキ</v>
      </c>
      <c r="I513" s="650"/>
      <c r="J513" s="807"/>
      <c r="K513" s="646" t="s">
        <v>20</v>
      </c>
      <c r="L513" s="646" t="s">
        <v>49</v>
      </c>
      <c r="M513" s="650"/>
      <c r="N513" s="647"/>
      <c r="O513" s="646"/>
      <c r="P513" s="649"/>
      <c r="Q513" s="808"/>
    </row>
    <row r="514" spans="1:17" ht="14" thickBot="1">
      <c r="A514" s="93" t="s">
        <v>24</v>
      </c>
      <c r="B514" s="93" t="s">
        <v>21</v>
      </c>
      <c r="E514" s="93" t="s">
        <v>24</v>
      </c>
      <c r="F514" s="810" t="str">
        <f>HYPERLINK(H514,G514)</f>
        <v>ヤマトヒメ</v>
      </c>
      <c r="G514" s="811" t="s">
        <v>810</v>
      </c>
      <c r="H514" s="812" t="str">
        <f>CONCATENATE("H:\Taniku\",G514)</f>
        <v>H:\Taniku\ヤマトヒメ</v>
      </c>
      <c r="I514" s="650"/>
      <c r="J514" s="813"/>
      <c r="K514" s="814" t="s">
        <v>20</v>
      </c>
      <c r="L514" s="814" t="s">
        <v>45</v>
      </c>
      <c r="M514" s="811"/>
      <c r="N514" s="815" t="s">
        <v>811</v>
      </c>
      <c r="O514" s="814" t="s">
        <v>215</v>
      </c>
      <c r="P514" s="816" t="s">
        <v>624</v>
      </c>
      <c r="Q514" s="817"/>
    </row>
    <row r="515" spans="1:17" ht="14" thickTop="1">
      <c r="B515" s="262" t="s">
        <v>12</v>
      </c>
      <c r="C515" s="262" t="s">
        <v>12</v>
      </c>
      <c r="D515" s="262"/>
      <c r="E515" s="262" t="s">
        <v>12</v>
      </c>
      <c r="F515" s="650"/>
      <c r="G515" s="650"/>
      <c r="H515" s="646"/>
      <c r="I515" s="650"/>
      <c r="J515" s="646"/>
      <c r="K515" s="646"/>
      <c r="L515" s="646"/>
      <c r="M515" s="650"/>
      <c r="N515" s="647"/>
      <c r="O515" s="646"/>
      <c r="P515" s="649"/>
      <c r="Q515" s="650"/>
    </row>
    <row r="516" spans="1:17" ht="16.5" thickBot="1">
      <c r="B516" s="262" t="s">
        <v>12</v>
      </c>
      <c r="C516" s="262" t="s">
        <v>12</v>
      </c>
      <c r="D516" s="262"/>
      <c r="E516" s="262" t="s">
        <v>12</v>
      </c>
      <c r="F516" s="841" t="s">
        <v>812</v>
      </c>
      <c r="G516" s="841"/>
      <c r="H516" s="646"/>
      <c r="I516" s="841"/>
      <c r="J516" s="646"/>
      <c r="K516" s="646"/>
      <c r="L516" s="646"/>
      <c r="M516" s="841"/>
      <c r="N516" s="647"/>
      <c r="O516" s="842"/>
      <c r="P516" s="649"/>
      <c r="Q516" s="650"/>
    </row>
    <row r="517" spans="1:17" ht="14" thickTop="1">
      <c r="A517" s="93" t="s">
        <v>24</v>
      </c>
      <c r="B517" s="93" t="s">
        <v>21</v>
      </c>
      <c r="E517" s="93" t="s">
        <v>24</v>
      </c>
      <c r="F517" s="957" t="str">
        <f>HYPERLINK(H517,G517)</f>
        <v>夕雲</v>
      </c>
      <c r="G517" s="844" t="s">
        <v>813</v>
      </c>
      <c r="H517" s="847" t="str">
        <f>CONCATENATE("H:\Taniku\",G517)</f>
        <v>H:\Taniku\夕雲</v>
      </c>
      <c r="I517" s="1000"/>
      <c r="J517" s="847"/>
      <c r="K517" s="847" t="s">
        <v>23</v>
      </c>
      <c r="L517" s="847" t="s">
        <v>55</v>
      </c>
      <c r="M517" s="844"/>
      <c r="N517" s="848"/>
      <c r="O517" s="847"/>
      <c r="P517" s="849"/>
      <c r="Q517" s="850"/>
    </row>
    <row r="518" spans="1:17">
      <c r="A518" s="443" t="s">
        <v>15</v>
      </c>
      <c r="B518" s="93" t="s">
        <v>21</v>
      </c>
      <c r="D518" s="93" t="s">
        <v>24</v>
      </c>
      <c r="E518" s="93" t="s">
        <v>24</v>
      </c>
      <c r="F518" s="851" t="str">
        <f>HYPERLINK(H518,G518)</f>
        <v>雪蜂</v>
      </c>
      <c r="G518" s="650" t="s">
        <v>814</v>
      </c>
      <c r="H518" s="646" t="str">
        <f>CONCATENATE("H:\Taniku\",G518)</f>
        <v>H:\Taniku\雪蜂</v>
      </c>
      <c r="I518" s="1000"/>
      <c r="J518" s="646" t="s">
        <v>272</v>
      </c>
      <c r="K518" s="646" t="s">
        <v>27</v>
      </c>
      <c r="L518" s="646" t="s">
        <v>815</v>
      </c>
      <c r="M518" s="650"/>
      <c r="N518" s="647"/>
      <c r="O518" s="646"/>
      <c r="P518" s="649"/>
      <c r="Q518" s="854"/>
    </row>
    <row r="519" spans="1:17" ht="14" thickBot="1">
      <c r="A519" s="93" t="s">
        <v>24</v>
      </c>
      <c r="B519" s="93" t="s">
        <v>21</v>
      </c>
      <c r="D519" s="93" t="s">
        <v>24</v>
      </c>
      <c r="E519" s="93" t="s">
        <v>24</v>
      </c>
      <c r="F519" s="856" t="str">
        <f>HYPERLINK(H519,G519)</f>
        <v>百合華</v>
      </c>
      <c r="G519" s="857" t="s">
        <v>816</v>
      </c>
      <c r="H519" s="860" t="str">
        <f>CONCATENATE("H:\Taniku\",G519)</f>
        <v>H:\Taniku\百合華</v>
      </c>
      <c r="I519" s="1000"/>
      <c r="J519" s="860" t="s">
        <v>817</v>
      </c>
      <c r="K519" s="860" t="s">
        <v>23</v>
      </c>
      <c r="L519" s="860" t="s">
        <v>48</v>
      </c>
      <c r="M519" s="857"/>
      <c r="N519" s="861"/>
      <c r="O519" s="860"/>
      <c r="P519" s="862"/>
      <c r="Q519" s="863"/>
    </row>
    <row r="520" spans="1:17" ht="14" thickTop="1">
      <c r="B520" s="262" t="s">
        <v>12</v>
      </c>
      <c r="C520" s="262" t="s">
        <v>12</v>
      </c>
      <c r="D520" s="262"/>
      <c r="E520" s="262" t="s">
        <v>12</v>
      </c>
      <c r="F520" s="650"/>
      <c r="G520" s="650"/>
      <c r="H520" s="646"/>
      <c r="I520" s="650"/>
      <c r="J520" s="646"/>
      <c r="K520" s="646"/>
      <c r="L520" s="646"/>
      <c r="M520" s="650"/>
      <c r="N520" s="647"/>
      <c r="O520" s="646"/>
      <c r="P520" s="649"/>
      <c r="Q520" s="650"/>
    </row>
    <row r="521" spans="1:17" ht="16">
      <c r="B521" s="262" t="s">
        <v>12</v>
      </c>
      <c r="C521" s="262" t="s">
        <v>12</v>
      </c>
      <c r="D521" s="262"/>
      <c r="E521" s="262" t="s">
        <v>12</v>
      </c>
      <c r="F521" s="886" t="s">
        <v>818</v>
      </c>
      <c r="G521" s="886"/>
      <c r="H521" s="646"/>
      <c r="I521" s="886"/>
      <c r="J521" s="646"/>
      <c r="K521" s="646"/>
      <c r="L521" s="646"/>
      <c r="M521" s="886"/>
      <c r="N521" s="647"/>
      <c r="O521" s="887"/>
      <c r="P521" s="649"/>
      <c r="Q521" s="650"/>
    </row>
    <row r="522" spans="1:17">
      <c r="B522" s="262" t="s">
        <v>12</v>
      </c>
      <c r="C522" s="262" t="s">
        <v>12</v>
      </c>
      <c r="D522" s="262"/>
      <c r="E522" s="262" t="s">
        <v>12</v>
      </c>
    </row>
    <row r="523" spans="1:17" ht="16.5" thickBot="1">
      <c r="B523" s="262" t="s">
        <v>12</v>
      </c>
      <c r="C523" s="262" t="s">
        <v>12</v>
      </c>
      <c r="D523" s="262"/>
      <c r="E523" s="262" t="s">
        <v>12</v>
      </c>
      <c r="F523" s="909" t="s">
        <v>819</v>
      </c>
      <c r="G523" s="909"/>
      <c r="H523" s="675"/>
      <c r="I523" s="909"/>
      <c r="J523" s="675"/>
      <c r="K523" s="675"/>
      <c r="L523" s="675"/>
      <c r="M523" s="909"/>
      <c r="N523" s="676"/>
      <c r="O523" s="910"/>
      <c r="P523" s="678"/>
      <c r="Q523" s="679"/>
    </row>
    <row r="524" spans="1:17" ht="14" thickTop="1">
      <c r="A524" s="93" t="s">
        <v>24</v>
      </c>
      <c r="B524" s="93" t="s">
        <v>21</v>
      </c>
      <c r="E524" s="93" t="s">
        <v>24</v>
      </c>
      <c r="F524" s="1001" t="str">
        <f t="shared" ref="F524:F540" si="54">HYPERLINK(H524,G524)</f>
        <v>ライノ</v>
      </c>
      <c r="G524" s="681" t="s">
        <v>820</v>
      </c>
      <c r="H524" s="682" t="str">
        <f t="shared" ref="H524:H534" si="55">CONCATENATE("H:\Taniku\",G524)</f>
        <v>H:\Taniku\ライノ</v>
      </c>
      <c r="I524" s="679"/>
      <c r="J524" s="683"/>
      <c r="K524" s="684" t="s">
        <v>23</v>
      </c>
      <c r="L524" s="684" t="s">
        <v>60</v>
      </c>
      <c r="M524" s="681"/>
      <c r="N524" s="685" t="s">
        <v>821</v>
      </c>
      <c r="O524" s="684" t="s">
        <v>163</v>
      </c>
      <c r="P524" s="687" t="s">
        <v>422</v>
      </c>
      <c r="Q524" s="688"/>
    </row>
    <row r="525" spans="1:17">
      <c r="A525" s="93" t="s">
        <v>24</v>
      </c>
      <c r="B525" s="93" t="s">
        <v>21</v>
      </c>
      <c r="E525" s="93" t="s">
        <v>24</v>
      </c>
      <c r="F525" s="689" t="str">
        <f t="shared" si="54"/>
        <v>ラウィータ</v>
      </c>
      <c r="G525" s="679" t="s">
        <v>822</v>
      </c>
      <c r="H525" s="690" t="str">
        <f t="shared" si="55"/>
        <v>H:\Taniku\ラウィータ</v>
      </c>
      <c r="I525" s="679"/>
      <c r="J525" s="691"/>
      <c r="K525" s="677" t="s">
        <v>23</v>
      </c>
      <c r="L525" s="675" t="s">
        <v>81</v>
      </c>
      <c r="M525" s="679"/>
      <c r="N525" s="676" t="s">
        <v>237</v>
      </c>
      <c r="O525" s="675" t="s">
        <v>163</v>
      </c>
      <c r="P525" s="678" t="s">
        <v>422</v>
      </c>
      <c r="Q525" s="692"/>
    </row>
    <row r="526" spans="1:17">
      <c r="A526" s="93" t="s">
        <v>24</v>
      </c>
      <c r="B526" s="93" t="s">
        <v>21</v>
      </c>
      <c r="E526" s="93" t="s">
        <v>24</v>
      </c>
      <c r="F526" s="693" t="str">
        <f t="shared" si="54"/>
        <v>ラウレンシス</v>
      </c>
      <c r="G526" s="679" t="s">
        <v>3386</v>
      </c>
      <c r="H526" s="690" t="str">
        <f t="shared" si="55"/>
        <v>H:\Taniku\ラウレンシス</v>
      </c>
      <c r="I526" s="679"/>
      <c r="J526" s="691"/>
      <c r="K526" s="677" t="s">
        <v>20</v>
      </c>
      <c r="L526" s="675" t="s">
        <v>49</v>
      </c>
      <c r="M526" s="679"/>
      <c r="N526" s="676"/>
      <c r="O526" s="675"/>
      <c r="P526" s="678"/>
      <c r="Q526" s="692"/>
    </row>
    <row r="527" spans="1:17">
      <c r="A527" s="93" t="s">
        <v>24</v>
      </c>
      <c r="B527" s="93" t="s">
        <v>85</v>
      </c>
      <c r="E527" s="93" t="s">
        <v>24</v>
      </c>
      <c r="F527" s="689" t="str">
        <f t="shared" si="54"/>
        <v>ライムシャワー</v>
      </c>
      <c r="G527" s="679" t="s">
        <v>823</v>
      </c>
      <c r="H527" s="690" t="str">
        <f t="shared" si="55"/>
        <v>H:\Taniku\ライムシャワー</v>
      </c>
      <c r="I527" s="679"/>
      <c r="J527" s="691"/>
      <c r="K527" s="675" t="s">
        <v>27</v>
      </c>
      <c r="L527" s="675" t="s">
        <v>110</v>
      </c>
      <c r="M527" s="679"/>
      <c r="N527" s="676" t="s">
        <v>259</v>
      </c>
      <c r="O527" s="675" t="s">
        <v>215</v>
      </c>
      <c r="P527" s="678" t="s">
        <v>246</v>
      </c>
      <c r="Q527" s="692"/>
    </row>
    <row r="528" spans="1:17">
      <c r="A528" s="443" t="s">
        <v>15</v>
      </c>
      <c r="B528" s="93" t="s">
        <v>21</v>
      </c>
      <c r="E528" s="93" t="s">
        <v>24</v>
      </c>
      <c r="F528" s="689" t="str">
        <f t="shared" si="54"/>
        <v>ラインベリーx静夜</v>
      </c>
      <c r="G528" s="679" t="s">
        <v>824</v>
      </c>
      <c r="H528" s="690" t="str">
        <f t="shared" si="55"/>
        <v>H:\Taniku\ラインベリーx静夜</v>
      </c>
      <c r="I528" s="679"/>
      <c r="J528" s="691"/>
      <c r="K528" s="675" t="s">
        <v>27</v>
      </c>
      <c r="L528" s="675" t="s">
        <v>116</v>
      </c>
      <c r="M528" s="679"/>
      <c r="N528" s="676" t="s">
        <v>825</v>
      </c>
      <c r="O528" s="675" t="s">
        <v>163</v>
      </c>
      <c r="P528" s="678" t="s">
        <v>302</v>
      </c>
      <c r="Q528" s="692"/>
    </row>
    <row r="529" spans="1:17">
      <c r="A529" s="93" t="s">
        <v>24</v>
      </c>
      <c r="B529" s="93" t="s">
        <v>21</v>
      </c>
      <c r="C529" s="93" t="s">
        <v>24</v>
      </c>
      <c r="E529" s="93" t="s">
        <v>24</v>
      </c>
      <c r="F529" s="689" t="str">
        <f t="shared" si="54"/>
        <v>ラウ065</v>
      </c>
      <c r="G529" s="679" t="s">
        <v>430</v>
      </c>
      <c r="H529" s="690" t="str">
        <f t="shared" si="55"/>
        <v>H:\Taniku\ラウ065</v>
      </c>
      <c r="I529" s="679"/>
      <c r="J529" s="691"/>
      <c r="K529" s="675" t="s">
        <v>27</v>
      </c>
      <c r="L529" s="675" t="s">
        <v>677</v>
      </c>
      <c r="M529" s="679"/>
      <c r="N529" s="676" t="s">
        <v>268</v>
      </c>
      <c r="O529" s="675" t="s">
        <v>231</v>
      </c>
      <c r="P529" s="678" t="s">
        <v>826</v>
      </c>
      <c r="Q529" s="692"/>
    </row>
    <row r="530" spans="1:17">
      <c r="A530" s="93" t="s">
        <v>24</v>
      </c>
      <c r="B530" s="93" t="s">
        <v>21</v>
      </c>
      <c r="C530" s="93" t="s">
        <v>24</v>
      </c>
      <c r="E530" s="93" t="s">
        <v>24</v>
      </c>
      <c r="F530" s="689" t="str">
        <f t="shared" si="54"/>
        <v>ラウイ</v>
      </c>
      <c r="G530" s="1002" t="s">
        <v>237</v>
      </c>
      <c r="H530" s="690" t="str">
        <f t="shared" si="55"/>
        <v>H:\Taniku\ラウイ</v>
      </c>
      <c r="I530" s="1002"/>
      <c r="J530" s="1003"/>
      <c r="K530" s="677" t="s">
        <v>23</v>
      </c>
      <c r="L530" s="675" t="s">
        <v>827</v>
      </c>
      <c r="M530" s="1002"/>
      <c r="N530" s="676"/>
      <c r="O530" s="677"/>
      <c r="P530" s="678"/>
      <c r="Q530" s="692"/>
    </row>
    <row r="531" spans="1:17">
      <c r="A531" s="443" t="s">
        <v>15</v>
      </c>
      <c r="B531" s="93" t="s">
        <v>21</v>
      </c>
      <c r="E531" s="93" t="s">
        <v>24</v>
      </c>
      <c r="F531" s="689" t="str">
        <f t="shared" si="54"/>
        <v>ラウイxメキシカンジャイアント</v>
      </c>
      <c r="G531" s="1002" t="s">
        <v>828</v>
      </c>
      <c r="H531" s="690" t="str">
        <f t="shared" si="55"/>
        <v>H:\Taniku\ラウイxメキシカンジャイアント</v>
      </c>
      <c r="I531" s="1002"/>
      <c r="J531" s="1003"/>
      <c r="K531" s="677" t="s">
        <v>23</v>
      </c>
      <c r="L531" s="675" t="s">
        <v>81</v>
      </c>
      <c r="M531" s="1002"/>
      <c r="N531" s="676" t="s">
        <v>237</v>
      </c>
      <c r="O531" s="677" t="s">
        <v>163</v>
      </c>
      <c r="P531" s="678" t="s">
        <v>789</v>
      </c>
      <c r="Q531" s="692"/>
    </row>
    <row r="532" spans="1:17">
      <c r="A532" s="93" t="s">
        <v>24</v>
      </c>
      <c r="B532" s="93" t="s">
        <v>21</v>
      </c>
      <c r="E532" s="93" t="s">
        <v>24</v>
      </c>
      <c r="F532" s="689" t="str">
        <f t="shared" si="54"/>
        <v>ラウトップ</v>
      </c>
      <c r="G532" s="679" t="s">
        <v>829</v>
      </c>
      <c r="H532" s="690" t="str">
        <f t="shared" si="55"/>
        <v>H:\Taniku\ラウトップ</v>
      </c>
      <c r="I532" s="679"/>
      <c r="J532" s="691"/>
      <c r="K532" s="675" t="s">
        <v>27</v>
      </c>
      <c r="L532" s="675" t="s">
        <v>44</v>
      </c>
      <c r="M532" s="679"/>
      <c r="N532" s="676"/>
      <c r="O532" s="675"/>
      <c r="P532" s="678"/>
      <c r="Q532" s="692"/>
    </row>
    <row r="533" spans="1:17">
      <c r="A533" s="93" t="s">
        <v>24</v>
      </c>
      <c r="B533" s="93" t="s">
        <v>21</v>
      </c>
      <c r="E533" s="93" t="s">
        <v>24</v>
      </c>
      <c r="F533" s="689" t="str">
        <f t="shared" si="54"/>
        <v>ラウリンゼ</v>
      </c>
      <c r="G533" s="679" t="s">
        <v>166</v>
      </c>
      <c r="H533" s="690" t="str">
        <f t="shared" si="55"/>
        <v>H:\Taniku\ラウリンゼ</v>
      </c>
      <c r="I533" s="679"/>
      <c r="J533" s="691"/>
      <c r="K533" s="675" t="s">
        <v>27</v>
      </c>
      <c r="L533" s="675" t="s">
        <v>108</v>
      </c>
      <c r="M533" s="679"/>
      <c r="N533" s="676" t="s">
        <v>237</v>
      </c>
      <c r="O533" s="675" t="s">
        <v>163</v>
      </c>
      <c r="P533" s="678" t="s">
        <v>169</v>
      </c>
      <c r="Q533" s="692"/>
    </row>
    <row r="534" spans="1:17">
      <c r="A534" s="443" t="s">
        <v>15</v>
      </c>
      <c r="B534" s="93" t="s">
        <v>21</v>
      </c>
      <c r="E534" s="93" t="s">
        <v>24</v>
      </c>
      <c r="F534" s="689" t="str">
        <f t="shared" si="54"/>
        <v>ラウリンゼxシムランスブステマンテ</v>
      </c>
      <c r="G534" s="1002" t="s">
        <v>830</v>
      </c>
      <c r="H534" s="690" t="str">
        <f t="shared" si="55"/>
        <v>H:\Taniku\ラウリンゼxシムランスブステマンテ</v>
      </c>
      <c r="I534" s="1002"/>
      <c r="J534" s="1003"/>
      <c r="K534" s="675" t="s">
        <v>27</v>
      </c>
      <c r="L534" s="675" t="s">
        <v>44</v>
      </c>
      <c r="M534" s="1002"/>
      <c r="N534" s="676" t="s">
        <v>166</v>
      </c>
      <c r="O534" s="677" t="s">
        <v>163</v>
      </c>
      <c r="P534" s="678" t="s">
        <v>831</v>
      </c>
      <c r="Q534" s="692"/>
    </row>
    <row r="535" spans="1:17">
      <c r="A535" s="93" t="s">
        <v>342</v>
      </c>
      <c r="B535" s="93" t="s">
        <v>21</v>
      </c>
      <c r="F535" s="693" t="str">
        <f t="shared" si="54"/>
        <v>ラウリンゼxプリドニス</v>
      </c>
      <c r="G535" s="1002" t="s">
        <v>832</v>
      </c>
      <c r="H535" s="690" t="str">
        <f>CONCATENATE("H:\Taniku\","麈★ ",G535)</f>
        <v>H:\Taniku\麈★ ラウリンゼxプリドニス</v>
      </c>
      <c r="I535" s="1002"/>
      <c r="J535" s="1003"/>
      <c r="K535" s="675" t="s">
        <v>27</v>
      </c>
      <c r="L535" s="675" t="s">
        <v>118</v>
      </c>
      <c r="M535" s="1002"/>
      <c r="N535" s="676" t="s">
        <v>166</v>
      </c>
      <c r="O535" s="677" t="s">
        <v>163</v>
      </c>
      <c r="P535" s="678" t="s">
        <v>833</v>
      </c>
      <c r="Q535" s="692"/>
    </row>
    <row r="536" spans="1:17">
      <c r="A536" s="93" t="s">
        <v>24</v>
      </c>
      <c r="B536" s="93" t="s">
        <v>21</v>
      </c>
      <c r="E536" s="93" t="s">
        <v>24</v>
      </c>
      <c r="F536" s="689" t="str">
        <f t="shared" si="54"/>
        <v>ラズベリーアイス(K)</v>
      </c>
      <c r="G536" s="1002" t="s">
        <v>834</v>
      </c>
      <c r="H536" s="690" t="str">
        <f>CONCATENATE("H:\Taniku\",G536)</f>
        <v>H:\Taniku\ラズベリーアイス(K)</v>
      </c>
      <c r="I536" s="1002"/>
      <c r="J536" s="1003"/>
      <c r="K536" s="677" t="s">
        <v>20</v>
      </c>
      <c r="L536" s="675" t="s">
        <v>45</v>
      </c>
      <c r="M536" s="1002"/>
      <c r="N536" s="676"/>
      <c r="O536" s="677"/>
      <c r="P536" s="678"/>
      <c r="Q536" s="692"/>
    </row>
    <row r="537" spans="1:17">
      <c r="A537" s="443" t="s">
        <v>15</v>
      </c>
      <c r="B537" s="93" t="s">
        <v>21</v>
      </c>
      <c r="E537" s="93" t="s">
        <v>24</v>
      </c>
      <c r="F537" s="689" t="str">
        <f t="shared" si="54"/>
        <v>ラパスxプリドニス</v>
      </c>
      <c r="G537" s="1002" t="s">
        <v>835</v>
      </c>
      <c r="H537" s="690" t="str">
        <f>CONCATENATE("H:\Taniku\",G537)</f>
        <v>H:\Taniku\ラパスxプリドニス</v>
      </c>
      <c r="I537" s="1002"/>
      <c r="J537" s="1003"/>
      <c r="K537" s="677" t="s">
        <v>23</v>
      </c>
      <c r="L537" s="675" t="s">
        <v>55</v>
      </c>
      <c r="M537" s="1002"/>
      <c r="N537" s="676" t="s">
        <v>836</v>
      </c>
      <c r="O537" s="677" t="s">
        <v>163</v>
      </c>
      <c r="P537" s="678" t="s">
        <v>248</v>
      </c>
      <c r="Q537" s="692"/>
    </row>
    <row r="538" spans="1:17">
      <c r="A538" s="93" t="s">
        <v>24</v>
      </c>
      <c r="B538" s="93" t="s">
        <v>744</v>
      </c>
      <c r="E538" s="93" t="s">
        <v>24</v>
      </c>
      <c r="F538" s="689" t="str">
        <f t="shared" si="54"/>
        <v>ラブハート</v>
      </c>
      <c r="G538" s="1002" t="s">
        <v>837</v>
      </c>
      <c r="H538" s="690" t="str">
        <f>CONCATENATE("H:\Taniku\",G538)</f>
        <v>H:\Taniku\ラブハート</v>
      </c>
      <c r="I538" s="1002"/>
      <c r="J538" s="1003"/>
      <c r="K538" s="677" t="s">
        <v>20</v>
      </c>
      <c r="L538" s="675" t="s">
        <v>49</v>
      </c>
      <c r="M538" s="1002"/>
      <c r="N538" s="676" t="s">
        <v>745</v>
      </c>
      <c r="O538" s="677" t="s">
        <v>215</v>
      </c>
      <c r="P538" s="678" t="s">
        <v>838</v>
      </c>
      <c r="Q538" s="692"/>
    </row>
    <row r="539" spans="1:17">
      <c r="A539" s="93" t="s">
        <v>24</v>
      </c>
      <c r="B539" s="93" t="s">
        <v>21</v>
      </c>
      <c r="E539" s="93" t="s">
        <v>24</v>
      </c>
      <c r="F539" s="693" t="str">
        <f t="shared" si="54"/>
        <v>ラブリーローズ錦</v>
      </c>
      <c r="G539" s="1002" t="s">
        <v>839</v>
      </c>
      <c r="H539" s="690" t="str">
        <f>CONCATENATE("H:\Taniku\",G539)</f>
        <v>H:\Taniku\ラブリーローズ錦</v>
      </c>
      <c r="I539" s="1002"/>
      <c r="J539" s="1003"/>
      <c r="K539" s="677" t="s">
        <v>23</v>
      </c>
      <c r="L539" s="675" t="s">
        <v>55</v>
      </c>
      <c r="M539" s="1002"/>
      <c r="N539" s="676"/>
      <c r="O539" s="677"/>
      <c r="P539" s="678"/>
      <c r="Q539" s="692"/>
    </row>
    <row r="540" spans="1:17" ht="14" thickBot="1">
      <c r="A540" s="93" t="s">
        <v>24</v>
      </c>
      <c r="B540" s="93" t="s">
        <v>21</v>
      </c>
      <c r="E540" s="93" t="s">
        <v>24</v>
      </c>
      <c r="F540" s="694" t="str">
        <f t="shared" si="54"/>
        <v>ラブリーローズ</v>
      </c>
      <c r="G540" s="1004" t="s">
        <v>840</v>
      </c>
      <c r="H540" s="696" t="str">
        <f>CONCATENATE("H:\Taniku\",G540)</f>
        <v>H:\Taniku\ラブリーローズ</v>
      </c>
      <c r="I540" s="1002"/>
      <c r="J540" s="1005"/>
      <c r="K540" s="700" t="s">
        <v>260</v>
      </c>
      <c r="L540" s="698" t="s">
        <v>841</v>
      </c>
      <c r="M540" s="1004"/>
      <c r="N540" s="699"/>
      <c r="O540" s="700"/>
      <c r="P540" s="701"/>
      <c r="Q540" s="702"/>
    </row>
    <row r="541" spans="1:17" ht="14" thickTop="1">
      <c r="B541" s="262" t="s">
        <v>12</v>
      </c>
      <c r="C541" s="262" t="s">
        <v>12</v>
      </c>
      <c r="D541" s="262"/>
      <c r="E541" s="262" t="s">
        <v>12</v>
      </c>
      <c r="F541" s="679"/>
      <c r="G541" s="679"/>
      <c r="H541" s="675"/>
      <c r="I541" s="679"/>
      <c r="J541" s="675"/>
      <c r="K541" s="675"/>
      <c r="L541" s="675"/>
      <c r="M541" s="679"/>
      <c r="N541" s="676"/>
      <c r="O541" s="675"/>
      <c r="P541" s="678"/>
      <c r="Q541" s="679"/>
    </row>
    <row r="542" spans="1:17" ht="16.5" thickBot="1">
      <c r="B542" s="262" t="s">
        <v>12</v>
      </c>
      <c r="C542" s="262" t="s">
        <v>12</v>
      </c>
      <c r="D542" s="262"/>
      <c r="E542" s="262" t="s">
        <v>12</v>
      </c>
      <c r="F542" s="703" t="s">
        <v>842</v>
      </c>
      <c r="G542" s="703"/>
      <c r="H542" s="675"/>
      <c r="I542" s="703"/>
      <c r="J542" s="675"/>
      <c r="K542" s="675"/>
      <c r="L542" s="675"/>
      <c r="M542" s="703"/>
      <c r="N542" s="676"/>
      <c r="O542" s="911"/>
      <c r="P542" s="678"/>
      <c r="Q542" s="679"/>
    </row>
    <row r="543" spans="1:17" ht="14" thickTop="1">
      <c r="A543" s="93" t="s">
        <v>24</v>
      </c>
      <c r="B543" s="93" t="s">
        <v>28</v>
      </c>
      <c r="E543" s="93" t="s">
        <v>24</v>
      </c>
      <c r="F543" s="912" t="str">
        <f>HYPERLINK(H543,G543)</f>
        <v>リザード</v>
      </c>
      <c r="G543" s="1006" t="s">
        <v>843</v>
      </c>
      <c r="H543" s="914" t="str">
        <f>CONCATENATE("H:\Taniku\",G543)</f>
        <v>H:\Taniku\リザード</v>
      </c>
      <c r="I543" s="1002"/>
      <c r="J543" s="1007"/>
      <c r="K543" s="1008" t="s">
        <v>30</v>
      </c>
      <c r="L543" s="916" t="s">
        <v>133</v>
      </c>
      <c r="M543" s="1006"/>
      <c r="N543" s="917" t="s">
        <v>844</v>
      </c>
      <c r="O543" s="1008" t="s">
        <v>215</v>
      </c>
      <c r="P543" s="918" t="s">
        <v>845</v>
      </c>
      <c r="Q543" s="919"/>
    </row>
    <row r="544" spans="1:17">
      <c r="A544" s="93" t="s">
        <v>24</v>
      </c>
      <c r="B544" s="93" t="s">
        <v>28</v>
      </c>
      <c r="E544" s="93" t="s">
        <v>24</v>
      </c>
      <c r="F544" s="924" t="str">
        <f>HYPERLINK(H544,G544)</f>
        <v>リトルビューティー</v>
      </c>
      <c r="G544" s="1002" t="s">
        <v>846</v>
      </c>
      <c r="H544" s="921" t="str">
        <f>CONCATENATE("H:\Taniku\",G544)</f>
        <v>H:\Taniku\リトルビューティー</v>
      </c>
      <c r="I544" s="1002"/>
      <c r="J544" s="1009"/>
      <c r="K544" s="675" t="s">
        <v>27</v>
      </c>
      <c r="L544" s="675" t="s">
        <v>847</v>
      </c>
      <c r="M544" s="1002"/>
      <c r="N544" s="676"/>
      <c r="O544" s="677"/>
      <c r="P544" s="678"/>
      <c r="Q544" s="923"/>
    </row>
    <row r="545" spans="1:17">
      <c r="A545" s="93" t="s">
        <v>24</v>
      </c>
      <c r="B545" s="93" t="s">
        <v>28</v>
      </c>
      <c r="E545" s="93" t="s">
        <v>24</v>
      </c>
      <c r="F545" s="920" t="str">
        <f>HYPERLINK(H545,G545)</f>
        <v>リトルミッシー</v>
      </c>
      <c r="G545" s="1002" t="s">
        <v>848</v>
      </c>
      <c r="H545" s="921" t="str">
        <f>CONCATENATE("H:\Taniku\",G545)</f>
        <v>H:\Taniku\リトルミッシー</v>
      </c>
      <c r="I545" s="1002"/>
      <c r="J545" s="1009"/>
      <c r="K545" s="677" t="s">
        <v>27</v>
      </c>
      <c r="L545" s="675" t="s">
        <v>112</v>
      </c>
      <c r="M545" s="1002"/>
      <c r="N545" s="676"/>
      <c r="O545" s="677"/>
      <c r="P545" s="678"/>
      <c r="Q545" s="923"/>
    </row>
    <row r="546" spans="1:17">
      <c r="A546" s="93" t="s">
        <v>24</v>
      </c>
      <c r="B546" s="93" t="s">
        <v>21</v>
      </c>
      <c r="C546" s="93" t="s">
        <v>24</v>
      </c>
      <c r="E546" s="93" t="s">
        <v>24</v>
      </c>
      <c r="F546" s="920" t="str">
        <f>HYPERLINK(H546,G546)</f>
        <v>リラシナ</v>
      </c>
      <c r="G546" s="1002" t="s">
        <v>196</v>
      </c>
      <c r="H546" s="921" t="str">
        <f>CONCATENATE("H:\Taniku\",G546)</f>
        <v>H:\Taniku\リラシナ</v>
      </c>
      <c r="I546" s="1002"/>
      <c r="J546" s="1009"/>
      <c r="K546" s="675" t="s">
        <v>27</v>
      </c>
      <c r="L546" s="675" t="s">
        <v>108</v>
      </c>
      <c r="M546" s="1002"/>
      <c r="N546" s="676"/>
      <c r="O546" s="677"/>
      <c r="P546" s="678"/>
      <c r="Q546" s="923"/>
    </row>
    <row r="547" spans="1:17" ht="14" thickBot="1">
      <c r="A547" s="93" t="s">
        <v>24</v>
      </c>
      <c r="B547" s="93" t="s">
        <v>21</v>
      </c>
      <c r="E547" s="93" t="s">
        <v>24</v>
      </c>
      <c r="F547" s="925" t="str">
        <f>HYPERLINK(H547,G547)</f>
        <v>リンゼアナ</v>
      </c>
      <c r="G547" s="1010" t="s">
        <v>169</v>
      </c>
      <c r="H547" s="927" t="str">
        <f>CONCATENATE("H:\Taniku\",G547)</f>
        <v>H:\Taniku\リンゼアナ</v>
      </c>
      <c r="I547" s="1002"/>
      <c r="J547" s="1011" t="s">
        <v>849</v>
      </c>
      <c r="K547" s="1012" t="s">
        <v>23</v>
      </c>
      <c r="L547" s="929" t="s">
        <v>850</v>
      </c>
      <c r="M547" s="1010"/>
      <c r="N547" s="930"/>
      <c r="O547" s="1012"/>
      <c r="P547" s="931"/>
      <c r="Q547" s="932"/>
    </row>
    <row r="548" spans="1:17" ht="14" thickTop="1">
      <c r="B548" s="262" t="s">
        <v>12</v>
      </c>
      <c r="C548" s="262" t="s">
        <v>12</v>
      </c>
      <c r="D548" s="262"/>
      <c r="E548" s="262" t="s">
        <v>12</v>
      </c>
      <c r="F548" s="679"/>
      <c r="G548" s="679"/>
      <c r="H548" s="675"/>
      <c r="I548" s="679"/>
      <c r="J548" s="675"/>
      <c r="K548" s="675"/>
      <c r="L548" s="675"/>
      <c r="M548" s="679"/>
      <c r="N548" s="676"/>
      <c r="O548" s="675"/>
      <c r="P548" s="678"/>
      <c r="Q548" s="679"/>
    </row>
    <row r="549" spans="1:17" ht="16.5" thickBot="1">
      <c r="B549" s="262" t="s">
        <v>12</v>
      </c>
      <c r="C549" s="262" t="s">
        <v>12</v>
      </c>
      <c r="D549" s="262"/>
      <c r="E549" s="262" t="s">
        <v>12</v>
      </c>
      <c r="F549" s="724" t="s">
        <v>851</v>
      </c>
      <c r="G549" s="724"/>
      <c r="H549" s="675"/>
      <c r="I549" s="724"/>
      <c r="J549" s="675"/>
      <c r="K549" s="675"/>
      <c r="L549" s="675"/>
      <c r="M549" s="724"/>
      <c r="N549" s="676"/>
      <c r="O549" s="933"/>
      <c r="P549" s="678"/>
      <c r="Q549" s="679"/>
    </row>
    <row r="550" spans="1:17" ht="14" thickTop="1">
      <c r="A550" s="93" t="s">
        <v>24</v>
      </c>
      <c r="B550" s="93" t="s">
        <v>21</v>
      </c>
      <c r="E550" s="93" t="s">
        <v>24</v>
      </c>
      <c r="F550" s="725" t="str">
        <f t="shared" ref="F550:F560" si="56">HYPERLINK(H550,G550)</f>
        <v>ルエラ</v>
      </c>
      <c r="G550" s="726" t="s">
        <v>852</v>
      </c>
      <c r="H550" s="727" t="str">
        <f t="shared" ref="H550:H560" si="57">CONCATENATE("H:\Taniku\",G550)</f>
        <v>H:\Taniku\ルエラ</v>
      </c>
      <c r="I550" s="679"/>
      <c r="J550" s="728"/>
      <c r="K550" s="729" t="s">
        <v>643</v>
      </c>
      <c r="L550" s="729" t="s">
        <v>853</v>
      </c>
      <c r="M550" s="726"/>
      <c r="N550" s="730"/>
      <c r="O550" s="729"/>
      <c r="P550" s="732"/>
      <c r="Q550" s="733"/>
    </row>
    <row r="551" spans="1:17">
      <c r="A551" s="93" t="s">
        <v>24</v>
      </c>
      <c r="B551" s="93" t="s">
        <v>21</v>
      </c>
      <c r="E551" s="93" t="s">
        <v>24</v>
      </c>
      <c r="F551" s="734" t="str">
        <f t="shared" si="56"/>
        <v>ルッツ</v>
      </c>
      <c r="G551" s="679" t="s">
        <v>854</v>
      </c>
      <c r="H551" s="735" t="str">
        <f t="shared" si="57"/>
        <v>H:\Taniku\ルッツ</v>
      </c>
      <c r="I551" s="679"/>
      <c r="J551" s="736"/>
      <c r="K551" s="675" t="s">
        <v>27</v>
      </c>
      <c r="L551" s="675" t="s">
        <v>44</v>
      </c>
      <c r="M551" s="679"/>
      <c r="N551" s="676"/>
      <c r="O551" s="675"/>
      <c r="P551" s="678"/>
      <c r="Q551" s="737"/>
    </row>
    <row r="552" spans="1:17">
      <c r="A552" s="93" t="s">
        <v>342</v>
      </c>
      <c r="B552" s="93" t="s">
        <v>21</v>
      </c>
      <c r="E552" s="93" t="s">
        <v>24</v>
      </c>
      <c r="F552" s="734" t="str">
        <f t="shared" si="56"/>
        <v>ルノーディーン</v>
      </c>
      <c r="G552" s="679" t="s">
        <v>855</v>
      </c>
      <c r="H552" s="735" t="str">
        <f t="shared" si="57"/>
        <v>H:\Taniku\ルノーディーン</v>
      </c>
      <c r="I552" s="679"/>
      <c r="J552" s="736"/>
      <c r="K552" s="675" t="s">
        <v>260</v>
      </c>
      <c r="L552" s="675" t="s">
        <v>856</v>
      </c>
      <c r="M552" s="679"/>
      <c r="N552" s="676"/>
      <c r="O552" s="675"/>
      <c r="P552" s="678"/>
      <c r="Q552" s="737"/>
    </row>
    <row r="553" spans="1:17">
      <c r="A553" s="93" t="s">
        <v>24</v>
      </c>
      <c r="B553" s="93" t="s">
        <v>21</v>
      </c>
      <c r="E553" s="93" t="s">
        <v>24</v>
      </c>
      <c r="F553" s="734" t="str">
        <f t="shared" si="56"/>
        <v>ルビースター</v>
      </c>
      <c r="G553" s="679" t="s">
        <v>857</v>
      </c>
      <c r="H553" s="735" t="str">
        <f t="shared" si="57"/>
        <v>H:\Taniku\ルビースター</v>
      </c>
      <c r="I553" s="679"/>
      <c r="J553" s="736"/>
      <c r="K553" s="675" t="s">
        <v>23</v>
      </c>
      <c r="L553" s="675" t="s">
        <v>60</v>
      </c>
      <c r="M553" s="679"/>
      <c r="N553" s="676"/>
      <c r="O553" s="675"/>
      <c r="P553" s="678"/>
      <c r="Q553" s="737"/>
    </row>
    <row r="554" spans="1:17">
      <c r="A554" s="93" t="s">
        <v>24</v>
      </c>
      <c r="B554" s="93" t="s">
        <v>28</v>
      </c>
      <c r="E554" s="93" t="s">
        <v>24</v>
      </c>
      <c r="F554" s="734" t="str">
        <f t="shared" si="56"/>
        <v>ルビーティント</v>
      </c>
      <c r="G554" s="679" t="s">
        <v>858</v>
      </c>
      <c r="H554" s="735" t="str">
        <f t="shared" si="57"/>
        <v>H:\Taniku\ルビーティント</v>
      </c>
      <c r="I554" s="679"/>
      <c r="J554" s="736"/>
      <c r="K554" s="675" t="s">
        <v>27</v>
      </c>
      <c r="L554" s="675" t="s">
        <v>44</v>
      </c>
      <c r="M554" s="679"/>
      <c r="N554" s="676"/>
      <c r="O554" s="675"/>
      <c r="P554" s="678"/>
      <c r="Q554" s="737"/>
    </row>
    <row r="555" spans="1:17">
      <c r="A555" s="93" t="s">
        <v>24</v>
      </c>
      <c r="B555" s="93" t="s">
        <v>50</v>
      </c>
      <c r="E555" s="93" t="s">
        <v>24</v>
      </c>
      <c r="F555" s="734" t="str">
        <f t="shared" si="56"/>
        <v>ルビーネックレス</v>
      </c>
      <c r="G555" s="679" t="s">
        <v>859</v>
      </c>
      <c r="H555" s="735" t="str">
        <f t="shared" si="57"/>
        <v>H:\Taniku\ルビーネックレス</v>
      </c>
      <c r="I555" s="679"/>
      <c r="J555" s="736"/>
      <c r="K555" s="675" t="s">
        <v>27</v>
      </c>
      <c r="L555" s="675" t="s">
        <v>110</v>
      </c>
      <c r="M555" s="679"/>
      <c r="N555" s="676"/>
      <c r="O555" s="675"/>
      <c r="P555" s="678"/>
      <c r="Q555" s="737"/>
    </row>
    <row r="556" spans="1:17">
      <c r="A556" s="93" t="s">
        <v>24</v>
      </c>
      <c r="B556" s="93" t="s">
        <v>21</v>
      </c>
      <c r="D556" s="93" t="s">
        <v>24</v>
      </c>
      <c r="E556" s="93" t="s">
        <v>24</v>
      </c>
      <c r="F556" s="734" t="str">
        <f t="shared" si="56"/>
        <v>ルビーハイ</v>
      </c>
      <c r="G556" s="679" t="s">
        <v>860</v>
      </c>
      <c r="H556" s="735" t="str">
        <f t="shared" si="57"/>
        <v>H:\Taniku\ルビーハイ</v>
      </c>
      <c r="I556" s="679"/>
      <c r="J556" s="736"/>
      <c r="K556" s="677" t="s">
        <v>23</v>
      </c>
      <c r="L556" s="675" t="s">
        <v>48</v>
      </c>
      <c r="M556" s="679"/>
      <c r="N556" s="676"/>
      <c r="O556" s="675"/>
      <c r="P556" s="678"/>
      <c r="Q556" s="737"/>
    </row>
    <row r="557" spans="1:17">
      <c r="A557" s="93" t="s">
        <v>24</v>
      </c>
      <c r="B557" s="93" t="s">
        <v>21</v>
      </c>
      <c r="E557" s="93" t="s">
        <v>24</v>
      </c>
      <c r="F557" s="734" t="str">
        <f t="shared" si="56"/>
        <v>ルブラ</v>
      </c>
      <c r="G557" s="679" t="s">
        <v>861</v>
      </c>
      <c r="H557" s="735" t="str">
        <f t="shared" si="57"/>
        <v>H:\Taniku\ルブラ</v>
      </c>
      <c r="I557" s="679"/>
      <c r="J557" s="736"/>
      <c r="K557" s="675" t="s">
        <v>27</v>
      </c>
      <c r="L557" s="675" t="s">
        <v>108</v>
      </c>
      <c r="M557" s="679"/>
      <c r="N557" s="676"/>
      <c r="O557" s="675"/>
      <c r="P557" s="678"/>
      <c r="Q557" s="737"/>
    </row>
    <row r="558" spans="1:17">
      <c r="A558" s="93" t="s">
        <v>24</v>
      </c>
      <c r="B558" s="93" t="s">
        <v>31</v>
      </c>
      <c r="E558" s="93" t="s">
        <v>24</v>
      </c>
      <c r="F558" s="734" t="str">
        <f t="shared" si="56"/>
        <v>ルペストリス錦</v>
      </c>
      <c r="G558" s="679" t="s">
        <v>862</v>
      </c>
      <c r="H558" s="735" t="str">
        <f t="shared" si="57"/>
        <v>H:\Taniku\ルペストリス錦</v>
      </c>
      <c r="I558" s="679"/>
      <c r="J558" s="736"/>
      <c r="K558" s="675" t="s">
        <v>27</v>
      </c>
      <c r="L558" s="675" t="s">
        <v>110</v>
      </c>
      <c r="M558" s="679"/>
      <c r="N558" s="676"/>
      <c r="O558" s="675"/>
      <c r="P558" s="678"/>
      <c r="Q558" s="737"/>
    </row>
    <row r="559" spans="1:17">
      <c r="A559" s="93" t="s">
        <v>24</v>
      </c>
      <c r="B559" s="93" t="s">
        <v>28</v>
      </c>
      <c r="E559" s="93" t="s">
        <v>24</v>
      </c>
      <c r="F559" s="734" t="str">
        <f t="shared" si="56"/>
        <v>ルペストリレアンジェリーナ</v>
      </c>
      <c r="G559" s="679" t="s">
        <v>863</v>
      </c>
      <c r="H559" s="735" t="str">
        <f t="shared" si="57"/>
        <v>H:\Taniku\ルペストリレアンジェリーナ</v>
      </c>
      <c r="I559" s="679"/>
      <c r="J559" s="736"/>
      <c r="K559" s="675" t="s">
        <v>27</v>
      </c>
      <c r="L559" s="675" t="s">
        <v>110</v>
      </c>
      <c r="M559" s="679"/>
      <c r="N559" s="676"/>
      <c r="O559" s="675"/>
      <c r="P559" s="678"/>
      <c r="Q559" s="737"/>
    </row>
    <row r="560" spans="1:17" ht="14" thickBot="1">
      <c r="A560" s="93" t="s">
        <v>24</v>
      </c>
      <c r="B560" s="93" t="s">
        <v>21</v>
      </c>
      <c r="C560" s="93" t="s">
        <v>24</v>
      </c>
      <c r="E560" s="93" t="s">
        <v>24</v>
      </c>
      <c r="F560" s="739" t="str">
        <f t="shared" si="56"/>
        <v>ルンヨニー</v>
      </c>
      <c r="G560" s="740" t="s">
        <v>209</v>
      </c>
      <c r="H560" s="741" t="str">
        <f t="shared" si="57"/>
        <v>H:\Taniku\ルンヨニー</v>
      </c>
      <c r="I560" s="679"/>
      <c r="J560" s="742"/>
      <c r="K560" s="743" t="s">
        <v>27</v>
      </c>
      <c r="L560" s="743" t="s">
        <v>116</v>
      </c>
      <c r="M560" s="740"/>
      <c r="N560" s="744"/>
      <c r="O560" s="743"/>
      <c r="P560" s="746"/>
      <c r="Q560" s="747"/>
    </row>
    <row r="561" spans="1:17" ht="14" thickTop="1">
      <c r="B561" s="262" t="s">
        <v>12</v>
      </c>
      <c r="C561" s="262" t="s">
        <v>12</v>
      </c>
      <c r="D561" s="262"/>
      <c r="E561" s="262" t="s">
        <v>12</v>
      </c>
      <c r="F561" s="679"/>
      <c r="G561" s="679"/>
      <c r="H561" s="675"/>
      <c r="I561" s="679"/>
      <c r="J561" s="675"/>
      <c r="K561" s="675"/>
      <c r="L561" s="675"/>
      <c r="M561" s="679"/>
      <c r="N561" s="676"/>
      <c r="O561" s="675"/>
      <c r="P561" s="678"/>
      <c r="Q561" s="679"/>
    </row>
    <row r="562" spans="1:17" ht="16.5" thickBot="1">
      <c r="B562" s="262" t="s">
        <v>12</v>
      </c>
      <c r="C562" s="262" t="s">
        <v>12</v>
      </c>
      <c r="D562" s="262"/>
      <c r="E562" s="262" t="s">
        <v>12</v>
      </c>
      <c r="F562" s="748" t="s">
        <v>864</v>
      </c>
      <c r="G562" s="748"/>
      <c r="H562" s="675"/>
      <c r="I562" s="748"/>
      <c r="J562" s="675"/>
      <c r="K562" s="675"/>
      <c r="L562" s="675"/>
      <c r="M562" s="748"/>
      <c r="N562" s="676"/>
      <c r="O562" s="934"/>
      <c r="P562" s="678"/>
      <c r="Q562" s="679"/>
    </row>
    <row r="563" spans="1:17" ht="14" thickTop="1">
      <c r="A563" s="93" t="s">
        <v>24</v>
      </c>
      <c r="B563" s="93" t="s">
        <v>21</v>
      </c>
      <c r="E563" s="93" t="s">
        <v>24</v>
      </c>
      <c r="F563" s="935" t="str">
        <f t="shared" ref="F563:F573" si="58">HYPERLINK(H563,G563)</f>
        <v>レインドロップス</v>
      </c>
      <c r="G563" s="750" t="s">
        <v>3387</v>
      </c>
      <c r="H563" s="751" t="str">
        <f t="shared" ref="H563:H573" si="59">CONCATENATE("H:\Taniku\",G563)</f>
        <v>H:\Taniku\レインドロップス</v>
      </c>
      <c r="I563" s="679"/>
      <c r="J563" s="752"/>
      <c r="K563" s="753" t="s">
        <v>30</v>
      </c>
      <c r="L563" s="753" t="s">
        <v>598</v>
      </c>
      <c r="M563" s="750"/>
      <c r="N563" s="754"/>
      <c r="O563" s="753"/>
      <c r="P563" s="756"/>
      <c r="Q563" s="757"/>
    </row>
    <row r="564" spans="1:17">
      <c r="A564" s="93" t="s">
        <v>24</v>
      </c>
      <c r="B564" s="93" t="s">
        <v>21</v>
      </c>
      <c r="E564" s="93" t="s">
        <v>24</v>
      </c>
      <c r="F564" s="758" t="str">
        <f t="shared" si="58"/>
        <v>レズリー</v>
      </c>
      <c r="G564" s="679" t="s">
        <v>865</v>
      </c>
      <c r="H564" s="759" t="str">
        <f t="shared" si="59"/>
        <v>H:\Taniku\レズリー</v>
      </c>
      <c r="I564" s="679"/>
      <c r="J564" s="760"/>
      <c r="K564" s="675" t="s">
        <v>30</v>
      </c>
      <c r="L564" s="675" t="s">
        <v>129</v>
      </c>
      <c r="M564" s="679"/>
      <c r="N564" s="676"/>
      <c r="O564" s="675"/>
      <c r="P564" s="678"/>
      <c r="Q564" s="761"/>
    </row>
    <row r="565" spans="1:17">
      <c r="A565" s="93" t="s">
        <v>24</v>
      </c>
      <c r="B565" s="93" t="s">
        <v>21</v>
      </c>
      <c r="D565" s="93" t="s">
        <v>24</v>
      </c>
      <c r="E565" s="93" t="s">
        <v>24</v>
      </c>
      <c r="F565" s="998" t="str">
        <f t="shared" si="58"/>
        <v>レッドエッグ</v>
      </c>
      <c r="G565" s="679" t="s">
        <v>866</v>
      </c>
      <c r="H565" s="759" t="str">
        <f t="shared" si="59"/>
        <v>H:\Taniku\レッドエッグ</v>
      </c>
      <c r="I565" s="679"/>
      <c r="J565" s="760"/>
      <c r="K565" s="675" t="s">
        <v>23</v>
      </c>
      <c r="L565" s="675" t="s">
        <v>48</v>
      </c>
      <c r="M565" s="679"/>
      <c r="N565" s="676"/>
      <c r="O565" s="675"/>
      <c r="P565" s="678"/>
      <c r="Q565" s="761"/>
    </row>
    <row r="566" spans="1:17">
      <c r="A566" s="443" t="s">
        <v>15</v>
      </c>
      <c r="B566" s="93" t="s">
        <v>21</v>
      </c>
      <c r="E566" s="93" t="s">
        <v>24</v>
      </c>
      <c r="F566" s="758" t="str">
        <f t="shared" si="58"/>
        <v>レッドエボニーxコンプレッシカウス</v>
      </c>
      <c r="G566" s="679" t="s">
        <v>867</v>
      </c>
      <c r="H566" s="759" t="str">
        <f t="shared" si="59"/>
        <v>H:\Taniku\レッドエボニーxコンプレッシカウス</v>
      </c>
      <c r="I566" s="679"/>
      <c r="J566" s="760"/>
      <c r="K566" s="675" t="s">
        <v>27</v>
      </c>
      <c r="L566" s="675" t="s">
        <v>114</v>
      </c>
      <c r="M566" s="679"/>
      <c r="N566" s="676"/>
      <c r="O566" s="675"/>
      <c r="P566" s="678"/>
      <c r="Q566" s="761"/>
    </row>
    <row r="567" spans="1:17">
      <c r="A567" s="93" t="s">
        <v>24</v>
      </c>
      <c r="B567" s="93" t="s">
        <v>21</v>
      </c>
      <c r="E567" s="93" t="s">
        <v>24</v>
      </c>
      <c r="F567" s="758" t="str">
        <f t="shared" si="58"/>
        <v>レッドキュー</v>
      </c>
      <c r="G567" s="679" t="s">
        <v>868</v>
      </c>
      <c r="H567" s="759" t="str">
        <f t="shared" si="59"/>
        <v>H:\Taniku\レッドキュー</v>
      </c>
      <c r="I567" s="679"/>
      <c r="J567" s="760" t="s">
        <v>869</v>
      </c>
      <c r="K567" s="675" t="s">
        <v>23</v>
      </c>
      <c r="L567" s="675" t="s">
        <v>81</v>
      </c>
      <c r="M567" s="679"/>
      <c r="N567" s="676"/>
      <c r="O567" s="675"/>
      <c r="P567" s="678"/>
      <c r="Q567" s="761"/>
    </row>
    <row r="568" spans="1:17">
      <c r="A568" s="93" t="s">
        <v>24</v>
      </c>
      <c r="B568" s="93" t="s">
        <v>28</v>
      </c>
      <c r="E568" s="93" t="s">
        <v>24</v>
      </c>
      <c r="F568" s="758" t="str">
        <f t="shared" si="58"/>
        <v>レッドベリー</v>
      </c>
      <c r="G568" s="679" t="s">
        <v>870</v>
      </c>
      <c r="H568" s="759" t="str">
        <f t="shared" si="59"/>
        <v>H:\Taniku\レッドベリー</v>
      </c>
      <c r="I568" s="679"/>
      <c r="J568" s="760"/>
      <c r="K568" s="675" t="s">
        <v>27</v>
      </c>
      <c r="L568" s="675" t="s">
        <v>871</v>
      </c>
      <c r="M568" s="679"/>
      <c r="N568" s="676"/>
      <c r="O568" s="675"/>
      <c r="P568" s="678"/>
      <c r="Q568" s="761"/>
    </row>
    <row r="569" spans="1:17">
      <c r="A569" s="93" t="s">
        <v>180</v>
      </c>
      <c r="B569" s="93" t="s">
        <v>21</v>
      </c>
      <c r="E569" s="93" t="s">
        <v>24</v>
      </c>
      <c r="F569" s="998" t="str">
        <f t="shared" si="58"/>
        <v>レッドベルベット</v>
      </c>
      <c r="G569" s="679" t="s">
        <v>872</v>
      </c>
      <c r="H569" s="759" t="str">
        <f t="shared" si="59"/>
        <v>H:\Taniku\レッドベルベット</v>
      </c>
      <c r="I569" s="679"/>
      <c r="J569" s="760"/>
      <c r="K569" s="675" t="s">
        <v>27</v>
      </c>
      <c r="L569" s="675" t="s">
        <v>106</v>
      </c>
      <c r="M569" s="679"/>
      <c r="N569" s="676"/>
      <c r="O569" s="675"/>
      <c r="P569" s="678"/>
      <c r="Q569" s="761"/>
    </row>
    <row r="570" spans="1:17">
      <c r="A570" s="93" t="s">
        <v>24</v>
      </c>
      <c r="B570" s="93" t="s">
        <v>21</v>
      </c>
      <c r="E570" s="93" t="s">
        <v>24</v>
      </c>
      <c r="F570" s="758" t="str">
        <f t="shared" si="58"/>
        <v>レッドモラン</v>
      </c>
      <c r="G570" s="679" t="s">
        <v>873</v>
      </c>
      <c r="H570" s="759" t="str">
        <f t="shared" si="59"/>
        <v>H:\Taniku\レッドモラン</v>
      </c>
      <c r="I570" s="679"/>
      <c r="J570" s="760"/>
      <c r="K570" s="675" t="s">
        <v>27</v>
      </c>
      <c r="L570" s="675" t="s">
        <v>106</v>
      </c>
      <c r="M570" s="679"/>
      <c r="N570" s="676"/>
      <c r="O570" s="675"/>
      <c r="P570" s="678"/>
      <c r="Q570" s="761"/>
    </row>
    <row r="571" spans="1:17">
      <c r="A571" s="93" t="s">
        <v>24</v>
      </c>
      <c r="B571" s="93" t="s">
        <v>39</v>
      </c>
      <c r="E571" s="93" t="s">
        <v>24</v>
      </c>
      <c r="F571" s="758" t="str">
        <f t="shared" si="58"/>
        <v>レディジア</v>
      </c>
      <c r="G571" s="679" t="s">
        <v>874</v>
      </c>
      <c r="H571" s="759" t="str">
        <f t="shared" si="59"/>
        <v>H:\Taniku\レディジア</v>
      </c>
      <c r="I571" s="679"/>
      <c r="J571" s="760"/>
      <c r="K571" s="675" t="s">
        <v>30</v>
      </c>
      <c r="L571" s="675" t="s">
        <v>129</v>
      </c>
      <c r="M571" s="679"/>
      <c r="N571" s="676"/>
      <c r="O571" s="675"/>
      <c r="P571" s="678"/>
      <c r="Q571" s="761"/>
    </row>
    <row r="572" spans="1:17">
      <c r="A572" s="93" t="s">
        <v>24</v>
      </c>
      <c r="B572" s="93" t="s">
        <v>79</v>
      </c>
      <c r="E572" s="93" t="s">
        <v>24</v>
      </c>
      <c r="F572" s="758" t="str">
        <f t="shared" si="58"/>
        <v>レディーハート</v>
      </c>
      <c r="G572" s="679" t="s">
        <v>875</v>
      </c>
      <c r="H572" s="759" t="str">
        <f t="shared" si="59"/>
        <v>H:\Taniku\レディーハート</v>
      </c>
      <c r="I572" s="679"/>
      <c r="J572" s="760"/>
      <c r="K572" s="675" t="s">
        <v>27</v>
      </c>
      <c r="L572" s="675" t="s">
        <v>876</v>
      </c>
      <c r="M572" s="679"/>
      <c r="N572" s="676" t="s">
        <v>586</v>
      </c>
      <c r="O572" s="675" t="s">
        <v>215</v>
      </c>
      <c r="P572" s="678" t="s">
        <v>246</v>
      </c>
      <c r="Q572" s="761"/>
    </row>
    <row r="573" spans="1:17" ht="14" thickBot="1">
      <c r="A573" s="93" t="s">
        <v>24</v>
      </c>
      <c r="B573" s="93" t="s">
        <v>31</v>
      </c>
      <c r="E573" s="93" t="s">
        <v>24</v>
      </c>
      <c r="F573" s="762" t="str">
        <f t="shared" si="58"/>
        <v>レモータ</v>
      </c>
      <c r="G573" s="763" t="s">
        <v>877</v>
      </c>
      <c r="H573" s="764" t="str">
        <f t="shared" si="59"/>
        <v>H:\Taniku\レモータ</v>
      </c>
      <c r="I573" s="679"/>
      <c r="J573" s="765"/>
      <c r="K573" s="766" t="s">
        <v>27</v>
      </c>
      <c r="L573" s="766" t="s">
        <v>878</v>
      </c>
      <c r="M573" s="763"/>
      <c r="N573" s="767"/>
      <c r="O573" s="766"/>
      <c r="P573" s="769"/>
      <c r="Q573" s="770"/>
    </row>
    <row r="574" spans="1:17" ht="14" thickTop="1">
      <c r="B574" s="262" t="s">
        <v>12</v>
      </c>
      <c r="C574" s="262" t="s">
        <v>12</v>
      </c>
      <c r="D574" s="262"/>
      <c r="E574" s="262" t="s">
        <v>12</v>
      </c>
      <c r="F574" s="679"/>
      <c r="G574" s="679"/>
      <c r="H574" s="675"/>
      <c r="I574" s="679"/>
      <c r="J574" s="675"/>
      <c r="K574" s="675"/>
      <c r="L574" s="675"/>
      <c r="M574" s="679"/>
      <c r="N574" s="676"/>
      <c r="O574" s="675"/>
      <c r="P574" s="678"/>
      <c r="Q574" s="679"/>
    </row>
    <row r="575" spans="1:17" ht="16.5" thickBot="1">
      <c r="B575" s="262" t="s">
        <v>12</v>
      </c>
      <c r="C575" s="262" t="s">
        <v>12</v>
      </c>
      <c r="D575" s="262"/>
      <c r="E575" s="262" t="s">
        <v>12</v>
      </c>
      <c r="F575" s="771" t="s">
        <v>879</v>
      </c>
      <c r="G575" s="771"/>
      <c r="H575" s="675"/>
      <c r="I575" s="771"/>
      <c r="J575" s="675"/>
      <c r="K575" s="675"/>
      <c r="L575" s="675"/>
      <c r="M575" s="771"/>
      <c r="N575" s="676"/>
      <c r="O575" s="936"/>
      <c r="P575" s="678"/>
      <c r="Q575" s="679"/>
    </row>
    <row r="576" spans="1:17" ht="14" thickTop="1">
      <c r="A576" s="93" t="s">
        <v>24</v>
      </c>
      <c r="B576" s="93" t="s">
        <v>94</v>
      </c>
      <c r="E576" s="93" t="s">
        <v>24</v>
      </c>
      <c r="F576" s="772" t="str">
        <f t="shared" ref="F576:F583" si="60">HYPERLINK(H576,G576)</f>
        <v>ローズセダム</v>
      </c>
      <c r="G576" s="773" t="s">
        <v>880</v>
      </c>
      <c r="H576" s="774" t="str">
        <f t="shared" ref="H576:H583" si="61">CONCATENATE("H:\Taniku\",G576)</f>
        <v>H:\Taniku\ローズセダム</v>
      </c>
      <c r="I576" s="679"/>
      <c r="J576" s="775"/>
      <c r="K576" s="776" t="s">
        <v>260</v>
      </c>
      <c r="L576" s="776" t="s">
        <v>881</v>
      </c>
      <c r="M576" s="773"/>
      <c r="N576" s="777"/>
      <c r="O576" s="776"/>
      <c r="P576" s="779"/>
      <c r="Q576" s="780"/>
    </row>
    <row r="577" spans="1:17">
      <c r="A577" s="93" t="s">
        <v>24</v>
      </c>
      <c r="B577" s="93" t="s">
        <v>31</v>
      </c>
      <c r="E577" s="93" t="s">
        <v>24</v>
      </c>
      <c r="F577" s="781" t="str">
        <f t="shared" si="60"/>
        <v>ロゲルシー</v>
      </c>
      <c r="G577" s="679" t="s">
        <v>882</v>
      </c>
      <c r="H577" s="782" t="str">
        <f t="shared" si="61"/>
        <v>H:\Taniku\ロゲルシー</v>
      </c>
      <c r="I577" s="679"/>
      <c r="J577" s="783"/>
      <c r="K577" s="675" t="s">
        <v>23</v>
      </c>
      <c r="L577" s="675" t="s">
        <v>63</v>
      </c>
      <c r="M577" s="679"/>
      <c r="N577" s="676"/>
      <c r="O577" s="675"/>
      <c r="P577" s="678"/>
      <c r="Q577" s="784"/>
    </row>
    <row r="578" spans="1:17">
      <c r="A578" s="93" t="s">
        <v>24</v>
      </c>
      <c r="B578" s="93" t="s">
        <v>34</v>
      </c>
      <c r="E578" s="93" t="s">
        <v>24</v>
      </c>
      <c r="F578" s="785" t="str">
        <f t="shared" si="60"/>
        <v>ロココ</v>
      </c>
      <c r="G578" s="679" t="s">
        <v>883</v>
      </c>
      <c r="H578" s="782" t="str">
        <f t="shared" si="61"/>
        <v>H:\Taniku\ロココ</v>
      </c>
      <c r="I578" s="679"/>
      <c r="J578" s="783"/>
      <c r="K578" s="675" t="s">
        <v>23</v>
      </c>
      <c r="L578" s="675" t="s">
        <v>60</v>
      </c>
      <c r="M578" s="679"/>
      <c r="N578" s="676"/>
      <c r="O578" s="675"/>
      <c r="P578" s="678"/>
      <c r="Q578" s="784"/>
    </row>
    <row r="579" spans="1:17">
      <c r="A579" s="93" t="s">
        <v>24</v>
      </c>
      <c r="B579" s="93" t="s">
        <v>31</v>
      </c>
      <c r="E579" s="93" t="s">
        <v>24</v>
      </c>
      <c r="F579" s="785" t="str">
        <f t="shared" si="60"/>
        <v>呂千絵</v>
      </c>
      <c r="G579" s="679" t="s">
        <v>884</v>
      </c>
      <c r="H579" s="782" t="str">
        <f t="shared" si="61"/>
        <v>H:\Taniku\呂千絵</v>
      </c>
      <c r="I579" s="679"/>
      <c r="J579" s="783"/>
      <c r="K579" s="677" t="s">
        <v>23</v>
      </c>
      <c r="L579" s="675" t="s">
        <v>63</v>
      </c>
      <c r="M579" s="679"/>
      <c r="N579" s="676" t="s">
        <v>885</v>
      </c>
      <c r="O579" s="675" t="s">
        <v>163</v>
      </c>
      <c r="P579" s="678" t="s">
        <v>886</v>
      </c>
      <c r="Q579" s="784"/>
    </row>
    <row r="580" spans="1:17">
      <c r="A580" s="443" t="s">
        <v>15</v>
      </c>
      <c r="B580" s="93" t="s">
        <v>21</v>
      </c>
      <c r="E580" s="93" t="s">
        <v>24</v>
      </c>
      <c r="F580" s="781" t="str">
        <f t="shared" si="60"/>
        <v>ロメオx月影</v>
      </c>
      <c r="G580" s="679" t="s">
        <v>887</v>
      </c>
      <c r="H580" s="782" t="str">
        <f t="shared" si="61"/>
        <v>H:\Taniku\ロメオx月影</v>
      </c>
      <c r="I580" s="679"/>
      <c r="J580" s="783"/>
      <c r="K580" s="677" t="s">
        <v>23</v>
      </c>
      <c r="L580" s="675" t="s">
        <v>55</v>
      </c>
      <c r="M580" s="679"/>
      <c r="N580" s="676"/>
      <c r="O580" s="675"/>
      <c r="P580" s="678"/>
      <c r="Q580" s="784"/>
    </row>
    <row r="581" spans="1:17">
      <c r="A581" s="93" t="s">
        <v>24</v>
      </c>
      <c r="B581" s="93" t="s">
        <v>21</v>
      </c>
      <c r="E581" s="93" t="s">
        <v>24</v>
      </c>
      <c r="F581" s="781" t="str">
        <f t="shared" si="60"/>
        <v>ロメオルビン</v>
      </c>
      <c r="G581" s="679" t="s">
        <v>888</v>
      </c>
      <c r="H581" s="782" t="str">
        <f t="shared" si="61"/>
        <v>H:\Taniku\ロメオルビン</v>
      </c>
      <c r="I581" s="679"/>
      <c r="J581" s="783"/>
      <c r="K581" s="677" t="s">
        <v>23</v>
      </c>
      <c r="L581" s="675" t="s">
        <v>87</v>
      </c>
      <c r="M581" s="679"/>
      <c r="N581" s="676"/>
      <c r="O581" s="675"/>
      <c r="P581" s="678"/>
      <c r="Q581" s="784"/>
    </row>
    <row r="582" spans="1:17">
      <c r="A582" s="443" t="s">
        <v>15</v>
      </c>
      <c r="B582" s="93" t="s">
        <v>21</v>
      </c>
      <c r="D582" s="93" t="s">
        <v>24</v>
      </c>
      <c r="E582" s="93" t="s">
        <v>24</v>
      </c>
      <c r="F582" s="785" t="str">
        <f t="shared" si="60"/>
        <v>ローラx沙羅姫牡丹</v>
      </c>
      <c r="G582" s="679" t="s">
        <v>889</v>
      </c>
      <c r="H582" s="782" t="str">
        <f t="shared" si="61"/>
        <v>H:\Taniku\ローラx沙羅姫牡丹</v>
      </c>
      <c r="I582" s="679"/>
      <c r="J582" s="783" t="s">
        <v>48</v>
      </c>
      <c r="K582" s="677" t="s">
        <v>23</v>
      </c>
      <c r="L582" s="675" t="s">
        <v>48</v>
      </c>
      <c r="M582" s="679"/>
      <c r="N582" s="676"/>
      <c r="O582" s="675"/>
      <c r="P582" s="678"/>
      <c r="Q582" s="784"/>
    </row>
    <row r="583" spans="1:17" ht="14" thickBot="1">
      <c r="A583" s="93" t="s">
        <v>24</v>
      </c>
      <c r="B583" s="93" t="s">
        <v>21</v>
      </c>
      <c r="E583" s="93" t="s">
        <v>24</v>
      </c>
      <c r="F583" s="786" t="str">
        <f t="shared" si="60"/>
        <v>ロレナ</v>
      </c>
      <c r="G583" s="787" t="s">
        <v>890</v>
      </c>
      <c r="H583" s="788" t="str">
        <f t="shared" si="61"/>
        <v>H:\Taniku\ロレナ</v>
      </c>
      <c r="I583" s="679"/>
      <c r="J583" s="789"/>
      <c r="K583" s="790" t="s">
        <v>27</v>
      </c>
      <c r="L583" s="790" t="s">
        <v>108</v>
      </c>
      <c r="M583" s="787"/>
      <c r="N583" s="791" t="s">
        <v>169</v>
      </c>
      <c r="O583" s="790" t="s">
        <v>215</v>
      </c>
      <c r="P583" s="793" t="s">
        <v>891</v>
      </c>
      <c r="Q583" s="794"/>
    </row>
    <row r="584" spans="1:17" ht="14" thickTop="1">
      <c r="B584" s="262" t="s">
        <v>12</v>
      </c>
      <c r="C584" s="262" t="s">
        <v>12</v>
      </c>
      <c r="D584" s="262"/>
      <c r="E584" s="262" t="s">
        <v>12</v>
      </c>
    </row>
    <row r="585" spans="1:17" ht="16.5" thickBot="1">
      <c r="B585" s="262" t="s">
        <v>12</v>
      </c>
      <c r="C585" s="262" t="s">
        <v>12</v>
      </c>
      <c r="D585" s="262"/>
      <c r="E585" s="262" t="s">
        <v>12</v>
      </c>
      <c r="F585" s="795" t="s">
        <v>892</v>
      </c>
      <c r="G585" s="795"/>
      <c r="H585" s="646"/>
      <c r="I585" s="795"/>
      <c r="J585" s="646"/>
      <c r="K585" s="646"/>
      <c r="L585" s="646"/>
      <c r="M585" s="795"/>
      <c r="N585" s="647"/>
      <c r="O585" s="796"/>
      <c r="P585" s="649"/>
      <c r="Q585" s="650"/>
    </row>
    <row r="586" spans="1:17" ht="14" thickTop="1">
      <c r="A586" s="93" t="s">
        <v>342</v>
      </c>
      <c r="B586" s="93" t="s">
        <v>31</v>
      </c>
      <c r="E586" s="93" t="s">
        <v>24</v>
      </c>
      <c r="F586" s="938" t="str">
        <f>HYPERLINK(H586,G586)</f>
        <v>ワイテルメイエリー</v>
      </c>
      <c r="G586" s="798" t="s">
        <v>893</v>
      </c>
      <c r="H586" s="799" t="str">
        <f>CONCATENATE("H:\Taniku\",G586)</f>
        <v>H:\Taniku\ワイテルメイエリー</v>
      </c>
      <c r="I586" s="650"/>
      <c r="J586" s="800"/>
      <c r="K586" s="801" t="s">
        <v>27</v>
      </c>
      <c r="L586" s="801" t="s">
        <v>110</v>
      </c>
      <c r="M586" s="798"/>
      <c r="N586" s="802"/>
      <c r="O586" s="801"/>
      <c r="P586" s="803"/>
      <c r="Q586" s="804"/>
    </row>
    <row r="587" spans="1:17" ht="14" thickBot="1">
      <c r="A587" s="93" t="s">
        <v>24</v>
      </c>
      <c r="B587" s="316" t="s">
        <v>28</v>
      </c>
      <c r="E587" s="93" t="s">
        <v>24</v>
      </c>
      <c r="F587" s="810" t="str">
        <f>HYPERLINK(H587,G587)</f>
        <v>ワンダワンダNo.2</v>
      </c>
      <c r="G587" s="811" t="s">
        <v>894</v>
      </c>
      <c r="H587" s="812" t="str">
        <f>CONCATENATE("H:\Taniku\",G587)</f>
        <v>H:\Taniku\ワンダワンダNo.2</v>
      </c>
      <c r="I587" s="650"/>
      <c r="J587" s="813"/>
      <c r="K587" s="814" t="s">
        <v>260</v>
      </c>
      <c r="L587" s="814" t="s">
        <v>881</v>
      </c>
      <c r="M587" s="811"/>
      <c r="N587" s="815"/>
      <c r="O587" s="814"/>
      <c r="P587" s="816"/>
      <c r="Q587" s="817"/>
    </row>
    <row r="588" spans="1:17" ht="14" thickTop="1">
      <c r="B588" s="262" t="s">
        <v>12</v>
      </c>
      <c r="C588" s="262" t="s">
        <v>12</v>
      </c>
      <c r="D588" s="262"/>
      <c r="E588" s="262" t="s">
        <v>12</v>
      </c>
      <c r="F588" s="650"/>
      <c r="G588" s="650"/>
      <c r="H588" s="646"/>
      <c r="I588" s="650"/>
      <c r="J588" s="646"/>
      <c r="K588" s="646"/>
      <c r="L588" s="646"/>
      <c r="M588" s="650"/>
      <c r="N588" s="647"/>
      <c r="O588" s="646"/>
      <c r="P588" s="649"/>
      <c r="Q588" s="650"/>
    </row>
    <row r="589" spans="1:17" ht="16">
      <c r="B589" s="262" t="s">
        <v>12</v>
      </c>
      <c r="C589" s="262" t="s">
        <v>12</v>
      </c>
      <c r="D589" s="262"/>
      <c r="E589" s="262" t="s">
        <v>12</v>
      </c>
      <c r="F589" s="841" t="s">
        <v>895</v>
      </c>
      <c r="G589" s="841"/>
      <c r="H589" s="646"/>
      <c r="I589" s="841"/>
      <c r="J589" s="646"/>
      <c r="K589" s="646"/>
      <c r="L589" s="646"/>
      <c r="M589" s="841"/>
      <c r="N589" s="647"/>
      <c r="O589" s="842"/>
      <c r="P589" s="649"/>
      <c r="Q589" s="650"/>
    </row>
    <row r="590" spans="1:17">
      <c r="B590" s="262" t="s">
        <v>12</v>
      </c>
      <c r="C590" s="262" t="s">
        <v>12</v>
      </c>
      <c r="D590" s="262"/>
      <c r="E590" s="262" t="s">
        <v>12</v>
      </c>
      <c r="F590" s="650"/>
      <c r="G590" s="650"/>
      <c r="H590" s="646"/>
      <c r="I590" s="650"/>
      <c r="J590" s="646"/>
      <c r="K590" s="646"/>
      <c r="L590" s="646"/>
      <c r="M590" s="650"/>
      <c r="N590" s="647"/>
      <c r="O590" s="646"/>
      <c r="P590" s="649"/>
      <c r="Q590" s="650"/>
    </row>
    <row r="591" spans="1:17" ht="16">
      <c r="B591" s="262" t="s">
        <v>12</v>
      </c>
      <c r="C591" s="262" t="s">
        <v>12</v>
      </c>
      <c r="D591" s="262"/>
      <c r="E591" s="262" t="s">
        <v>12</v>
      </c>
      <c r="F591" s="886" t="s">
        <v>896</v>
      </c>
      <c r="G591" s="886"/>
      <c r="H591" s="646"/>
      <c r="I591" s="886"/>
      <c r="J591" s="646"/>
      <c r="K591" s="646"/>
      <c r="L591" s="646"/>
      <c r="M591" s="886"/>
      <c r="N591" s="647"/>
      <c r="O591" s="887"/>
      <c r="P591" s="649"/>
      <c r="Q591" s="650"/>
    </row>
    <row r="592" spans="1:17">
      <c r="B592" s="262" t="s">
        <v>12</v>
      </c>
      <c r="C592" s="262" t="s">
        <v>12</v>
      </c>
      <c r="D592" s="262"/>
      <c r="E592" s="262" t="s">
        <v>12</v>
      </c>
      <c r="H592" s="80"/>
      <c r="J592" s="80"/>
    </row>
    <row r="593" spans="3:17" ht="16.5" thickBot="1">
      <c r="C593" s="262" t="s">
        <v>12</v>
      </c>
      <c r="D593" s="262"/>
      <c r="E593" s="262" t="s">
        <v>12</v>
      </c>
      <c r="F593" s="1013" t="s">
        <v>897</v>
      </c>
      <c r="G593" s="674"/>
      <c r="H593" s="675"/>
      <c r="I593" s="674"/>
      <c r="J593" s="675"/>
      <c r="K593" s="675"/>
      <c r="L593" s="675"/>
      <c r="M593" s="674"/>
      <c r="N593" s="676"/>
      <c r="O593" s="677"/>
      <c r="P593" s="678"/>
      <c r="Q593" s="679"/>
    </row>
    <row r="594" spans="3:17" ht="14" thickTop="1">
      <c r="F594" s="1014" t="str">
        <f t="shared" ref="F594:F609" si="62">HYPERLINK(H594,G594)</f>
        <v>+お迎え</v>
      </c>
      <c r="G594" s="1015" t="str">
        <f>"+お迎え"</f>
        <v>+お迎え</v>
      </c>
      <c r="H594" s="1016" t="str">
        <f t="shared" ref="H594:H609" si="63">CONCATENATE("H:\Taniku\+other\",G594)</f>
        <v>H:\Taniku\+other\+お迎え</v>
      </c>
      <c r="I594" s="679"/>
      <c r="J594" s="1017"/>
      <c r="K594" s="1018"/>
      <c r="L594" s="1018"/>
      <c r="M594" s="1015"/>
      <c r="N594" s="1019"/>
      <c r="O594" s="1020"/>
      <c r="P594" s="1021"/>
      <c r="Q594" s="1022"/>
    </row>
    <row r="595" spans="3:17">
      <c r="F595" s="1023" t="str">
        <f t="shared" si="62"/>
        <v>+サボテン</v>
      </c>
      <c r="G595" s="679" t="str">
        <f>"+サボテン"</f>
        <v>+サボテン</v>
      </c>
      <c r="H595" s="1024" t="str">
        <f t="shared" si="63"/>
        <v>H:\Taniku\+other\+サボテン</v>
      </c>
      <c r="I595" s="679"/>
      <c r="J595" s="1025"/>
      <c r="K595" s="675"/>
      <c r="L595" s="675"/>
      <c r="M595" s="679"/>
      <c r="N595" s="676"/>
      <c r="O595" s="677"/>
      <c r="P595" s="678"/>
      <c r="Q595" s="1026"/>
    </row>
    <row r="596" spans="3:17">
      <c r="F596" s="1023" t="str">
        <f t="shared" si="62"/>
        <v>+その他</v>
      </c>
      <c r="G596" s="679" t="str">
        <f>"+その他"</f>
        <v>+その他</v>
      </c>
      <c r="H596" s="1024" t="str">
        <f t="shared" si="63"/>
        <v>H:\Taniku\+other\+その他</v>
      </c>
      <c r="I596" s="679"/>
      <c r="J596" s="1025"/>
      <c r="K596" s="675"/>
      <c r="L596" s="675"/>
      <c r="M596" s="679"/>
      <c r="N596" s="676"/>
      <c r="O596" s="677"/>
      <c r="P596" s="678"/>
      <c r="Q596" s="1026"/>
    </row>
    <row r="597" spans="3:17">
      <c r="F597" s="1023" t="str">
        <f t="shared" si="62"/>
        <v>+デカ鉢</v>
      </c>
      <c r="G597" s="679" t="str">
        <f>"+デカ鉢"</f>
        <v>+デカ鉢</v>
      </c>
      <c r="H597" s="1024" t="str">
        <f t="shared" si="63"/>
        <v>H:\Taniku\+other\+デカ鉢</v>
      </c>
      <c r="I597" s="679"/>
      <c r="J597" s="1025"/>
      <c r="K597" s="675"/>
      <c r="L597" s="675"/>
      <c r="M597" s="679"/>
      <c r="N597" s="676"/>
      <c r="O597" s="677"/>
      <c r="P597" s="678"/>
      <c r="Q597" s="1026"/>
    </row>
    <row r="598" spans="3:17">
      <c r="F598" s="1023" t="str">
        <f t="shared" si="62"/>
        <v>+各種土情報</v>
      </c>
      <c r="G598" s="679" t="str">
        <f>"+各種土情報"</f>
        <v>+各種土情報</v>
      </c>
      <c r="H598" s="1024" t="str">
        <f t="shared" si="63"/>
        <v>H:\Taniku\+other\+各種土情報</v>
      </c>
      <c r="I598" s="679"/>
      <c r="J598" s="1025"/>
      <c r="K598" s="675"/>
      <c r="L598" s="675"/>
      <c r="M598" s="679"/>
      <c r="N598" s="676"/>
      <c r="O598" s="677"/>
      <c r="P598" s="678"/>
      <c r="Q598" s="1026"/>
    </row>
    <row r="599" spans="3:17">
      <c r="F599" s="1023" t="str">
        <f t="shared" si="62"/>
        <v>+寄せ植えおまけ Lau</v>
      </c>
      <c r="G599" s="679" t="str">
        <f>"+寄せ植えおまけ Lau"</f>
        <v>+寄せ植えおまけ Lau</v>
      </c>
      <c r="H599" s="1024" t="str">
        <f t="shared" si="63"/>
        <v>H:\Taniku\+other\+寄せ植えおまけ Lau</v>
      </c>
      <c r="I599" s="679"/>
      <c r="J599" s="1025"/>
      <c r="K599" s="675"/>
      <c r="L599" s="675"/>
      <c r="M599" s="679"/>
      <c r="N599" s="676"/>
      <c r="O599" s="677"/>
      <c r="P599" s="678"/>
      <c r="Q599" s="1026"/>
    </row>
    <row r="600" spans="3:17">
      <c r="F600" s="1023" t="str">
        <f t="shared" si="62"/>
        <v>+紅ほっぺ セダムいろいろ</v>
      </c>
      <c r="G600" s="679" t="str">
        <f>"+紅ほっぺ セダムいろいろ"</f>
        <v>+紅ほっぺ セダムいろいろ</v>
      </c>
      <c r="H600" s="1024" t="str">
        <f t="shared" si="63"/>
        <v>H:\Taniku\+other\+紅ほっぺ セダムいろいろ</v>
      </c>
      <c r="I600" s="679"/>
      <c r="J600" s="1025"/>
      <c r="K600" s="675"/>
      <c r="L600" s="675"/>
      <c r="M600" s="679"/>
      <c r="N600" s="676"/>
      <c r="O600" s="677"/>
      <c r="P600" s="678"/>
      <c r="Q600" s="1026"/>
    </row>
    <row r="601" spans="3:17">
      <c r="F601" s="1023" t="str">
        <f t="shared" si="62"/>
        <v>+札落ち</v>
      </c>
      <c r="G601" s="679" t="str">
        <f>"+札落ち"</f>
        <v>+札落ち</v>
      </c>
      <c r="H601" s="1024" t="str">
        <f t="shared" si="63"/>
        <v>H:\Taniku\+other\+札落ち</v>
      </c>
      <c r="I601" s="679"/>
      <c r="J601" s="1025"/>
      <c r="K601" s="675"/>
      <c r="L601" s="675"/>
      <c r="M601" s="679"/>
      <c r="N601" s="676"/>
      <c r="O601" s="677"/>
      <c r="P601" s="678"/>
      <c r="Q601" s="1026"/>
    </row>
    <row r="602" spans="3:17">
      <c r="F602" s="1023" t="str">
        <f t="shared" si="62"/>
        <v>+集合写真</v>
      </c>
      <c r="G602" s="679" t="str">
        <f>"+集合写真"</f>
        <v>+集合写真</v>
      </c>
      <c r="H602" s="1024" t="str">
        <f t="shared" si="63"/>
        <v>H:\Taniku\+other\+集合写真</v>
      </c>
      <c r="I602" s="679"/>
      <c r="J602" s="1025"/>
      <c r="K602" s="675"/>
      <c r="L602" s="675"/>
      <c r="M602" s="679"/>
      <c r="N602" s="676"/>
      <c r="O602" s="677"/>
      <c r="P602" s="678"/>
      <c r="Q602" s="1026"/>
    </row>
    <row r="603" spans="3:17">
      <c r="F603" s="1023" t="str">
        <f t="shared" si="62"/>
        <v>+小屋裏セダム</v>
      </c>
      <c r="G603" s="679" t="str">
        <f>"+小屋裏セダム"</f>
        <v>+小屋裏セダム</v>
      </c>
      <c r="H603" s="1024" t="str">
        <f t="shared" si="63"/>
        <v>H:\Taniku\+other\+小屋裏セダム</v>
      </c>
      <c r="I603" s="679"/>
      <c r="J603" s="1025"/>
      <c r="K603" s="675"/>
      <c r="L603" s="675"/>
      <c r="M603" s="679"/>
      <c r="N603" s="676"/>
      <c r="O603" s="677"/>
      <c r="P603" s="678"/>
      <c r="Q603" s="1026"/>
    </row>
    <row r="604" spans="3:17">
      <c r="F604" s="1023" t="str">
        <f t="shared" si="62"/>
        <v>+星シリーズ</v>
      </c>
      <c r="G604" s="679" t="str">
        <f>"+星シリーズ"</f>
        <v>+星シリーズ</v>
      </c>
      <c r="H604" s="1024" t="str">
        <f t="shared" si="63"/>
        <v>H:\Taniku\+other\+星シリーズ</v>
      </c>
      <c r="I604" s="679"/>
      <c r="J604" s="1025"/>
      <c r="K604" s="675"/>
      <c r="L604" s="675"/>
      <c r="M604" s="679"/>
      <c r="N604" s="676"/>
      <c r="O604" s="677"/>
      <c r="P604" s="678"/>
      <c r="Q604" s="1026"/>
    </row>
    <row r="605" spans="3:17">
      <c r="F605" s="1023" t="str">
        <f t="shared" si="62"/>
        <v>+多肉リスト</v>
      </c>
      <c r="G605" s="679" t="str">
        <f>"+多肉リスト"</f>
        <v>+多肉リスト</v>
      </c>
      <c r="H605" s="1024" t="str">
        <f t="shared" si="63"/>
        <v>H:\Taniku\+other\+多肉リスト</v>
      </c>
      <c r="I605" s="679"/>
      <c r="J605" s="1025"/>
      <c r="K605" s="675"/>
      <c r="L605" s="675"/>
      <c r="M605" s="679"/>
      <c r="N605" s="676"/>
      <c r="O605" s="677"/>
      <c r="P605" s="678"/>
      <c r="Q605" s="1026"/>
    </row>
    <row r="606" spans="3:17">
      <c r="F606" s="1023" t="str">
        <f t="shared" si="62"/>
        <v>+多肉以外の草花</v>
      </c>
      <c r="G606" s="679" t="str">
        <f>"+多肉以外の草花"</f>
        <v>+多肉以外の草花</v>
      </c>
      <c r="H606" s="1024" t="str">
        <f t="shared" si="63"/>
        <v>H:\Taniku\+other\+多肉以外の草花</v>
      </c>
      <c r="I606" s="679"/>
      <c r="J606" s="1025"/>
      <c r="K606" s="675"/>
      <c r="L606" s="675"/>
      <c r="M606" s="679"/>
      <c r="N606" s="676"/>
      <c r="O606" s="677"/>
      <c r="P606" s="678"/>
      <c r="Q606" s="1026"/>
    </row>
    <row r="607" spans="3:17">
      <c r="F607" s="1023" t="str">
        <f t="shared" si="62"/>
        <v>+調査</v>
      </c>
      <c r="G607" s="679" t="str">
        <f>"+調査"</f>
        <v>+調査</v>
      </c>
      <c r="H607" s="1024" t="str">
        <f t="shared" si="63"/>
        <v>H:\Taniku\+other\+調査</v>
      </c>
      <c r="I607" s="679"/>
      <c r="J607" s="1025"/>
      <c r="K607" s="675"/>
      <c r="L607" s="675"/>
      <c r="M607" s="679"/>
      <c r="N607" s="676"/>
      <c r="O607" s="677"/>
      <c r="P607" s="678"/>
      <c r="Q607" s="1026"/>
    </row>
    <row r="608" spans="3:17">
      <c r="F608" s="1023" t="str">
        <f t="shared" si="62"/>
        <v>+病気、虫</v>
      </c>
      <c r="G608" s="679" t="str">
        <f>"+病気、虫"</f>
        <v>+病気、虫</v>
      </c>
      <c r="H608" s="1024" t="str">
        <f t="shared" si="63"/>
        <v>H:\Taniku\+other\+病気、虫</v>
      </c>
      <c r="I608" s="679"/>
      <c r="J608" s="1025"/>
      <c r="K608" s="675"/>
      <c r="L608" s="675"/>
      <c r="M608" s="679"/>
      <c r="N608" s="676"/>
      <c r="O608" s="677"/>
      <c r="P608" s="678"/>
      <c r="Q608" s="1026"/>
    </row>
    <row r="609" spans="6:17" ht="14" thickBot="1">
      <c r="F609" s="1027" t="str">
        <f t="shared" si="62"/>
        <v>+葉挿し</v>
      </c>
      <c r="G609" s="1028" t="str">
        <f>"+葉挿し"</f>
        <v>+葉挿し</v>
      </c>
      <c r="H609" s="1029" t="str">
        <f t="shared" si="63"/>
        <v>H:\Taniku\+other\+葉挿し</v>
      </c>
      <c r="I609" s="679"/>
      <c r="J609" s="1030"/>
      <c r="K609" s="1031"/>
      <c r="L609" s="1031"/>
      <c r="M609" s="1028"/>
      <c r="N609" s="1032"/>
      <c r="O609" s="1033"/>
      <c r="P609" s="1034"/>
      <c r="Q609" s="1035"/>
    </row>
  </sheetData>
  <autoFilter ref="A2:Q605" xr:uid="{00000000-0009-0000-0000-000000000000}"/>
  <phoneticPr fontId="59"/>
  <pageMargins left="0.7" right="0.7" top="0.75" bottom="0.75" header="0.3" footer="0.3"/>
  <pageSetup paperSize="9" orientation="portrait"/>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F566"/>
  <sheetViews>
    <sheetView zoomScale="115" zoomScaleNormal="115" workbookViewId="0">
      <pane ySplit="5" topLeftCell="A401" activePane="bottomLeft" state="frozen"/>
      <selection pane="bottomLeft" activeCell="J261" sqref="J261"/>
    </sheetView>
  </sheetViews>
  <sheetFormatPr defaultColWidth="9" defaultRowHeight="13.5"/>
  <cols>
    <col min="1" max="1" width="2.6328125" customWidth="1"/>
    <col min="2" max="2" width="12.6328125" style="93" customWidth="1"/>
    <col min="3" max="4" width="4.6328125" style="93" customWidth="1"/>
    <col min="5" max="6" width="15.6328125" style="260" customWidth="1"/>
    <col min="7" max="7" width="2.1796875" style="260" customWidth="1"/>
    <col min="8" max="32" width="15.6328125" style="260" customWidth="1"/>
  </cols>
  <sheetData>
    <row r="2" spans="2:32">
      <c r="E2" s="260" t="s">
        <v>898</v>
      </c>
      <c r="J2" s="291"/>
      <c r="K2" s="260" t="s">
        <v>899</v>
      </c>
      <c r="O2" s="260" t="s">
        <v>900</v>
      </c>
    </row>
    <row r="3" spans="2:32">
      <c r="E3" s="261" t="s">
        <v>901</v>
      </c>
      <c r="F3" s="261"/>
      <c r="G3" s="261"/>
      <c r="J3" s="292" t="s">
        <v>902</v>
      </c>
      <c r="K3" s="260" t="s">
        <v>903</v>
      </c>
    </row>
    <row r="4" spans="2:32">
      <c r="E4" s="261"/>
      <c r="F4" s="261"/>
      <c r="G4" s="261"/>
      <c r="J4" s="292"/>
    </row>
    <row r="5" spans="2:32">
      <c r="B5" s="93" t="s">
        <v>1</v>
      </c>
      <c r="C5" s="93" t="s">
        <v>2</v>
      </c>
      <c r="D5" s="93" t="s">
        <v>4</v>
      </c>
      <c r="E5" s="93" t="s">
        <v>904</v>
      </c>
      <c r="F5" s="93" t="s">
        <v>905</v>
      </c>
      <c r="G5" s="93"/>
      <c r="H5" s="93" t="s">
        <v>268</v>
      </c>
    </row>
    <row r="6" spans="2:32" ht="16">
      <c r="B6" s="262" t="s">
        <v>12</v>
      </c>
      <c r="C6" s="262" t="s">
        <v>12</v>
      </c>
      <c r="D6" s="262" t="s">
        <v>12</v>
      </c>
      <c r="E6" s="263" t="s">
        <v>235</v>
      </c>
      <c r="F6" s="263"/>
      <c r="G6" s="263"/>
      <c r="H6" s="264"/>
      <c r="I6" s="264"/>
      <c r="J6" s="264"/>
      <c r="K6" s="264"/>
      <c r="L6" s="264"/>
      <c r="M6" s="264"/>
    </row>
    <row r="7" spans="2:32" s="79" customFormat="1">
      <c r="B7" s="265"/>
      <c r="C7" s="265"/>
      <c r="D7" s="265"/>
      <c r="E7" s="266" t="s">
        <v>906</v>
      </c>
      <c r="F7" s="267" t="s">
        <v>907</v>
      </c>
      <c r="G7" s="268"/>
      <c r="H7" s="266" t="s">
        <v>908</v>
      </c>
      <c r="I7" s="293"/>
      <c r="J7" s="293"/>
      <c r="K7" s="293"/>
      <c r="L7" s="293"/>
      <c r="M7" s="267"/>
      <c r="N7" s="294"/>
      <c r="O7" s="294"/>
      <c r="P7" s="294"/>
      <c r="Q7" s="294"/>
      <c r="R7" s="294"/>
      <c r="S7" s="294"/>
      <c r="T7" s="294"/>
      <c r="U7" s="294"/>
      <c r="V7" s="294"/>
      <c r="W7" s="294"/>
      <c r="X7" s="294"/>
      <c r="Y7" s="294"/>
      <c r="Z7" s="294"/>
      <c r="AA7" s="294"/>
      <c r="AB7" s="294"/>
      <c r="AC7" s="294"/>
      <c r="AD7" s="294"/>
      <c r="AE7" s="294"/>
      <c r="AF7" s="294"/>
    </row>
    <row r="8" spans="2:32" s="79" customFormat="1">
      <c r="B8" s="265"/>
      <c r="C8" s="265"/>
      <c r="D8" s="265"/>
      <c r="E8" s="269" t="s">
        <v>909</v>
      </c>
      <c r="F8" s="270"/>
      <c r="G8" s="268"/>
      <c r="H8" s="269" t="s">
        <v>625</v>
      </c>
      <c r="I8" s="268" t="s">
        <v>910</v>
      </c>
      <c r="J8" s="268"/>
      <c r="K8" s="268"/>
      <c r="L8" s="268"/>
      <c r="M8" s="270"/>
      <c r="N8" s="294"/>
      <c r="O8" s="294"/>
      <c r="P8" s="294"/>
      <c r="Q8" s="294"/>
      <c r="R8" s="294"/>
      <c r="S8" s="294"/>
      <c r="T8" s="294"/>
      <c r="U8" s="294"/>
      <c r="V8" s="294"/>
      <c r="W8" s="294"/>
      <c r="X8" s="294"/>
      <c r="Y8" s="294"/>
      <c r="Z8" s="294"/>
      <c r="AA8" s="294"/>
      <c r="AB8" s="294"/>
      <c r="AC8" s="294"/>
      <c r="AD8" s="294"/>
      <c r="AE8" s="294"/>
      <c r="AF8" s="294"/>
    </row>
    <row r="9" spans="2:32" s="79" customFormat="1">
      <c r="B9" s="265"/>
      <c r="C9" s="265"/>
      <c r="D9" s="265"/>
      <c r="E9" s="269" t="s">
        <v>911</v>
      </c>
      <c r="F9" s="270"/>
      <c r="G9" s="268"/>
      <c r="H9" s="269" t="s">
        <v>909</v>
      </c>
      <c r="I9" s="268" t="s">
        <v>912</v>
      </c>
      <c r="J9" s="268"/>
      <c r="K9" s="268"/>
      <c r="L9" s="268"/>
      <c r="M9" s="270"/>
      <c r="N9" s="294"/>
      <c r="O9" s="294"/>
      <c r="P9" s="294"/>
      <c r="Q9" s="294"/>
      <c r="R9" s="294"/>
      <c r="S9" s="294"/>
      <c r="T9" s="294"/>
      <c r="U9" s="294"/>
      <c r="V9" s="294"/>
      <c r="W9" s="294"/>
      <c r="X9" s="294"/>
      <c r="Y9" s="294"/>
      <c r="Z9" s="294"/>
      <c r="AA9" s="294"/>
      <c r="AB9" s="294"/>
      <c r="AC9" s="294"/>
      <c r="AD9" s="294"/>
      <c r="AE9" s="294"/>
      <c r="AF9" s="294"/>
    </row>
    <row r="10" spans="2:32" s="79" customFormat="1">
      <c r="B10" s="265"/>
      <c r="C10" s="265"/>
      <c r="D10" s="265"/>
      <c r="E10" s="269" t="s">
        <v>913</v>
      </c>
      <c r="F10" s="270"/>
      <c r="G10" s="268"/>
      <c r="H10" s="269" t="s">
        <v>914</v>
      </c>
      <c r="I10" s="268"/>
      <c r="J10" s="268"/>
      <c r="K10" s="268"/>
      <c r="L10" s="268"/>
      <c r="M10" s="270"/>
      <c r="N10" s="294"/>
      <c r="O10" s="294"/>
      <c r="P10" s="294"/>
      <c r="Q10" s="294"/>
      <c r="R10" s="294"/>
      <c r="S10" s="294"/>
      <c r="T10" s="294"/>
      <c r="U10" s="294"/>
      <c r="V10" s="294"/>
      <c r="W10" s="294"/>
      <c r="X10" s="294"/>
      <c r="Y10" s="294"/>
      <c r="Z10" s="294"/>
      <c r="AA10" s="294"/>
      <c r="AB10" s="294"/>
      <c r="AC10" s="294"/>
      <c r="AD10" s="294"/>
      <c r="AE10" s="294"/>
      <c r="AF10" s="294"/>
    </row>
    <row r="11" spans="2:32" s="79" customFormat="1">
      <c r="B11" s="265"/>
      <c r="C11" s="265"/>
      <c r="D11" s="265"/>
      <c r="E11" s="269" t="s">
        <v>915</v>
      </c>
      <c r="F11" s="270" t="s">
        <v>916</v>
      </c>
      <c r="G11" s="268"/>
      <c r="H11" s="269" t="s">
        <v>917</v>
      </c>
      <c r="I11" s="268"/>
      <c r="J11" s="268"/>
      <c r="K11" s="268"/>
      <c r="L11" s="268"/>
      <c r="M11" s="270"/>
      <c r="N11" s="294"/>
      <c r="O11" s="294"/>
      <c r="P11" s="294"/>
      <c r="Q11" s="294"/>
      <c r="R11" s="294"/>
      <c r="S11" s="294"/>
      <c r="T11" s="294"/>
      <c r="U11" s="294"/>
      <c r="V11" s="294"/>
      <c r="W11" s="294"/>
      <c r="X11" s="294"/>
      <c r="Y11" s="294"/>
      <c r="Z11" s="294"/>
      <c r="AA11" s="294"/>
      <c r="AB11" s="294"/>
      <c r="AC11" s="294"/>
      <c r="AD11" s="294"/>
      <c r="AE11" s="294"/>
      <c r="AF11" s="294"/>
    </row>
    <row r="12" spans="2:32" s="79" customFormat="1">
      <c r="B12" s="265"/>
      <c r="C12" s="265"/>
      <c r="D12" s="265"/>
      <c r="E12" s="269" t="s">
        <v>918</v>
      </c>
      <c r="F12" s="270" t="s">
        <v>919</v>
      </c>
      <c r="G12" s="268"/>
      <c r="H12" s="269" t="s">
        <v>920</v>
      </c>
      <c r="I12" s="268"/>
      <c r="J12" s="268"/>
      <c r="K12" s="268"/>
      <c r="L12" s="268"/>
      <c r="M12" s="270"/>
      <c r="N12" s="294"/>
      <c r="O12" s="294"/>
      <c r="P12" s="294"/>
      <c r="Q12" s="294"/>
      <c r="R12" s="294"/>
      <c r="S12" s="294"/>
      <c r="T12" s="294"/>
      <c r="U12" s="294"/>
      <c r="V12" s="294"/>
      <c r="W12" s="294"/>
      <c r="X12" s="294"/>
      <c r="Y12" s="294"/>
      <c r="Z12" s="294"/>
      <c r="AA12" s="294"/>
      <c r="AB12" s="294"/>
      <c r="AC12" s="294"/>
      <c r="AD12" s="294"/>
      <c r="AE12" s="294"/>
      <c r="AF12" s="294"/>
    </row>
    <row r="13" spans="2:32" s="79" customFormat="1">
      <c r="B13" s="265"/>
      <c r="C13" s="265"/>
      <c r="D13" s="265"/>
      <c r="E13" s="269" t="s">
        <v>921</v>
      </c>
      <c r="F13" s="270" t="s">
        <v>922</v>
      </c>
      <c r="G13" s="268"/>
      <c r="H13" s="269" t="s">
        <v>923</v>
      </c>
      <c r="I13" s="268"/>
      <c r="J13" s="268"/>
      <c r="K13" s="268"/>
      <c r="L13" s="268"/>
      <c r="M13" s="270"/>
      <c r="N13" s="294"/>
      <c r="O13" s="294"/>
      <c r="P13" s="294"/>
      <c r="Q13" s="294"/>
      <c r="R13" s="294"/>
      <c r="S13" s="294"/>
      <c r="T13" s="294"/>
      <c r="U13" s="294"/>
      <c r="V13" s="294"/>
      <c r="W13" s="294"/>
      <c r="X13" s="294"/>
      <c r="Y13" s="294"/>
      <c r="Z13" s="294"/>
      <c r="AA13" s="294"/>
      <c r="AB13" s="294"/>
      <c r="AC13" s="294"/>
      <c r="AD13" s="294"/>
      <c r="AE13" s="294"/>
      <c r="AF13" s="294"/>
    </row>
    <row r="14" spans="2:32" s="79" customFormat="1">
      <c r="B14" s="265"/>
      <c r="C14" s="265"/>
      <c r="D14" s="265"/>
      <c r="E14" s="269" t="s">
        <v>921</v>
      </c>
      <c r="F14" s="270" t="s">
        <v>922</v>
      </c>
      <c r="G14" s="268"/>
      <c r="H14" s="269" t="s">
        <v>924</v>
      </c>
      <c r="I14" s="268"/>
      <c r="J14" s="268"/>
      <c r="K14" s="268"/>
      <c r="L14" s="268"/>
      <c r="M14" s="270"/>
      <c r="N14" s="294"/>
      <c r="O14" s="294"/>
      <c r="P14" s="294"/>
      <c r="Q14" s="294"/>
      <c r="R14" s="294"/>
      <c r="S14" s="294"/>
      <c r="T14" s="294"/>
      <c r="U14" s="294"/>
      <c r="V14" s="294"/>
      <c r="W14" s="294"/>
      <c r="X14" s="294"/>
      <c r="Y14" s="294"/>
      <c r="Z14" s="294"/>
      <c r="AA14" s="294"/>
      <c r="AB14" s="294"/>
      <c r="AC14" s="294"/>
      <c r="AD14" s="294"/>
      <c r="AE14" s="294"/>
      <c r="AF14" s="294"/>
    </row>
    <row r="15" spans="2:32" s="79" customFormat="1">
      <c r="B15" s="265"/>
      <c r="C15" s="265"/>
      <c r="D15" s="265"/>
      <c r="E15" s="269" t="s">
        <v>925</v>
      </c>
      <c r="F15" s="270" t="s">
        <v>926</v>
      </c>
      <c r="G15" s="268"/>
      <c r="H15" s="269" t="s">
        <v>927</v>
      </c>
      <c r="I15" s="268"/>
      <c r="J15" s="268"/>
      <c r="K15" s="268"/>
      <c r="L15" s="268"/>
      <c r="M15" s="270"/>
      <c r="N15" s="294"/>
      <c r="O15" s="294"/>
      <c r="P15" s="294"/>
      <c r="Q15" s="294"/>
      <c r="R15" s="294"/>
      <c r="S15" s="294"/>
      <c r="T15" s="294"/>
      <c r="U15" s="294"/>
      <c r="V15" s="294"/>
      <c r="W15" s="294"/>
      <c r="X15" s="294"/>
      <c r="Y15" s="294"/>
      <c r="Z15" s="294"/>
      <c r="AA15" s="294"/>
      <c r="AB15" s="294"/>
      <c r="AC15" s="294"/>
      <c r="AD15" s="294"/>
      <c r="AE15" s="294"/>
      <c r="AF15" s="294"/>
    </row>
    <row r="16" spans="2:32" s="79" customFormat="1">
      <c r="B16" s="265"/>
      <c r="C16" s="265"/>
      <c r="D16" s="265"/>
      <c r="E16" s="269" t="s">
        <v>928</v>
      </c>
      <c r="F16" s="270" t="s">
        <v>929</v>
      </c>
      <c r="G16" s="268"/>
      <c r="H16" s="269" t="s">
        <v>930</v>
      </c>
      <c r="I16" s="268"/>
      <c r="J16" s="268"/>
      <c r="K16" s="268"/>
      <c r="L16" s="268"/>
      <c r="M16" s="270"/>
      <c r="N16" s="294"/>
      <c r="O16" s="294"/>
      <c r="P16" s="294"/>
      <c r="Q16" s="294"/>
      <c r="R16" s="294"/>
      <c r="S16" s="294"/>
      <c r="T16" s="294"/>
      <c r="U16" s="294"/>
      <c r="V16" s="294"/>
      <c r="W16" s="294"/>
      <c r="X16" s="294"/>
      <c r="Y16" s="294"/>
      <c r="Z16" s="294"/>
      <c r="AA16" s="294"/>
      <c r="AB16" s="294"/>
      <c r="AC16" s="294"/>
      <c r="AD16" s="294"/>
      <c r="AE16" s="294"/>
      <c r="AF16" s="294"/>
    </row>
    <row r="17" spans="2:32">
      <c r="D17" s="93" t="s">
        <v>24</v>
      </c>
      <c r="E17" s="271" t="s">
        <v>214</v>
      </c>
      <c r="F17" s="272"/>
      <c r="G17" s="264"/>
      <c r="H17" s="271" t="s">
        <v>931</v>
      </c>
      <c r="I17" s="264" t="s">
        <v>932</v>
      </c>
      <c r="J17" s="264" t="s">
        <v>933</v>
      </c>
      <c r="K17" s="264"/>
      <c r="L17" s="264"/>
      <c r="M17" s="272"/>
    </row>
    <row r="18" spans="2:32" s="79" customFormat="1">
      <c r="B18" s="265"/>
      <c r="C18" s="265"/>
      <c r="D18" s="265"/>
      <c r="E18" s="269" t="s">
        <v>927</v>
      </c>
      <c r="F18" s="270"/>
      <c r="G18" s="268"/>
      <c r="H18" s="269" t="s">
        <v>926</v>
      </c>
      <c r="I18" s="268"/>
      <c r="J18" s="268"/>
      <c r="K18" s="268"/>
      <c r="L18" s="268"/>
      <c r="M18" s="270"/>
      <c r="N18" s="294"/>
      <c r="O18" s="294"/>
      <c r="P18" s="294"/>
      <c r="Q18" s="294"/>
      <c r="R18" s="294"/>
      <c r="S18" s="294"/>
      <c r="T18" s="294"/>
      <c r="U18" s="294"/>
      <c r="V18" s="294"/>
      <c r="W18" s="294"/>
      <c r="X18" s="294"/>
      <c r="Y18" s="294"/>
      <c r="Z18" s="294"/>
      <c r="AA18" s="294"/>
      <c r="AB18" s="294"/>
      <c r="AC18" s="294"/>
      <c r="AD18" s="294"/>
      <c r="AE18" s="294"/>
      <c r="AF18" s="294"/>
    </row>
    <row r="19" spans="2:32" s="79" customFormat="1">
      <c r="B19" s="265"/>
      <c r="C19" s="265"/>
      <c r="D19" s="265"/>
      <c r="E19" s="269" t="s">
        <v>934</v>
      </c>
      <c r="F19" s="270"/>
      <c r="G19" s="268"/>
      <c r="H19" s="269" t="s">
        <v>174</v>
      </c>
      <c r="I19" s="268" t="s">
        <v>935</v>
      </c>
      <c r="J19" s="268" t="s">
        <v>936</v>
      </c>
      <c r="K19" s="268" t="s">
        <v>937</v>
      </c>
      <c r="L19" s="268"/>
      <c r="M19" s="270"/>
      <c r="N19" s="294"/>
      <c r="O19" s="294"/>
      <c r="P19" s="294"/>
      <c r="Q19" s="294"/>
      <c r="R19" s="294"/>
      <c r="S19" s="294"/>
      <c r="T19" s="294"/>
      <c r="U19" s="294"/>
      <c r="V19" s="294"/>
      <c r="W19" s="294"/>
      <c r="X19" s="294"/>
      <c r="Y19" s="294"/>
      <c r="Z19" s="294"/>
      <c r="AA19" s="294"/>
      <c r="AB19" s="294"/>
      <c r="AC19" s="294"/>
      <c r="AD19" s="294"/>
      <c r="AE19" s="294"/>
      <c r="AF19" s="294"/>
    </row>
    <row r="20" spans="2:32" s="79" customFormat="1">
      <c r="B20" s="265"/>
      <c r="C20" s="265"/>
      <c r="D20" s="265"/>
      <c r="E20" s="269" t="s">
        <v>938</v>
      </c>
      <c r="F20" s="270" t="s">
        <v>939</v>
      </c>
      <c r="G20" s="268"/>
      <c r="H20" s="269" t="s">
        <v>214</v>
      </c>
      <c r="I20" s="268" t="s">
        <v>940</v>
      </c>
      <c r="J20" s="268" t="s">
        <v>933</v>
      </c>
      <c r="K20" s="268"/>
      <c r="L20" s="268"/>
      <c r="M20" s="270"/>
      <c r="N20" s="294"/>
      <c r="O20" s="294"/>
      <c r="P20" s="294"/>
      <c r="Q20" s="294"/>
      <c r="R20" s="294"/>
      <c r="S20" s="294"/>
      <c r="T20" s="294"/>
      <c r="U20" s="294"/>
      <c r="V20" s="294"/>
      <c r="W20" s="294"/>
      <c r="X20" s="294"/>
      <c r="Y20" s="294"/>
      <c r="Z20" s="294"/>
      <c r="AA20" s="294"/>
      <c r="AB20" s="294"/>
      <c r="AC20" s="294"/>
      <c r="AD20" s="294"/>
      <c r="AE20" s="294"/>
      <c r="AF20" s="294"/>
    </row>
    <row r="21" spans="2:32" s="79" customFormat="1">
      <c r="B21" s="265"/>
      <c r="C21" s="265"/>
      <c r="D21" s="265"/>
      <c r="E21" s="269" t="s">
        <v>941</v>
      </c>
      <c r="F21" s="270" t="s">
        <v>942</v>
      </c>
      <c r="G21" s="268"/>
      <c r="H21" s="269" t="s">
        <v>943</v>
      </c>
      <c r="I21" s="268"/>
      <c r="J21" s="268"/>
      <c r="K21" s="268"/>
      <c r="L21" s="268"/>
      <c r="M21" s="270"/>
      <c r="N21" s="294"/>
      <c r="O21" s="294"/>
      <c r="P21" s="294"/>
      <c r="Q21" s="294"/>
      <c r="R21" s="294"/>
      <c r="S21" s="294"/>
      <c r="T21" s="294"/>
      <c r="U21" s="294"/>
      <c r="V21" s="294"/>
      <c r="W21" s="294"/>
      <c r="X21" s="294"/>
      <c r="Y21" s="294"/>
      <c r="Z21" s="294"/>
      <c r="AA21" s="294"/>
      <c r="AB21" s="294"/>
      <c r="AC21" s="294"/>
      <c r="AD21" s="294"/>
      <c r="AE21" s="294"/>
      <c r="AF21" s="294"/>
    </row>
    <row r="22" spans="2:32" s="79" customFormat="1">
      <c r="B22" s="265"/>
      <c r="C22" s="265"/>
      <c r="D22" s="265"/>
      <c r="E22" s="269" t="s">
        <v>944</v>
      </c>
      <c r="F22" s="270"/>
      <c r="G22" s="268"/>
      <c r="H22" s="269" t="s">
        <v>945</v>
      </c>
      <c r="I22" s="268" t="s">
        <v>946</v>
      </c>
      <c r="J22" s="268"/>
      <c r="K22" s="268"/>
      <c r="L22" s="268"/>
      <c r="M22" s="270"/>
      <c r="N22" s="294"/>
      <c r="O22" s="294"/>
      <c r="P22" s="294"/>
      <c r="Q22" s="294"/>
      <c r="R22" s="294"/>
      <c r="S22" s="294"/>
      <c r="T22" s="294"/>
      <c r="U22" s="294"/>
      <c r="V22" s="294"/>
      <c r="W22" s="294"/>
      <c r="X22" s="294"/>
      <c r="Y22" s="294"/>
      <c r="Z22" s="294"/>
      <c r="AA22" s="294"/>
      <c r="AB22" s="294"/>
      <c r="AC22" s="294"/>
      <c r="AD22" s="294"/>
      <c r="AE22" s="294"/>
      <c r="AF22" s="294"/>
    </row>
    <row r="23" spans="2:32" s="79" customFormat="1">
      <c r="B23" s="265"/>
      <c r="C23" s="265"/>
      <c r="D23" s="265"/>
      <c r="E23" s="269" t="s">
        <v>947</v>
      </c>
      <c r="F23" s="270" t="s">
        <v>948</v>
      </c>
      <c r="G23" s="268"/>
      <c r="H23" s="269" t="s">
        <v>309</v>
      </c>
      <c r="I23" s="268" t="s">
        <v>949</v>
      </c>
      <c r="J23" s="268"/>
      <c r="K23" s="268"/>
      <c r="L23" s="268"/>
      <c r="M23" s="270"/>
      <c r="N23" s="294"/>
      <c r="O23" s="294"/>
      <c r="P23" s="294"/>
      <c r="Q23" s="294"/>
      <c r="R23" s="294"/>
      <c r="S23" s="294"/>
      <c r="T23" s="294"/>
      <c r="U23" s="294"/>
      <c r="V23" s="294"/>
      <c r="W23" s="294"/>
      <c r="X23" s="294"/>
      <c r="Y23" s="294"/>
      <c r="Z23" s="294"/>
      <c r="AA23" s="294"/>
      <c r="AB23" s="294"/>
      <c r="AC23" s="294"/>
      <c r="AD23" s="294"/>
      <c r="AE23" s="294"/>
      <c r="AF23" s="294"/>
    </row>
    <row r="24" spans="2:32" s="79" customFormat="1">
      <c r="B24" s="265"/>
      <c r="C24" s="265"/>
      <c r="D24" s="265"/>
      <c r="E24" s="269" t="s">
        <v>244</v>
      </c>
      <c r="F24" s="270"/>
      <c r="G24" s="268"/>
      <c r="H24" s="269" t="s">
        <v>950</v>
      </c>
      <c r="I24" s="268" t="s">
        <v>951</v>
      </c>
      <c r="J24" s="268"/>
      <c r="K24" s="268"/>
      <c r="L24" s="268"/>
      <c r="M24" s="270"/>
      <c r="N24" s="294"/>
      <c r="O24" s="294"/>
      <c r="P24" s="294"/>
      <c r="Q24" s="294"/>
      <c r="R24" s="294"/>
      <c r="S24" s="294"/>
      <c r="T24" s="294"/>
      <c r="U24" s="294"/>
      <c r="V24" s="294"/>
      <c r="W24" s="294"/>
      <c r="X24" s="294"/>
      <c r="Y24" s="294"/>
      <c r="Z24" s="294"/>
      <c r="AA24" s="294"/>
      <c r="AB24" s="294"/>
      <c r="AC24" s="294"/>
      <c r="AD24" s="294"/>
      <c r="AE24" s="294"/>
      <c r="AF24" s="294"/>
    </row>
    <row r="25" spans="2:32">
      <c r="D25" s="93" t="s">
        <v>24</v>
      </c>
      <c r="E25" s="271" t="s">
        <v>952</v>
      </c>
      <c r="F25" s="272"/>
      <c r="G25" s="264"/>
      <c r="H25" s="271" t="s">
        <v>953</v>
      </c>
      <c r="I25" s="264"/>
      <c r="J25" s="264"/>
      <c r="K25" s="264"/>
      <c r="L25" s="264"/>
      <c r="M25" s="272"/>
    </row>
    <row r="26" spans="2:32" s="79" customFormat="1">
      <c r="B26" s="265"/>
      <c r="C26" s="265"/>
      <c r="D26" s="265"/>
      <c r="E26" s="269" t="s">
        <v>954</v>
      </c>
      <c r="F26" s="270"/>
      <c r="G26" s="268"/>
      <c r="H26" s="269" t="s">
        <v>955</v>
      </c>
      <c r="I26" s="268"/>
      <c r="J26" s="268"/>
      <c r="K26" s="268"/>
      <c r="L26" s="268"/>
      <c r="M26" s="270"/>
      <c r="N26" s="294"/>
      <c r="O26" s="294"/>
      <c r="P26" s="294"/>
      <c r="Q26" s="294"/>
      <c r="R26" s="294"/>
      <c r="S26" s="294"/>
      <c r="T26" s="294"/>
      <c r="U26" s="294"/>
      <c r="V26" s="294"/>
      <c r="W26" s="294"/>
      <c r="X26" s="294"/>
      <c r="Y26" s="294"/>
      <c r="Z26" s="294"/>
      <c r="AA26" s="294"/>
      <c r="AB26" s="294"/>
      <c r="AC26" s="294"/>
      <c r="AD26" s="294"/>
      <c r="AE26" s="294"/>
      <c r="AF26" s="294"/>
    </row>
    <row r="27" spans="2:32" s="79" customFormat="1">
      <c r="B27" s="265"/>
      <c r="C27" s="265"/>
      <c r="D27" s="265"/>
      <c r="E27" s="269" t="s">
        <v>943</v>
      </c>
      <c r="F27" s="270"/>
      <c r="G27" s="268"/>
      <c r="H27" s="269" t="s">
        <v>942</v>
      </c>
      <c r="I27" s="268"/>
      <c r="J27" s="268"/>
      <c r="K27" s="268"/>
      <c r="L27" s="268"/>
      <c r="M27" s="270"/>
      <c r="N27" s="294"/>
      <c r="O27" s="294"/>
      <c r="P27" s="294"/>
      <c r="Q27" s="294"/>
      <c r="R27" s="294"/>
      <c r="S27" s="294"/>
      <c r="T27" s="294"/>
      <c r="U27" s="294"/>
      <c r="V27" s="294"/>
      <c r="W27" s="294"/>
      <c r="X27" s="294"/>
      <c r="Y27" s="294"/>
      <c r="Z27" s="294"/>
      <c r="AA27" s="294"/>
      <c r="AB27" s="294"/>
      <c r="AC27" s="294"/>
      <c r="AD27" s="294"/>
      <c r="AE27" s="294"/>
      <c r="AF27" s="294"/>
    </row>
    <row r="28" spans="2:32" s="79" customFormat="1">
      <c r="B28" s="265"/>
      <c r="C28" s="265"/>
      <c r="D28" s="265"/>
      <c r="E28" s="269" t="s">
        <v>930</v>
      </c>
      <c r="F28" s="270"/>
      <c r="G28" s="268"/>
      <c r="H28" s="269" t="s">
        <v>929</v>
      </c>
      <c r="I28" s="268"/>
      <c r="J28" s="268"/>
      <c r="K28" s="268"/>
      <c r="L28" s="268"/>
      <c r="M28" s="270"/>
      <c r="N28" s="294"/>
      <c r="O28" s="294"/>
      <c r="P28" s="294"/>
      <c r="Q28" s="294"/>
      <c r="R28" s="294"/>
      <c r="S28" s="294"/>
      <c r="T28" s="294"/>
      <c r="U28" s="294"/>
      <c r="V28" s="294"/>
      <c r="W28" s="294"/>
      <c r="X28" s="294"/>
      <c r="Y28" s="294"/>
      <c r="Z28" s="294"/>
      <c r="AA28" s="294"/>
      <c r="AB28" s="294"/>
      <c r="AC28" s="294"/>
      <c r="AD28" s="294"/>
      <c r="AE28" s="294"/>
      <c r="AF28" s="294"/>
    </row>
    <row r="29" spans="2:32" s="79" customFormat="1">
      <c r="B29" s="265"/>
      <c r="C29" s="265"/>
      <c r="D29" s="265"/>
      <c r="E29" s="269" t="s">
        <v>956</v>
      </c>
      <c r="F29" s="270"/>
      <c r="G29" s="268"/>
      <c r="H29" s="269" t="s">
        <v>957</v>
      </c>
      <c r="I29" s="268"/>
      <c r="J29" s="268"/>
      <c r="K29" s="268"/>
      <c r="L29" s="268"/>
      <c r="M29" s="270"/>
      <c r="N29" s="294"/>
      <c r="O29" s="294"/>
      <c r="P29" s="294"/>
      <c r="Q29" s="294"/>
      <c r="R29" s="294"/>
      <c r="S29" s="294"/>
      <c r="T29" s="294"/>
      <c r="U29" s="294"/>
      <c r="V29" s="294"/>
      <c r="W29" s="294"/>
      <c r="X29" s="294"/>
      <c r="Y29" s="294"/>
      <c r="Z29" s="294"/>
      <c r="AA29" s="294"/>
      <c r="AB29" s="294"/>
      <c r="AC29" s="294"/>
      <c r="AD29" s="294"/>
      <c r="AE29" s="294"/>
      <c r="AF29" s="294"/>
    </row>
    <row r="30" spans="2:32" s="79" customFormat="1">
      <c r="B30" s="265"/>
      <c r="C30" s="265"/>
      <c r="D30" s="265"/>
      <c r="E30" s="269" t="s">
        <v>958</v>
      </c>
      <c r="F30" s="270"/>
      <c r="G30" s="268"/>
      <c r="H30" s="269" t="s">
        <v>959</v>
      </c>
      <c r="I30" s="268" t="s">
        <v>960</v>
      </c>
      <c r="J30" s="268" t="s">
        <v>961</v>
      </c>
      <c r="K30" s="268" t="s">
        <v>962</v>
      </c>
      <c r="L30" s="268" t="s">
        <v>963</v>
      </c>
      <c r="M30" s="270"/>
      <c r="N30" s="294"/>
      <c r="O30" s="294"/>
      <c r="P30" s="294"/>
      <c r="Q30" s="294"/>
      <c r="R30" s="294"/>
      <c r="S30" s="294"/>
      <c r="T30" s="294"/>
      <c r="U30" s="294"/>
      <c r="V30" s="294"/>
      <c r="W30" s="294"/>
      <c r="X30" s="294"/>
      <c r="Y30" s="294"/>
      <c r="Z30" s="294"/>
      <c r="AA30" s="294"/>
      <c r="AB30" s="294"/>
      <c r="AC30" s="294"/>
      <c r="AD30" s="294"/>
      <c r="AE30" s="294"/>
      <c r="AF30" s="294"/>
    </row>
    <row r="31" spans="2:32">
      <c r="D31" s="93" t="s">
        <v>24</v>
      </c>
      <c r="E31" s="271" t="s">
        <v>247</v>
      </c>
      <c r="F31" s="272"/>
      <c r="G31" s="264"/>
      <c r="H31" s="271" t="s">
        <v>964</v>
      </c>
      <c r="I31" s="264"/>
      <c r="J31" s="264"/>
      <c r="K31" s="264"/>
      <c r="L31" s="264"/>
      <c r="M31" s="272"/>
    </row>
    <row r="32" spans="2:32">
      <c r="D32" s="93" t="s">
        <v>24</v>
      </c>
      <c r="E32" s="271" t="s">
        <v>965</v>
      </c>
      <c r="F32" s="272" t="s">
        <v>966</v>
      </c>
      <c r="G32" s="264"/>
      <c r="H32" s="271" t="s">
        <v>966</v>
      </c>
      <c r="I32" s="264"/>
      <c r="J32" s="264"/>
      <c r="K32" s="264"/>
      <c r="L32" s="264"/>
      <c r="M32" s="272"/>
    </row>
    <row r="33" spans="2:32">
      <c r="C33" s="93" t="s">
        <v>24</v>
      </c>
      <c r="D33" s="93" t="s">
        <v>24</v>
      </c>
      <c r="E33" s="271" t="s">
        <v>254</v>
      </c>
      <c r="F33" s="272"/>
      <c r="G33" s="264"/>
      <c r="H33" s="271" t="s">
        <v>967</v>
      </c>
      <c r="I33" s="264" t="s">
        <v>968</v>
      </c>
      <c r="J33" s="264"/>
      <c r="K33" s="264"/>
      <c r="L33" s="264"/>
      <c r="M33" s="272"/>
    </row>
    <row r="34" spans="2:32" s="79" customFormat="1">
      <c r="B34" s="265"/>
      <c r="C34" s="265"/>
      <c r="D34" s="265"/>
      <c r="E34" s="269" t="s">
        <v>969</v>
      </c>
      <c r="F34" s="270"/>
      <c r="G34" s="268"/>
      <c r="H34" s="269" t="s">
        <v>970</v>
      </c>
      <c r="I34" s="268" t="s">
        <v>971</v>
      </c>
      <c r="J34" s="268"/>
      <c r="K34" s="268"/>
      <c r="L34" s="268"/>
      <c r="M34" s="270"/>
      <c r="N34" s="294"/>
      <c r="O34" s="294"/>
      <c r="P34" s="294"/>
      <c r="Q34" s="294"/>
      <c r="R34" s="294"/>
      <c r="S34" s="294"/>
      <c r="T34" s="294"/>
      <c r="U34" s="294"/>
      <c r="V34" s="294"/>
      <c r="W34" s="294"/>
      <c r="X34" s="294"/>
      <c r="Y34" s="294"/>
      <c r="Z34" s="294"/>
      <c r="AA34" s="294"/>
      <c r="AB34" s="294"/>
      <c r="AC34" s="294"/>
      <c r="AD34" s="294"/>
      <c r="AE34" s="294"/>
      <c r="AF34" s="294"/>
    </row>
    <row r="35" spans="2:32" s="79" customFormat="1">
      <c r="B35" s="265"/>
      <c r="C35" s="265"/>
      <c r="D35" s="265"/>
      <c r="E35" s="269" t="s">
        <v>972</v>
      </c>
      <c r="F35" s="270"/>
      <c r="G35" s="268"/>
      <c r="H35" s="269" t="s">
        <v>973</v>
      </c>
      <c r="I35" s="268"/>
      <c r="J35" s="268"/>
      <c r="K35" s="268"/>
      <c r="L35" s="268"/>
      <c r="M35" s="270"/>
      <c r="N35" s="294"/>
      <c r="O35" s="294"/>
      <c r="P35" s="294"/>
      <c r="Q35" s="294"/>
      <c r="R35" s="294"/>
      <c r="S35" s="294"/>
      <c r="T35" s="294"/>
      <c r="U35" s="294"/>
      <c r="V35" s="294"/>
      <c r="W35" s="294"/>
      <c r="X35" s="294"/>
      <c r="Y35" s="294"/>
      <c r="Z35" s="294"/>
      <c r="AA35" s="294"/>
      <c r="AB35" s="294"/>
      <c r="AC35" s="294"/>
      <c r="AD35" s="294"/>
      <c r="AE35" s="294"/>
      <c r="AF35" s="294"/>
    </row>
    <row r="36" spans="2:32" s="79" customFormat="1">
      <c r="B36" s="265"/>
      <c r="C36" s="265"/>
      <c r="D36" s="265"/>
      <c r="E36" s="269" t="s">
        <v>974</v>
      </c>
      <c r="F36" s="270"/>
      <c r="G36" s="268"/>
      <c r="H36" s="269" t="s">
        <v>430</v>
      </c>
      <c r="I36" s="268" t="s">
        <v>975</v>
      </c>
      <c r="J36" s="268" t="s">
        <v>976</v>
      </c>
      <c r="K36" s="268"/>
      <c r="L36" s="268"/>
      <c r="M36" s="270"/>
      <c r="N36" s="294"/>
      <c r="O36" s="294"/>
      <c r="P36" s="294"/>
      <c r="Q36" s="294"/>
      <c r="R36" s="294"/>
      <c r="S36" s="294"/>
      <c r="T36" s="294"/>
      <c r="U36" s="294"/>
      <c r="V36" s="294"/>
      <c r="W36" s="294"/>
      <c r="X36" s="294"/>
      <c r="Y36" s="294"/>
      <c r="Z36" s="294"/>
      <c r="AA36" s="294"/>
      <c r="AB36" s="294"/>
      <c r="AC36" s="294"/>
      <c r="AD36" s="294"/>
      <c r="AE36" s="294"/>
      <c r="AF36" s="294"/>
    </row>
    <row r="37" spans="2:32" s="79" customFormat="1">
      <c r="B37" s="265"/>
      <c r="C37" s="265"/>
      <c r="D37" s="265"/>
      <c r="E37" s="269" t="s">
        <v>292</v>
      </c>
      <c r="F37" s="270"/>
      <c r="G37" s="268"/>
      <c r="H37" s="269" t="s">
        <v>977</v>
      </c>
      <c r="I37" s="268"/>
      <c r="J37" s="268"/>
      <c r="K37" s="268"/>
      <c r="L37" s="268"/>
      <c r="M37" s="270"/>
      <c r="N37" s="294"/>
      <c r="O37" s="294"/>
      <c r="P37" s="294"/>
      <c r="Q37" s="294"/>
      <c r="R37" s="294"/>
      <c r="S37" s="294"/>
      <c r="T37" s="294"/>
      <c r="U37" s="294"/>
      <c r="V37" s="294"/>
      <c r="W37" s="294"/>
      <c r="X37" s="294"/>
      <c r="Y37" s="294"/>
      <c r="Z37" s="294"/>
      <c r="AA37" s="294"/>
      <c r="AB37" s="294"/>
      <c r="AC37" s="294"/>
      <c r="AD37" s="294"/>
      <c r="AE37" s="294"/>
      <c r="AF37" s="294"/>
    </row>
    <row r="38" spans="2:32" s="79" customFormat="1">
      <c r="B38" s="265"/>
      <c r="C38" s="265"/>
      <c r="D38" s="265"/>
      <c r="E38" s="269" t="s">
        <v>255</v>
      </c>
      <c r="F38" s="270"/>
      <c r="G38" s="268"/>
      <c r="H38" s="269" t="s">
        <v>978</v>
      </c>
      <c r="I38" s="268"/>
      <c r="J38" s="268"/>
      <c r="K38" s="268"/>
      <c r="L38" s="268"/>
      <c r="M38" s="270"/>
      <c r="N38" s="294"/>
      <c r="O38" s="294"/>
      <c r="P38" s="294"/>
      <c r="Q38" s="294"/>
      <c r="R38" s="294"/>
      <c r="S38" s="294"/>
      <c r="T38" s="294"/>
      <c r="U38" s="294"/>
      <c r="V38" s="294"/>
      <c r="W38" s="294"/>
      <c r="X38" s="294"/>
      <c r="Y38" s="294"/>
      <c r="Z38" s="294"/>
      <c r="AA38" s="294"/>
      <c r="AB38" s="294"/>
      <c r="AC38" s="294"/>
      <c r="AD38" s="294"/>
      <c r="AE38" s="294"/>
      <c r="AF38" s="294"/>
    </row>
    <row r="39" spans="2:32" s="79" customFormat="1">
      <c r="B39" s="265"/>
      <c r="C39" s="265"/>
      <c r="D39" s="265"/>
      <c r="E39" s="269" t="s">
        <v>979</v>
      </c>
      <c r="F39" s="270"/>
      <c r="G39" s="268"/>
      <c r="H39" s="269" t="s">
        <v>609</v>
      </c>
      <c r="I39" s="268"/>
      <c r="J39" s="268"/>
      <c r="K39" s="268"/>
      <c r="L39" s="268"/>
      <c r="M39" s="270"/>
      <c r="N39" s="294"/>
      <c r="O39" s="294"/>
      <c r="P39" s="294"/>
      <c r="Q39" s="294"/>
      <c r="R39" s="294"/>
      <c r="S39" s="294"/>
      <c r="T39" s="294"/>
      <c r="U39" s="294"/>
      <c r="V39" s="294"/>
      <c r="W39" s="294"/>
      <c r="X39" s="294"/>
      <c r="Y39" s="294"/>
      <c r="Z39" s="294"/>
      <c r="AA39" s="294"/>
      <c r="AB39" s="294"/>
      <c r="AC39" s="294"/>
      <c r="AD39" s="294"/>
      <c r="AE39" s="294"/>
      <c r="AF39" s="294"/>
    </row>
    <row r="40" spans="2:32" s="79" customFormat="1">
      <c r="B40" s="265"/>
      <c r="C40" s="265"/>
      <c r="D40" s="265"/>
      <c r="E40" s="269" t="s">
        <v>980</v>
      </c>
      <c r="F40" s="270"/>
      <c r="G40" s="268"/>
      <c r="H40" s="269" t="s">
        <v>981</v>
      </c>
      <c r="I40" s="268"/>
      <c r="J40" s="268"/>
      <c r="K40" s="268"/>
      <c r="L40" s="268"/>
      <c r="M40" s="270"/>
      <c r="N40" s="294"/>
      <c r="O40" s="294"/>
      <c r="P40" s="294"/>
      <c r="Q40" s="294"/>
      <c r="R40" s="294"/>
      <c r="S40" s="294"/>
      <c r="T40" s="294"/>
      <c r="U40" s="294"/>
      <c r="V40" s="294"/>
      <c r="W40" s="294"/>
      <c r="X40" s="294"/>
      <c r="Y40" s="294"/>
      <c r="Z40" s="294"/>
      <c r="AA40" s="294"/>
      <c r="AB40" s="294"/>
      <c r="AC40" s="294"/>
      <c r="AD40" s="294"/>
      <c r="AE40" s="294"/>
      <c r="AF40" s="294"/>
    </row>
    <row r="41" spans="2:32">
      <c r="D41" s="93" t="s">
        <v>24</v>
      </c>
      <c r="E41" s="271" t="s">
        <v>257</v>
      </c>
      <c r="F41" s="272"/>
      <c r="G41" s="264"/>
      <c r="H41" s="271" t="s">
        <v>982</v>
      </c>
      <c r="I41" s="264"/>
      <c r="J41" s="264"/>
      <c r="K41" s="264"/>
      <c r="L41" s="264"/>
      <c r="M41" s="272"/>
    </row>
    <row r="42" spans="2:32" s="79" customFormat="1">
      <c r="B42" s="265"/>
      <c r="C42" s="265"/>
      <c r="D42" s="265"/>
      <c r="E42" s="269" t="s">
        <v>983</v>
      </c>
      <c r="F42" s="270" t="s">
        <v>984</v>
      </c>
      <c r="G42" s="268"/>
      <c r="H42" s="269" t="s">
        <v>985</v>
      </c>
      <c r="I42" s="268"/>
      <c r="J42" s="268"/>
      <c r="K42" s="268"/>
      <c r="L42" s="268"/>
      <c r="M42" s="270"/>
      <c r="N42" s="294"/>
      <c r="O42" s="294"/>
      <c r="P42" s="294"/>
      <c r="Q42" s="294"/>
      <c r="R42" s="294"/>
      <c r="S42" s="294"/>
      <c r="T42" s="294"/>
      <c r="U42" s="294"/>
      <c r="V42" s="294"/>
      <c r="W42" s="294"/>
      <c r="X42" s="294"/>
      <c r="Y42" s="294"/>
      <c r="Z42" s="294"/>
      <c r="AA42" s="294"/>
      <c r="AB42" s="294"/>
      <c r="AC42" s="294"/>
      <c r="AD42" s="294"/>
      <c r="AE42" s="294"/>
      <c r="AF42" s="294"/>
    </row>
    <row r="43" spans="2:32" s="79" customFormat="1">
      <c r="B43" s="265"/>
      <c r="C43" s="265"/>
      <c r="D43" s="265"/>
      <c r="E43" s="269" t="s">
        <v>986</v>
      </c>
      <c r="F43" s="270"/>
      <c r="G43" s="268"/>
      <c r="H43" s="269" t="s">
        <v>987</v>
      </c>
      <c r="I43" s="268"/>
      <c r="J43" s="268"/>
      <c r="K43" s="268"/>
      <c r="L43" s="268"/>
      <c r="M43" s="270"/>
      <c r="N43" s="294"/>
      <c r="O43" s="294"/>
      <c r="P43" s="294"/>
      <c r="Q43" s="294"/>
      <c r="R43" s="294"/>
      <c r="S43" s="294"/>
      <c r="T43" s="294"/>
      <c r="U43" s="294"/>
      <c r="V43" s="294"/>
      <c r="W43" s="294"/>
      <c r="X43" s="294"/>
      <c r="Y43" s="294"/>
      <c r="Z43" s="294"/>
      <c r="AA43" s="294"/>
      <c r="AB43" s="294"/>
      <c r="AC43" s="294"/>
      <c r="AD43" s="294"/>
      <c r="AE43" s="294"/>
      <c r="AF43" s="294"/>
    </row>
    <row r="44" spans="2:32" s="79" customFormat="1">
      <c r="B44" s="265"/>
      <c r="C44" s="265"/>
      <c r="D44" s="265"/>
      <c r="E44" s="273" t="s">
        <v>267</v>
      </c>
      <c r="F44" s="274"/>
      <c r="G44" s="268"/>
      <c r="H44" s="273" t="s">
        <v>269</v>
      </c>
      <c r="I44" s="295"/>
      <c r="J44" s="295"/>
      <c r="K44" s="295"/>
      <c r="L44" s="295"/>
      <c r="M44" s="274"/>
      <c r="N44" s="294"/>
      <c r="O44" s="294"/>
      <c r="P44" s="294"/>
      <c r="Q44" s="294"/>
      <c r="R44" s="294"/>
      <c r="S44" s="294"/>
      <c r="T44" s="294"/>
      <c r="U44" s="294"/>
      <c r="V44" s="294"/>
      <c r="W44" s="294"/>
      <c r="X44" s="294"/>
      <c r="Y44" s="294"/>
      <c r="Z44" s="294"/>
      <c r="AA44" s="294"/>
      <c r="AB44" s="294"/>
      <c r="AC44" s="294"/>
      <c r="AD44" s="294"/>
      <c r="AE44" s="294"/>
      <c r="AF44" s="294"/>
    </row>
    <row r="45" spans="2:32" ht="8" customHeight="1">
      <c r="B45" s="262" t="s">
        <v>12</v>
      </c>
      <c r="C45" s="262" t="s">
        <v>12</v>
      </c>
      <c r="D45" s="262" t="s">
        <v>12</v>
      </c>
      <c r="E45" s="264"/>
      <c r="F45" s="264"/>
      <c r="G45" s="264"/>
      <c r="H45" s="264"/>
      <c r="I45" s="264"/>
      <c r="J45" s="264"/>
      <c r="K45" s="264"/>
      <c r="L45" s="264"/>
      <c r="M45" s="264"/>
    </row>
    <row r="46" spans="2:32" ht="16">
      <c r="B46" s="262" t="s">
        <v>12</v>
      </c>
      <c r="C46" s="262" t="s">
        <v>12</v>
      </c>
      <c r="D46" s="262" t="s">
        <v>12</v>
      </c>
      <c r="E46" s="275" t="s">
        <v>270</v>
      </c>
      <c r="F46" s="275"/>
      <c r="G46" s="275"/>
      <c r="H46" s="264"/>
      <c r="I46" s="264"/>
      <c r="J46" s="264"/>
      <c r="K46" s="264"/>
      <c r="L46" s="264"/>
      <c r="M46" s="264"/>
    </row>
    <row r="47" spans="2:32" s="79" customFormat="1">
      <c r="B47" s="265"/>
      <c r="C47" s="265"/>
      <c r="D47" s="265"/>
      <c r="E47" s="276" t="s">
        <v>988</v>
      </c>
      <c r="F47" s="277"/>
      <c r="G47" s="268"/>
      <c r="H47" s="276" t="s">
        <v>989</v>
      </c>
      <c r="I47" s="296" t="s">
        <v>990</v>
      </c>
      <c r="J47" s="296"/>
      <c r="K47" s="296"/>
      <c r="L47" s="296"/>
      <c r="M47" s="277"/>
      <c r="N47" s="294"/>
      <c r="O47" s="294"/>
      <c r="P47" s="294"/>
      <c r="Q47" s="294"/>
      <c r="R47" s="294"/>
      <c r="S47" s="294"/>
      <c r="T47" s="294"/>
      <c r="U47" s="294"/>
      <c r="V47" s="294"/>
      <c r="W47" s="294"/>
      <c r="X47" s="294"/>
      <c r="Y47" s="294"/>
      <c r="Z47" s="294"/>
      <c r="AA47" s="294"/>
      <c r="AB47" s="294"/>
      <c r="AC47" s="294"/>
      <c r="AD47" s="294"/>
      <c r="AE47" s="294"/>
      <c r="AF47" s="294"/>
    </row>
    <row r="48" spans="2:32" s="79" customFormat="1">
      <c r="B48" s="265"/>
      <c r="C48" s="265"/>
      <c r="D48" s="265"/>
      <c r="E48" s="278" t="s">
        <v>991</v>
      </c>
      <c r="F48" s="279"/>
      <c r="G48" s="268"/>
      <c r="H48" s="278" t="s">
        <v>992</v>
      </c>
      <c r="I48" s="268"/>
      <c r="J48" s="268"/>
      <c r="K48" s="268"/>
      <c r="L48" s="268"/>
      <c r="M48" s="279"/>
      <c r="N48" s="294"/>
      <c r="O48" s="294"/>
      <c r="P48" s="294"/>
      <c r="Q48" s="294"/>
      <c r="R48" s="294"/>
      <c r="S48" s="294"/>
      <c r="T48" s="294"/>
      <c r="U48" s="294"/>
      <c r="V48" s="294"/>
      <c r="W48" s="294"/>
      <c r="X48" s="294"/>
      <c r="Y48" s="294"/>
      <c r="Z48" s="294"/>
      <c r="AA48" s="294"/>
      <c r="AB48" s="294"/>
      <c r="AC48" s="294"/>
      <c r="AD48" s="294"/>
      <c r="AE48" s="294"/>
      <c r="AF48" s="294"/>
    </row>
    <row r="49" spans="2:32" s="79" customFormat="1">
      <c r="B49" s="265"/>
      <c r="C49" s="265"/>
      <c r="D49" s="265"/>
      <c r="E49" s="278" t="s">
        <v>993</v>
      </c>
      <c r="F49" s="279"/>
      <c r="G49" s="268"/>
      <c r="H49" s="278" t="s">
        <v>994</v>
      </c>
      <c r="I49" s="268"/>
      <c r="J49" s="268"/>
      <c r="K49" s="268"/>
      <c r="L49" s="268"/>
      <c r="M49" s="279"/>
      <c r="N49" s="294"/>
      <c r="O49" s="294"/>
      <c r="P49" s="294"/>
      <c r="Q49" s="294"/>
      <c r="R49" s="294"/>
      <c r="S49" s="294"/>
      <c r="T49" s="294"/>
      <c r="U49" s="294"/>
      <c r="V49" s="294"/>
      <c r="W49" s="294"/>
      <c r="X49" s="294"/>
      <c r="Y49" s="294"/>
      <c r="Z49" s="294"/>
      <c r="AA49" s="294"/>
      <c r="AB49" s="294"/>
      <c r="AC49" s="294"/>
      <c r="AD49" s="294"/>
      <c r="AE49" s="294"/>
      <c r="AF49" s="294"/>
    </row>
    <row r="50" spans="2:32" s="79" customFormat="1">
      <c r="B50" s="265"/>
      <c r="C50" s="265"/>
      <c r="D50" s="265"/>
      <c r="E50" s="278" t="s">
        <v>995</v>
      </c>
      <c r="F50" s="279" t="s">
        <v>996</v>
      </c>
      <c r="G50" s="268"/>
      <c r="H50" s="278" t="s">
        <v>997</v>
      </c>
      <c r="I50" s="268"/>
      <c r="J50" s="268"/>
      <c r="K50" s="268"/>
      <c r="L50" s="268"/>
      <c r="M50" s="279"/>
      <c r="N50" s="294"/>
      <c r="O50" s="294"/>
      <c r="P50" s="294"/>
      <c r="Q50" s="294"/>
      <c r="R50" s="294"/>
      <c r="S50" s="294"/>
      <c r="T50" s="294"/>
      <c r="U50" s="294"/>
      <c r="V50" s="294"/>
      <c r="W50" s="294"/>
      <c r="X50" s="294"/>
      <c r="Y50" s="294"/>
      <c r="Z50" s="294"/>
      <c r="AA50" s="294"/>
      <c r="AB50" s="294"/>
      <c r="AC50" s="294"/>
      <c r="AD50" s="294"/>
      <c r="AE50" s="294"/>
      <c r="AF50" s="294"/>
    </row>
    <row r="51" spans="2:32" s="79" customFormat="1">
      <c r="B51" s="265"/>
      <c r="C51" s="265"/>
      <c r="D51" s="265"/>
      <c r="E51" s="278" t="s">
        <v>998</v>
      </c>
      <c r="F51" s="279"/>
      <c r="G51" s="268"/>
      <c r="H51" s="278" t="s">
        <v>999</v>
      </c>
      <c r="I51" s="268" t="s">
        <v>1000</v>
      </c>
      <c r="J51" s="268"/>
      <c r="K51" s="268"/>
      <c r="L51" s="268"/>
      <c r="M51" s="279"/>
      <c r="N51" s="294"/>
      <c r="O51" s="294"/>
      <c r="P51" s="294"/>
      <c r="Q51" s="294"/>
      <c r="R51" s="294"/>
      <c r="S51" s="294"/>
      <c r="T51" s="294"/>
      <c r="U51" s="294"/>
      <c r="V51" s="294"/>
      <c r="W51" s="294"/>
      <c r="X51" s="294"/>
      <c r="Y51" s="294"/>
      <c r="Z51" s="294"/>
      <c r="AA51" s="294"/>
      <c r="AB51" s="294"/>
      <c r="AC51" s="294"/>
      <c r="AD51" s="294"/>
      <c r="AE51" s="294"/>
      <c r="AF51" s="294"/>
    </row>
    <row r="52" spans="2:32" s="79" customFormat="1">
      <c r="B52" s="265"/>
      <c r="C52" s="265"/>
      <c r="D52" s="265"/>
      <c r="E52" s="278" t="s">
        <v>1001</v>
      </c>
      <c r="F52" s="279" t="s">
        <v>1002</v>
      </c>
      <c r="G52" s="268"/>
      <c r="H52" s="278" t="s">
        <v>1003</v>
      </c>
      <c r="I52" s="268"/>
      <c r="J52" s="268"/>
      <c r="K52" s="268"/>
      <c r="L52" s="268"/>
      <c r="M52" s="279"/>
      <c r="N52" s="294"/>
      <c r="O52" s="294"/>
      <c r="P52" s="294"/>
      <c r="Q52" s="294"/>
      <c r="R52" s="294"/>
      <c r="S52" s="294"/>
      <c r="T52" s="294"/>
      <c r="U52" s="294"/>
      <c r="V52" s="294"/>
      <c r="W52" s="294"/>
      <c r="X52" s="294"/>
      <c r="Y52" s="294"/>
      <c r="Z52" s="294"/>
      <c r="AA52" s="294"/>
      <c r="AB52" s="294"/>
      <c r="AC52" s="294"/>
      <c r="AD52" s="294"/>
      <c r="AE52" s="294"/>
      <c r="AF52" s="294"/>
    </row>
    <row r="53" spans="2:32" s="79" customFormat="1">
      <c r="B53" s="265"/>
      <c r="C53" s="265"/>
      <c r="D53" s="265"/>
      <c r="E53" s="280" t="s">
        <v>1004</v>
      </c>
      <c r="F53" s="281"/>
      <c r="G53" s="268"/>
      <c r="H53" s="280" t="s">
        <v>1005</v>
      </c>
      <c r="I53" s="297" t="s">
        <v>442</v>
      </c>
      <c r="J53" s="297" t="s">
        <v>504</v>
      </c>
      <c r="K53" s="297"/>
      <c r="L53" s="297"/>
      <c r="M53" s="281"/>
      <c r="N53" s="294"/>
      <c r="O53" s="294"/>
      <c r="P53" s="294"/>
      <c r="Q53" s="294"/>
      <c r="R53" s="294"/>
      <c r="S53" s="294"/>
      <c r="T53" s="294"/>
      <c r="U53" s="294"/>
      <c r="V53" s="294"/>
      <c r="W53" s="294"/>
      <c r="X53" s="294"/>
      <c r="Y53" s="294"/>
      <c r="Z53" s="294"/>
      <c r="AA53" s="294"/>
      <c r="AB53" s="294"/>
      <c r="AC53" s="294"/>
      <c r="AD53" s="294"/>
      <c r="AE53" s="294"/>
      <c r="AF53" s="294"/>
    </row>
    <row r="54" spans="2:32" ht="8" customHeight="1">
      <c r="B54" s="262" t="s">
        <v>12</v>
      </c>
      <c r="C54" s="262" t="s">
        <v>12</v>
      </c>
      <c r="D54" s="262" t="s">
        <v>12</v>
      </c>
      <c r="E54" s="264"/>
      <c r="F54" s="264"/>
      <c r="G54" s="264"/>
      <c r="H54" s="264"/>
      <c r="I54" s="264"/>
      <c r="J54" s="264"/>
      <c r="K54" s="264"/>
      <c r="L54" s="264"/>
      <c r="M54" s="264"/>
    </row>
    <row r="55" spans="2:32" ht="16">
      <c r="B55" s="262" t="s">
        <v>12</v>
      </c>
      <c r="C55" s="262" t="s">
        <v>12</v>
      </c>
      <c r="D55" s="262" t="s">
        <v>12</v>
      </c>
      <c r="E55" s="282" t="s">
        <v>276</v>
      </c>
      <c r="F55" s="282"/>
      <c r="G55" s="282"/>
      <c r="H55" s="264"/>
      <c r="I55" s="264"/>
      <c r="J55" s="264"/>
      <c r="K55" s="264"/>
      <c r="L55" s="264"/>
      <c r="M55" s="264"/>
    </row>
    <row r="56" spans="2:32" s="79" customFormat="1">
      <c r="B56" s="265"/>
      <c r="C56" s="265"/>
      <c r="D56" s="265"/>
      <c r="E56" s="283" t="s">
        <v>1006</v>
      </c>
      <c r="F56" s="284"/>
      <c r="G56" s="268"/>
      <c r="H56" s="283" t="s">
        <v>1007</v>
      </c>
      <c r="I56" s="298" t="s">
        <v>1008</v>
      </c>
      <c r="J56" s="298"/>
      <c r="K56" s="298"/>
      <c r="L56" s="298"/>
      <c r="M56" s="284"/>
      <c r="N56" s="294"/>
      <c r="O56" s="294"/>
      <c r="P56" s="294"/>
      <c r="Q56" s="294"/>
      <c r="R56" s="294"/>
      <c r="S56" s="294"/>
      <c r="T56" s="294"/>
      <c r="U56" s="294"/>
      <c r="V56" s="294"/>
      <c r="W56" s="294"/>
      <c r="X56" s="294"/>
      <c r="Y56" s="294"/>
      <c r="Z56" s="294"/>
      <c r="AA56" s="294"/>
      <c r="AB56" s="294"/>
      <c r="AC56" s="294"/>
      <c r="AD56" s="294"/>
      <c r="AE56" s="294"/>
      <c r="AF56" s="294"/>
    </row>
    <row r="57" spans="2:32">
      <c r="D57" s="93" t="s">
        <v>24</v>
      </c>
      <c r="E57" s="285" t="s">
        <v>1009</v>
      </c>
      <c r="F57" s="286"/>
      <c r="G57" s="264"/>
      <c r="H57" s="285" t="s">
        <v>1010</v>
      </c>
      <c r="I57" s="264"/>
      <c r="J57" s="264"/>
      <c r="K57" s="264"/>
      <c r="L57" s="264"/>
      <c r="M57" s="286"/>
    </row>
    <row r="58" spans="2:32">
      <c r="D58" s="93" t="s">
        <v>24</v>
      </c>
      <c r="E58" s="285" t="s">
        <v>281</v>
      </c>
      <c r="F58" s="286"/>
      <c r="G58" s="264"/>
      <c r="H58" s="285" t="s">
        <v>476</v>
      </c>
      <c r="I58" s="264" t="s">
        <v>1011</v>
      </c>
      <c r="J58" s="264"/>
      <c r="K58" s="264"/>
      <c r="L58" s="264"/>
      <c r="M58" s="286"/>
    </row>
    <row r="59" spans="2:32" s="79" customFormat="1">
      <c r="B59" s="265"/>
      <c r="C59" s="265"/>
      <c r="D59" s="265"/>
      <c r="E59" s="287" t="s">
        <v>1012</v>
      </c>
      <c r="F59" s="288"/>
      <c r="G59" s="268"/>
      <c r="H59" s="287" t="s">
        <v>394</v>
      </c>
      <c r="I59" s="268" t="s">
        <v>1013</v>
      </c>
      <c r="J59" s="268"/>
      <c r="K59" s="268"/>
      <c r="L59" s="268"/>
      <c r="M59" s="288"/>
      <c r="N59" s="294"/>
      <c r="O59" s="294"/>
      <c r="P59" s="294"/>
      <c r="Q59" s="294"/>
      <c r="R59" s="294"/>
      <c r="S59" s="294"/>
      <c r="T59" s="294"/>
      <c r="U59" s="294"/>
      <c r="V59" s="294"/>
      <c r="W59" s="294"/>
      <c r="X59" s="294"/>
      <c r="Y59" s="294"/>
      <c r="Z59" s="294"/>
      <c r="AA59" s="294"/>
      <c r="AB59" s="294"/>
      <c r="AC59" s="294"/>
      <c r="AD59" s="294"/>
      <c r="AE59" s="294"/>
      <c r="AF59" s="294"/>
    </row>
    <row r="60" spans="2:32" s="79" customFormat="1">
      <c r="B60" s="265"/>
      <c r="C60" s="265"/>
      <c r="D60" s="265"/>
      <c r="E60" s="287" t="s">
        <v>1014</v>
      </c>
      <c r="F60" s="288" t="s">
        <v>1015</v>
      </c>
      <c r="G60" s="268"/>
      <c r="H60" s="287" t="s">
        <v>465</v>
      </c>
      <c r="I60" s="268" t="s">
        <v>1016</v>
      </c>
      <c r="J60" s="268"/>
      <c r="K60" s="268"/>
      <c r="L60" s="268"/>
      <c r="M60" s="288"/>
      <c r="N60" s="294"/>
      <c r="O60" s="294"/>
      <c r="P60" s="294"/>
      <c r="Q60" s="294"/>
      <c r="R60" s="294"/>
      <c r="S60" s="294"/>
      <c r="T60" s="294"/>
      <c r="U60" s="294"/>
      <c r="V60" s="294"/>
      <c r="W60" s="294"/>
      <c r="X60" s="294"/>
      <c r="Y60" s="294"/>
      <c r="Z60" s="294"/>
      <c r="AA60" s="294"/>
      <c r="AB60" s="294"/>
      <c r="AC60" s="294"/>
      <c r="AD60" s="294"/>
      <c r="AE60" s="294"/>
      <c r="AF60" s="294"/>
    </row>
    <row r="61" spans="2:32" s="79" customFormat="1">
      <c r="B61" s="265"/>
      <c r="C61" s="265"/>
      <c r="D61" s="265"/>
      <c r="E61" s="287" t="s">
        <v>1017</v>
      </c>
      <c r="F61" s="288" t="s">
        <v>1018</v>
      </c>
      <c r="G61" s="268"/>
      <c r="H61" s="287" t="s">
        <v>1019</v>
      </c>
      <c r="I61" s="268"/>
      <c r="J61" s="268"/>
      <c r="K61" s="268"/>
      <c r="L61" s="268"/>
      <c r="M61" s="288"/>
      <c r="N61" s="294"/>
      <c r="O61" s="294"/>
      <c r="P61" s="294"/>
      <c r="Q61" s="294"/>
      <c r="R61" s="294"/>
      <c r="S61" s="294"/>
      <c r="T61" s="294"/>
      <c r="U61" s="294"/>
      <c r="V61" s="294"/>
      <c r="W61" s="294"/>
      <c r="X61" s="294"/>
      <c r="Y61" s="294"/>
      <c r="Z61" s="294"/>
      <c r="AA61" s="294"/>
      <c r="AB61" s="294"/>
      <c r="AC61" s="294"/>
      <c r="AD61" s="294"/>
      <c r="AE61" s="294"/>
      <c r="AF61" s="294"/>
    </row>
    <row r="62" spans="2:32" s="79" customFormat="1">
      <c r="B62" s="265"/>
      <c r="C62" s="265"/>
      <c r="D62" s="265"/>
      <c r="E62" s="287" t="s">
        <v>1020</v>
      </c>
      <c r="F62" s="288" t="s">
        <v>1021</v>
      </c>
      <c r="G62" s="268"/>
      <c r="H62" s="287" t="s">
        <v>400</v>
      </c>
      <c r="I62" s="268"/>
      <c r="J62" s="268"/>
      <c r="K62" s="268"/>
      <c r="L62" s="268"/>
      <c r="M62" s="288"/>
      <c r="N62" s="294"/>
      <c r="O62" s="294"/>
      <c r="P62" s="294"/>
      <c r="Q62" s="294"/>
      <c r="R62" s="294"/>
      <c r="S62" s="294"/>
      <c r="T62" s="294"/>
      <c r="U62" s="294"/>
      <c r="V62" s="294"/>
      <c r="W62" s="294"/>
      <c r="X62" s="294"/>
      <c r="Y62" s="294"/>
      <c r="Z62" s="294"/>
      <c r="AA62" s="294"/>
      <c r="AB62" s="294"/>
      <c r="AC62" s="294"/>
      <c r="AD62" s="294"/>
      <c r="AE62" s="294"/>
      <c r="AF62" s="294"/>
    </row>
    <row r="63" spans="2:32" s="79" customFormat="1">
      <c r="B63" s="265"/>
      <c r="C63" s="265"/>
      <c r="D63" s="265"/>
      <c r="E63" s="289" t="s">
        <v>987</v>
      </c>
      <c r="F63" s="290"/>
      <c r="G63" s="268"/>
      <c r="H63" s="289" t="s">
        <v>986</v>
      </c>
      <c r="I63" s="299"/>
      <c r="J63" s="299"/>
      <c r="K63" s="299"/>
      <c r="L63" s="299"/>
      <c r="M63" s="290"/>
      <c r="N63" s="294"/>
      <c r="O63" s="294"/>
      <c r="P63" s="294"/>
      <c r="Q63" s="294"/>
      <c r="R63" s="294"/>
      <c r="S63" s="294"/>
      <c r="T63" s="294"/>
      <c r="U63" s="294"/>
      <c r="V63" s="294"/>
      <c r="W63" s="294"/>
      <c r="X63" s="294"/>
      <c r="Y63" s="294"/>
      <c r="Z63" s="294"/>
      <c r="AA63" s="294"/>
      <c r="AB63" s="294"/>
      <c r="AC63" s="294"/>
      <c r="AD63" s="294"/>
      <c r="AE63" s="294"/>
      <c r="AF63" s="294"/>
    </row>
    <row r="64" spans="2:32" ht="8" customHeight="1">
      <c r="B64" s="262" t="s">
        <v>12</v>
      </c>
      <c r="C64" s="262" t="s">
        <v>12</v>
      </c>
      <c r="D64" s="262" t="s">
        <v>12</v>
      </c>
      <c r="E64" s="264"/>
      <c r="F64" s="264"/>
      <c r="G64" s="264"/>
      <c r="H64" s="264"/>
      <c r="I64" s="264"/>
      <c r="J64" s="264"/>
      <c r="K64" s="264"/>
      <c r="L64" s="264"/>
      <c r="M64" s="264"/>
    </row>
    <row r="65" spans="2:32" ht="16">
      <c r="B65" s="262" t="s">
        <v>12</v>
      </c>
      <c r="C65" s="262" t="s">
        <v>12</v>
      </c>
      <c r="D65" s="262" t="s">
        <v>12</v>
      </c>
      <c r="E65" s="300" t="s">
        <v>285</v>
      </c>
      <c r="F65" s="300"/>
      <c r="G65" s="300"/>
      <c r="H65" s="264"/>
      <c r="I65" s="264"/>
      <c r="J65" s="264"/>
      <c r="K65" s="264"/>
      <c r="L65" s="264"/>
      <c r="M65" s="264"/>
    </row>
    <row r="66" spans="2:32" s="79" customFormat="1">
      <c r="B66" s="265"/>
      <c r="C66" s="265"/>
      <c r="D66" s="265"/>
      <c r="E66" s="301" t="s">
        <v>192</v>
      </c>
      <c r="F66" s="302"/>
      <c r="G66" s="268"/>
      <c r="H66" s="301" t="s">
        <v>1022</v>
      </c>
      <c r="I66" s="343"/>
      <c r="J66" s="343"/>
      <c r="K66" s="343"/>
      <c r="L66" s="343"/>
      <c r="M66" s="302"/>
      <c r="N66" s="294"/>
      <c r="O66" s="294"/>
      <c r="P66" s="294"/>
      <c r="Q66" s="294"/>
      <c r="R66" s="294"/>
      <c r="S66" s="294"/>
      <c r="T66" s="294"/>
      <c r="U66" s="294"/>
      <c r="V66" s="294"/>
      <c r="W66" s="294"/>
      <c r="X66" s="294"/>
      <c r="Y66" s="294"/>
      <c r="Z66" s="294"/>
      <c r="AA66" s="294"/>
      <c r="AB66" s="294"/>
      <c r="AC66" s="294"/>
      <c r="AD66" s="294"/>
      <c r="AE66" s="294"/>
      <c r="AF66" s="294"/>
    </row>
    <row r="67" spans="2:32" s="79" customFormat="1">
      <c r="B67" s="265"/>
      <c r="C67" s="265"/>
      <c r="D67" s="265"/>
      <c r="E67" s="303" t="s">
        <v>1023</v>
      </c>
      <c r="F67" s="304"/>
      <c r="G67" s="268"/>
      <c r="H67" s="303" t="s">
        <v>1024</v>
      </c>
      <c r="I67" s="268" t="s">
        <v>1025</v>
      </c>
      <c r="J67" s="268"/>
      <c r="K67" s="268"/>
      <c r="L67" s="268"/>
      <c r="M67" s="304"/>
      <c r="N67" s="294"/>
      <c r="O67" s="294"/>
      <c r="P67" s="294"/>
      <c r="Q67" s="294"/>
      <c r="R67" s="294"/>
      <c r="S67" s="294"/>
      <c r="T67" s="294"/>
      <c r="U67" s="294"/>
      <c r="V67" s="294"/>
      <c r="W67" s="294"/>
      <c r="X67" s="294"/>
      <c r="Y67" s="294"/>
      <c r="Z67" s="294"/>
      <c r="AA67" s="294"/>
      <c r="AB67" s="294"/>
      <c r="AC67" s="294"/>
      <c r="AD67" s="294"/>
      <c r="AE67" s="294"/>
      <c r="AF67" s="294"/>
    </row>
    <row r="68" spans="2:32" s="79" customFormat="1">
      <c r="B68" s="265"/>
      <c r="C68" s="265"/>
      <c r="D68" s="265"/>
      <c r="E68" s="303" t="s">
        <v>1026</v>
      </c>
      <c r="F68" s="304"/>
      <c r="G68" s="268"/>
      <c r="H68" s="303" t="s">
        <v>1027</v>
      </c>
      <c r="I68" s="268" t="s">
        <v>1028</v>
      </c>
      <c r="J68" s="268"/>
      <c r="K68" s="268"/>
      <c r="L68" s="268"/>
      <c r="M68" s="304"/>
      <c r="N68" s="294"/>
      <c r="O68" s="294"/>
      <c r="P68" s="294"/>
      <c r="Q68" s="294"/>
      <c r="R68" s="294"/>
      <c r="S68" s="294"/>
      <c r="T68" s="294"/>
      <c r="U68" s="294"/>
      <c r="V68" s="294"/>
      <c r="W68" s="294"/>
      <c r="X68" s="294"/>
      <c r="Y68" s="294"/>
      <c r="Z68" s="294"/>
      <c r="AA68" s="294"/>
      <c r="AB68" s="294"/>
      <c r="AC68" s="294"/>
      <c r="AD68" s="294"/>
      <c r="AE68" s="294"/>
      <c r="AF68" s="294"/>
    </row>
    <row r="69" spans="2:32" s="79" customFormat="1">
      <c r="B69" s="265"/>
      <c r="C69" s="265"/>
      <c r="D69" s="265"/>
      <c r="E69" s="303" t="s">
        <v>1029</v>
      </c>
      <c r="F69" s="304"/>
      <c r="G69" s="268"/>
      <c r="H69" s="303" t="s">
        <v>1030</v>
      </c>
      <c r="I69" s="268"/>
      <c r="J69" s="268"/>
      <c r="K69" s="268"/>
      <c r="L69" s="268"/>
      <c r="M69" s="304"/>
      <c r="N69" s="294"/>
      <c r="O69" s="294"/>
      <c r="P69" s="294"/>
      <c r="Q69" s="294"/>
      <c r="R69" s="294"/>
      <c r="S69" s="294"/>
      <c r="T69" s="294"/>
      <c r="U69" s="294"/>
      <c r="V69" s="294"/>
      <c r="W69" s="294"/>
      <c r="X69" s="294"/>
      <c r="Y69" s="294"/>
      <c r="Z69" s="294"/>
      <c r="AA69" s="294"/>
      <c r="AB69" s="294"/>
      <c r="AC69" s="294"/>
      <c r="AD69" s="294"/>
      <c r="AE69" s="294"/>
      <c r="AF69" s="294"/>
    </row>
    <row r="70" spans="2:32" s="79" customFormat="1">
      <c r="B70" s="265"/>
      <c r="C70" s="265"/>
      <c r="D70" s="265"/>
      <c r="E70" s="303" t="s">
        <v>1031</v>
      </c>
      <c r="F70" s="304"/>
      <c r="G70" s="268"/>
      <c r="H70" s="303" t="s">
        <v>1032</v>
      </c>
      <c r="I70" s="268" t="s">
        <v>1033</v>
      </c>
      <c r="J70" s="268" t="s">
        <v>1034</v>
      </c>
      <c r="K70" s="268"/>
      <c r="L70" s="268"/>
      <c r="M70" s="304"/>
      <c r="N70" s="294"/>
      <c r="O70" s="294"/>
      <c r="P70" s="294"/>
      <c r="Q70" s="294"/>
      <c r="R70" s="294"/>
      <c r="S70" s="294"/>
      <c r="T70" s="294"/>
      <c r="U70" s="294"/>
      <c r="V70" s="294"/>
      <c r="W70" s="294"/>
      <c r="X70" s="294"/>
      <c r="Y70" s="294"/>
      <c r="Z70" s="294"/>
      <c r="AA70" s="294"/>
      <c r="AB70" s="294"/>
      <c r="AC70" s="294"/>
      <c r="AD70" s="294"/>
      <c r="AE70" s="294"/>
      <c r="AF70" s="294"/>
    </row>
    <row r="71" spans="2:32" s="79" customFormat="1">
      <c r="B71" s="265"/>
      <c r="C71" s="265"/>
      <c r="D71" s="265"/>
      <c r="E71" s="303" t="s">
        <v>1035</v>
      </c>
      <c r="F71" s="304"/>
      <c r="G71" s="268"/>
      <c r="H71" s="303" t="s">
        <v>1036</v>
      </c>
      <c r="I71" s="268"/>
      <c r="J71" s="268"/>
      <c r="K71" s="268"/>
      <c r="L71" s="268"/>
      <c r="M71" s="304"/>
      <c r="N71" s="294"/>
      <c r="O71" s="294"/>
      <c r="P71" s="294"/>
      <c r="Q71" s="294"/>
      <c r="R71" s="294"/>
      <c r="S71" s="294"/>
      <c r="T71" s="294"/>
      <c r="U71" s="294"/>
      <c r="V71" s="294"/>
      <c r="W71" s="294"/>
      <c r="X71" s="294"/>
      <c r="Y71" s="294"/>
      <c r="Z71" s="294"/>
      <c r="AA71" s="294"/>
      <c r="AB71" s="294"/>
      <c r="AC71" s="294"/>
      <c r="AD71" s="294"/>
      <c r="AE71" s="294"/>
      <c r="AF71" s="294"/>
    </row>
    <row r="72" spans="2:32">
      <c r="D72" s="93" t="s">
        <v>24</v>
      </c>
      <c r="E72" s="305" t="s">
        <v>174</v>
      </c>
      <c r="F72" s="306"/>
      <c r="G72" s="264"/>
      <c r="H72" s="305" t="s">
        <v>934</v>
      </c>
      <c r="I72" s="264" t="s">
        <v>935</v>
      </c>
      <c r="J72" s="264" t="s">
        <v>937</v>
      </c>
      <c r="K72" s="264" t="s">
        <v>936</v>
      </c>
      <c r="L72" s="264"/>
      <c r="M72" s="306"/>
    </row>
    <row r="73" spans="2:32" s="79" customFormat="1">
      <c r="B73" s="265"/>
      <c r="C73" s="265"/>
      <c r="D73" s="265"/>
      <c r="E73" s="303" t="s">
        <v>1037</v>
      </c>
      <c r="F73" s="304"/>
      <c r="G73" s="268"/>
      <c r="H73" s="303" t="s">
        <v>1006</v>
      </c>
      <c r="I73" s="268" t="s">
        <v>1038</v>
      </c>
      <c r="J73" s="268"/>
      <c r="K73" s="268"/>
      <c r="L73" s="268"/>
      <c r="M73" s="304"/>
      <c r="N73" s="294"/>
      <c r="O73" s="294"/>
      <c r="P73" s="294"/>
      <c r="Q73" s="294"/>
      <c r="R73" s="294"/>
      <c r="S73" s="294"/>
      <c r="T73" s="294"/>
      <c r="U73" s="294"/>
      <c r="V73" s="294"/>
      <c r="W73" s="294"/>
      <c r="X73" s="294"/>
      <c r="Y73" s="294"/>
      <c r="Z73" s="294"/>
      <c r="AA73" s="294"/>
      <c r="AB73" s="294"/>
      <c r="AC73" s="294"/>
      <c r="AD73" s="294"/>
      <c r="AE73" s="294"/>
      <c r="AF73" s="294"/>
    </row>
    <row r="74" spans="2:32" s="79" customFormat="1">
      <c r="B74" s="265"/>
      <c r="C74" s="265"/>
      <c r="D74" s="265"/>
      <c r="E74" s="303" t="s">
        <v>1039</v>
      </c>
      <c r="F74" s="304"/>
      <c r="G74" s="268"/>
      <c r="H74" s="303" t="s">
        <v>1040</v>
      </c>
      <c r="I74" s="268" t="s">
        <v>1041</v>
      </c>
      <c r="J74" s="268"/>
      <c r="K74" s="268"/>
      <c r="L74" s="268"/>
      <c r="M74" s="304"/>
      <c r="N74" s="294"/>
      <c r="O74" s="294"/>
      <c r="P74" s="294"/>
      <c r="Q74" s="294"/>
      <c r="R74" s="294"/>
      <c r="S74" s="294"/>
      <c r="T74" s="294"/>
      <c r="U74" s="294"/>
      <c r="V74" s="294"/>
      <c r="W74" s="294"/>
      <c r="X74" s="294"/>
      <c r="Y74" s="294"/>
      <c r="Z74" s="294"/>
      <c r="AA74" s="294"/>
      <c r="AB74" s="294"/>
      <c r="AC74" s="294"/>
      <c r="AD74" s="294"/>
      <c r="AE74" s="294"/>
      <c r="AF74" s="294"/>
    </row>
    <row r="75" spans="2:32">
      <c r="D75" s="93" t="s">
        <v>24</v>
      </c>
      <c r="E75" s="305" t="s">
        <v>238</v>
      </c>
      <c r="F75" s="306"/>
      <c r="G75" s="264"/>
      <c r="H75" s="305" t="s">
        <v>1042</v>
      </c>
      <c r="I75" s="264" t="s">
        <v>834</v>
      </c>
      <c r="J75" s="264"/>
      <c r="K75" s="264"/>
      <c r="L75" s="264"/>
      <c r="M75" s="306"/>
    </row>
    <row r="76" spans="2:32" s="79" customFormat="1">
      <c r="B76" s="265"/>
      <c r="C76" s="265"/>
      <c r="D76" s="265"/>
      <c r="E76" s="307" t="s">
        <v>1043</v>
      </c>
      <c r="F76" s="308"/>
      <c r="G76" s="268"/>
      <c r="H76" s="307" t="s">
        <v>1044</v>
      </c>
      <c r="I76" s="344"/>
      <c r="J76" s="344"/>
      <c r="K76" s="344"/>
      <c r="L76" s="344"/>
      <c r="M76" s="308"/>
      <c r="N76" s="294"/>
      <c r="O76" s="294"/>
      <c r="P76" s="294"/>
      <c r="Q76" s="294"/>
      <c r="R76" s="294"/>
      <c r="S76" s="294"/>
      <c r="T76" s="294"/>
      <c r="U76" s="294"/>
      <c r="V76" s="294"/>
      <c r="W76" s="294"/>
      <c r="X76" s="294"/>
      <c r="Y76" s="294"/>
      <c r="Z76" s="294"/>
      <c r="AA76" s="294"/>
      <c r="AB76" s="294"/>
      <c r="AC76" s="294"/>
      <c r="AD76" s="294"/>
      <c r="AE76" s="294"/>
      <c r="AF76" s="294"/>
    </row>
    <row r="77" spans="2:32" ht="8" customHeight="1">
      <c r="B77" s="262" t="s">
        <v>12</v>
      </c>
      <c r="C77" s="262" t="s">
        <v>12</v>
      </c>
      <c r="D77" s="262" t="s">
        <v>12</v>
      </c>
      <c r="E77" s="264"/>
      <c r="F77" s="264"/>
      <c r="G77" s="264"/>
      <c r="H77" s="264"/>
      <c r="I77" s="264"/>
      <c r="J77" s="264"/>
      <c r="K77" s="264"/>
      <c r="L77" s="264"/>
      <c r="M77" s="264"/>
    </row>
    <row r="78" spans="2:32" ht="16">
      <c r="B78" s="262" t="s">
        <v>12</v>
      </c>
      <c r="C78" s="262" t="s">
        <v>12</v>
      </c>
      <c r="D78" s="262" t="s">
        <v>12</v>
      </c>
      <c r="E78" s="309" t="s">
        <v>293</v>
      </c>
      <c r="F78" s="309"/>
      <c r="G78" s="309"/>
      <c r="H78" s="264"/>
      <c r="I78" s="264"/>
      <c r="J78" s="264"/>
      <c r="K78" s="264"/>
      <c r="L78" s="264"/>
      <c r="M78" s="264"/>
    </row>
    <row r="79" spans="2:32">
      <c r="D79" s="93" t="s">
        <v>24</v>
      </c>
      <c r="E79" s="310" t="s">
        <v>1045</v>
      </c>
      <c r="F79" s="311" t="s">
        <v>294</v>
      </c>
      <c r="G79" s="264"/>
      <c r="H79" s="310" t="s">
        <v>306</v>
      </c>
      <c r="I79" s="345" t="s">
        <v>1046</v>
      </c>
      <c r="J79" s="345"/>
      <c r="K79" s="345"/>
      <c r="L79" s="345"/>
      <c r="M79" s="311"/>
    </row>
    <row r="80" spans="2:32">
      <c r="D80" s="93" t="s">
        <v>24</v>
      </c>
      <c r="E80" s="312" t="s">
        <v>1047</v>
      </c>
      <c r="F80" s="313"/>
      <c r="G80" s="264"/>
      <c r="H80" s="312" t="s">
        <v>1048</v>
      </c>
      <c r="I80" s="264"/>
      <c r="J80" s="264"/>
      <c r="K80" s="264"/>
      <c r="L80" s="264"/>
      <c r="M80" s="313"/>
    </row>
    <row r="81" spans="2:32">
      <c r="D81" s="93" t="s">
        <v>24</v>
      </c>
      <c r="E81" s="312" t="s">
        <v>1049</v>
      </c>
      <c r="F81" s="313" t="s">
        <v>300</v>
      </c>
      <c r="G81" s="264"/>
      <c r="H81" s="312" t="s">
        <v>1050</v>
      </c>
      <c r="I81" s="264"/>
      <c r="J81" s="264"/>
      <c r="K81" s="264"/>
      <c r="L81" s="264"/>
      <c r="M81" s="313"/>
    </row>
    <row r="82" spans="2:32" s="79" customFormat="1">
      <c r="B82" s="265"/>
      <c r="C82" s="265"/>
      <c r="D82" s="265"/>
      <c r="E82" s="314" t="s">
        <v>1051</v>
      </c>
      <c r="F82" s="315" t="s">
        <v>1052</v>
      </c>
      <c r="G82" s="268"/>
      <c r="H82" s="314" t="s">
        <v>1053</v>
      </c>
      <c r="I82" s="268"/>
      <c r="J82" s="268"/>
      <c r="K82" s="268"/>
      <c r="L82" s="268"/>
      <c r="M82" s="315"/>
      <c r="N82" s="294"/>
      <c r="O82" s="294"/>
      <c r="P82" s="294"/>
      <c r="Q82" s="294"/>
      <c r="R82" s="294"/>
      <c r="S82" s="294"/>
      <c r="T82" s="294"/>
      <c r="U82" s="294"/>
      <c r="V82" s="294"/>
      <c r="W82" s="294"/>
      <c r="X82" s="294"/>
      <c r="Y82" s="294"/>
      <c r="Z82" s="294"/>
      <c r="AA82" s="294"/>
      <c r="AB82" s="294"/>
      <c r="AC82" s="294"/>
      <c r="AD82" s="294"/>
      <c r="AE82" s="294"/>
      <c r="AF82" s="294"/>
    </row>
    <row r="83" spans="2:32" s="79" customFormat="1">
      <c r="B83" s="265"/>
      <c r="C83" s="265"/>
      <c r="D83" s="265"/>
      <c r="E83" s="314" t="s">
        <v>1054</v>
      </c>
      <c r="F83" s="315" t="s">
        <v>976</v>
      </c>
      <c r="G83" s="268"/>
      <c r="H83" s="314" t="s">
        <v>974</v>
      </c>
      <c r="I83" s="268" t="s">
        <v>975</v>
      </c>
      <c r="J83" s="268" t="s">
        <v>430</v>
      </c>
      <c r="K83" s="268"/>
      <c r="L83" s="268"/>
      <c r="M83" s="315"/>
      <c r="N83" s="294"/>
      <c r="O83" s="294"/>
      <c r="P83" s="294"/>
      <c r="Q83" s="294"/>
      <c r="R83" s="294"/>
      <c r="S83" s="294"/>
      <c r="T83" s="294"/>
      <c r="U83" s="294"/>
      <c r="V83" s="294"/>
      <c r="W83" s="294"/>
      <c r="X83" s="294"/>
      <c r="Y83" s="294"/>
      <c r="Z83" s="294"/>
      <c r="AA83" s="294"/>
      <c r="AB83" s="294"/>
      <c r="AC83" s="294"/>
      <c r="AD83" s="294"/>
      <c r="AE83" s="294"/>
      <c r="AF83" s="294"/>
    </row>
    <row r="84" spans="2:32" s="259" customFormat="1">
      <c r="B84" s="316"/>
      <c r="C84" s="316"/>
      <c r="D84" s="316"/>
      <c r="E84" s="317" t="s">
        <v>1055</v>
      </c>
      <c r="F84" s="318" t="s">
        <v>309</v>
      </c>
      <c r="G84" s="319"/>
      <c r="H84" s="317" t="s">
        <v>947</v>
      </c>
      <c r="I84" s="319" t="s">
        <v>949</v>
      </c>
      <c r="J84" s="319"/>
      <c r="K84" s="319"/>
      <c r="L84" s="319"/>
      <c r="M84" s="318"/>
      <c r="N84" s="346"/>
      <c r="O84" s="346"/>
      <c r="P84" s="346"/>
      <c r="Q84" s="346"/>
      <c r="R84" s="346"/>
      <c r="S84" s="346"/>
      <c r="T84" s="346"/>
      <c r="U84" s="346"/>
      <c r="V84" s="346"/>
      <c r="W84" s="346"/>
      <c r="X84" s="346"/>
      <c r="Y84" s="346"/>
      <c r="Z84" s="346"/>
      <c r="AA84" s="346"/>
      <c r="AB84" s="346"/>
      <c r="AC84" s="346"/>
      <c r="AD84" s="346"/>
      <c r="AE84" s="346"/>
      <c r="AF84" s="346"/>
    </row>
    <row r="85" spans="2:32" s="79" customFormat="1">
      <c r="B85" s="265"/>
      <c r="C85" s="265"/>
      <c r="D85" s="265"/>
      <c r="E85" s="314" t="s">
        <v>1056</v>
      </c>
      <c r="F85" s="315" t="s">
        <v>1057</v>
      </c>
      <c r="G85" s="268"/>
      <c r="H85" s="314" t="s">
        <v>1058</v>
      </c>
      <c r="I85" s="268"/>
      <c r="J85" s="268"/>
      <c r="K85" s="268"/>
      <c r="L85" s="268"/>
      <c r="M85" s="315"/>
      <c r="N85" s="294"/>
      <c r="O85" s="294"/>
      <c r="P85" s="294"/>
      <c r="Q85" s="294"/>
      <c r="R85" s="294"/>
      <c r="S85" s="294"/>
      <c r="T85" s="294"/>
      <c r="U85" s="294"/>
      <c r="V85" s="294"/>
      <c r="W85" s="294"/>
      <c r="X85" s="294"/>
      <c r="Y85" s="294"/>
      <c r="Z85" s="294"/>
      <c r="AA85" s="294"/>
      <c r="AB85" s="294"/>
      <c r="AC85" s="294"/>
      <c r="AD85" s="294"/>
      <c r="AE85" s="294"/>
      <c r="AF85" s="294"/>
    </row>
    <row r="86" spans="2:32" s="79" customFormat="1">
      <c r="B86" s="265"/>
      <c r="C86" s="265"/>
      <c r="D86" s="265"/>
      <c r="E86" s="314" t="s">
        <v>1059</v>
      </c>
      <c r="F86" s="315" t="s">
        <v>1059</v>
      </c>
      <c r="G86" s="268"/>
      <c r="H86" s="314" t="s">
        <v>529</v>
      </c>
      <c r="I86" s="268"/>
      <c r="J86" s="268"/>
      <c r="K86" s="268"/>
      <c r="L86" s="268"/>
      <c r="M86" s="315"/>
      <c r="N86" s="294"/>
      <c r="O86" s="294"/>
      <c r="P86" s="294"/>
      <c r="Q86" s="294"/>
      <c r="R86" s="294"/>
      <c r="S86" s="294"/>
      <c r="T86" s="294"/>
      <c r="U86" s="294"/>
      <c r="V86" s="294"/>
      <c r="W86" s="294"/>
      <c r="X86" s="294"/>
      <c r="Y86" s="294"/>
      <c r="Z86" s="294"/>
      <c r="AA86" s="294"/>
      <c r="AB86" s="294"/>
      <c r="AC86" s="294"/>
      <c r="AD86" s="294"/>
      <c r="AE86" s="294"/>
      <c r="AF86" s="294"/>
    </row>
    <row r="87" spans="2:32" s="79" customFormat="1">
      <c r="B87" s="265"/>
      <c r="C87" s="265"/>
      <c r="D87" s="265"/>
      <c r="E87" s="314" t="s">
        <v>1060</v>
      </c>
      <c r="F87" s="315" t="s">
        <v>263</v>
      </c>
      <c r="G87" s="268"/>
      <c r="H87" s="314" t="s">
        <v>1061</v>
      </c>
      <c r="I87" s="268" t="s">
        <v>1062</v>
      </c>
      <c r="J87" s="268"/>
      <c r="K87" s="268"/>
      <c r="L87" s="268"/>
      <c r="M87" s="315"/>
      <c r="N87" s="294"/>
      <c r="O87" s="294"/>
      <c r="P87" s="294"/>
      <c r="Q87" s="294"/>
      <c r="R87" s="294"/>
      <c r="S87" s="294"/>
      <c r="T87" s="294"/>
      <c r="U87" s="294"/>
      <c r="V87" s="294"/>
      <c r="W87" s="294"/>
      <c r="X87" s="294"/>
      <c r="Y87" s="294"/>
      <c r="Z87" s="294"/>
      <c r="AA87" s="294"/>
      <c r="AB87" s="294"/>
      <c r="AC87" s="294"/>
      <c r="AD87" s="294"/>
      <c r="AE87" s="294"/>
      <c r="AF87" s="294"/>
    </row>
    <row r="88" spans="2:32">
      <c r="D88" s="93" t="s">
        <v>24</v>
      </c>
      <c r="E88" s="312" t="s">
        <v>314</v>
      </c>
      <c r="F88" s="313"/>
      <c r="G88" s="264"/>
      <c r="H88" s="312" t="s">
        <v>1063</v>
      </c>
      <c r="I88" s="264" t="s">
        <v>661</v>
      </c>
      <c r="J88" s="264" t="s">
        <v>1064</v>
      </c>
      <c r="K88" s="264" t="s">
        <v>1065</v>
      </c>
      <c r="L88" s="264"/>
      <c r="M88" s="313"/>
    </row>
    <row r="89" spans="2:32" s="79" customFormat="1">
      <c r="B89" s="265"/>
      <c r="C89" s="265"/>
      <c r="D89" s="265"/>
      <c r="E89" s="314" t="s">
        <v>1066</v>
      </c>
      <c r="F89" s="315" t="s">
        <v>1067</v>
      </c>
      <c r="G89" s="268"/>
      <c r="H89" s="314" t="s">
        <v>1031</v>
      </c>
      <c r="I89" s="268" t="s">
        <v>1032</v>
      </c>
      <c r="J89" s="268" t="s">
        <v>1068</v>
      </c>
      <c r="K89" s="268"/>
      <c r="L89" s="268"/>
      <c r="M89" s="315"/>
      <c r="N89" s="294"/>
      <c r="O89" s="294"/>
      <c r="P89" s="294"/>
      <c r="Q89" s="294"/>
      <c r="R89" s="294"/>
      <c r="S89" s="294"/>
      <c r="T89" s="294"/>
      <c r="U89" s="294"/>
      <c r="V89" s="294"/>
      <c r="W89" s="294"/>
      <c r="X89" s="294"/>
      <c r="Y89" s="294"/>
      <c r="Z89" s="294"/>
      <c r="AA89" s="294"/>
      <c r="AB89" s="294"/>
      <c r="AC89" s="294"/>
      <c r="AD89" s="294"/>
      <c r="AE89" s="294"/>
      <c r="AF89" s="294"/>
    </row>
    <row r="90" spans="2:32" s="79" customFormat="1">
      <c r="B90" s="265"/>
      <c r="C90" s="265"/>
      <c r="D90" s="265"/>
      <c r="E90" s="314" t="s">
        <v>1069</v>
      </c>
      <c r="F90" s="315"/>
      <c r="G90" s="268"/>
      <c r="H90" s="314" t="s">
        <v>1070</v>
      </c>
      <c r="I90" s="268" t="s">
        <v>1071</v>
      </c>
      <c r="J90" s="268" t="s">
        <v>1072</v>
      </c>
      <c r="K90" s="268" t="s">
        <v>1073</v>
      </c>
      <c r="L90" s="268" t="s">
        <v>1074</v>
      </c>
      <c r="M90" s="315" t="s">
        <v>523</v>
      </c>
      <c r="N90" s="294"/>
      <c r="O90" s="294"/>
      <c r="P90" s="294"/>
      <c r="Q90" s="294"/>
      <c r="R90" s="294"/>
      <c r="S90" s="294"/>
      <c r="T90" s="294"/>
      <c r="U90" s="294"/>
      <c r="V90" s="294"/>
      <c r="W90" s="294"/>
      <c r="X90" s="294"/>
      <c r="Y90" s="294"/>
      <c r="Z90" s="294"/>
      <c r="AA90" s="294"/>
      <c r="AB90" s="294"/>
      <c r="AC90" s="294"/>
      <c r="AD90" s="294"/>
      <c r="AE90" s="294"/>
      <c r="AF90" s="294"/>
    </row>
    <row r="91" spans="2:32" s="79" customFormat="1">
      <c r="B91" s="265"/>
      <c r="C91" s="265"/>
      <c r="D91" s="265"/>
      <c r="E91" s="314" t="s">
        <v>1075</v>
      </c>
      <c r="F91" s="315"/>
      <c r="G91" s="268"/>
      <c r="H91" s="314" t="s">
        <v>1076</v>
      </c>
      <c r="I91" s="268"/>
      <c r="J91" s="268"/>
      <c r="K91" s="268"/>
      <c r="L91" s="268"/>
      <c r="M91" s="315"/>
      <c r="N91" s="294"/>
      <c r="O91" s="294"/>
      <c r="P91" s="294"/>
      <c r="Q91" s="294"/>
      <c r="R91" s="294"/>
      <c r="S91" s="294"/>
      <c r="T91" s="294"/>
      <c r="U91" s="294"/>
      <c r="V91" s="294"/>
      <c r="W91" s="294"/>
      <c r="X91" s="294"/>
      <c r="Y91" s="294"/>
      <c r="Z91" s="294"/>
      <c r="AA91" s="294"/>
      <c r="AB91" s="294"/>
      <c r="AC91" s="294"/>
      <c r="AD91" s="294"/>
      <c r="AE91" s="294"/>
      <c r="AF91" s="294"/>
    </row>
    <row r="92" spans="2:32">
      <c r="D92" s="93" t="s">
        <v>24</v>
      </c>
      <c r="E92" s="312" t="s">
        <v>306</v>
      </c>
      <c r="F92" s="313"/>
      <c r="G92" s="264"/>
      <c r="H92" s="312" t="s">
        <v>294</v>
      </c>
      <c r="I92" s="264" t="s">
        <v>1046</v>
      </c>
      <c r="J92" s="264"/>
      <c r="K92" s="264"/>
      <c r="L92" s="264"/>
      <c r="M92" s="313"/>
    </row>
    <row r="93" spans="2:32">
      <c r="D93" s="93" t="s">
        <v>24</v>
      </c>
      <c r="E93" s="312" t="s">
        <v>326</v>
      </c>
      <c r="F93" s="313"/>
      <c r="G93" s="264"/>
      <c r="H93" s="312" t="s">
        <v>1077</v>
      </c>
      <c r="I93" s="264"/>
      <c r="J93" s="264"/>
      <c r="K93" s="264"/>
      <c r="L93" s="264"/>
      <c r="M93" s="313"/>
    </row>
    <row r="94" spans="2:32" s="79" customFormat="1">
      <c r="B94" s="265"/>
      <c r="C94" s="265"/>
      <c r="D94" s="265"/>
      <c r="E94" s="314" t="s">
        <v>1078</v>
      </c>
      <c r="F94" s="315"/>
      <c r="G94" s="268"/>
      <c r="H94" s="314" t="s">
        <v>1079</v>
      </c>
      <c r="I94" s="268" t="s">
        <v>459</v>
      </c>
      <c r="J94" s="268" t="s">
        <v>1080</v>
      </c>
      <c r="K94" s="268"/>
      <c r="L94" s="268"/>
      <c r="M94" s="315"/>
      <c r="N94" s="294"/>
      <c r="O94" s="294"/>
      <c r="P94" s="294"/>
      <c r="Q94" s="294"/>
      <c r="R94" s="294"/>
      <c r="S94" s="294"/>
      <c r="T94" s="294"/>
      <c r="U94" s="294"/>
      <c r="V94" s="294"/>
      <c r="W94" s="294"/>
      <c r="X94" s="294"/>
      <c r="Y94" s="294"/>
      <c r="Z94" s="294"/>
      <c r="AA94" s="294"/>
      <c r="AB94" s="294"/>
      <c r="AC94" s="294"/>
      <c r="AD94" s="294"/>
      <c r="AE94" s="294"/>
      <c r="AF94" s="294"/>
    </row>
    <row r="95" spans="2:32" s="79" customFormat="1">
      <c r="B95" s="265"/>
      <c r="C95" s="265"/>
      <c r="D95" s="265"/>
      <c r="E95" s="320" t="s">
        <v>1079</v>
      </c>
      <c r="F95" s="321"/>
      <c r="G95" s="268"/>
      <c r="H95" s="320" t="s">
        <v>1078</v>
      </c>
      <c r="I95" s="347" t="s">
        <v>459</v>
      </c>
      <c r="J95" s="347" t="s">
        <v>1080</v>
      </c>
      <c r="K95" s="347"/>
      <c r="L95" s="347"/>
      <c r="M95" s="321"/>
      <c r="N95" s="294"/>
      <c r="O95" s="294"/>
      <c r="P95" s="294"/>
      <c r="Q95" s="294"/>
      <c r="R95" s="294"/>
      <c r="S95" s="294"/>
      <c r="T95" s="294"/>
      <c r="U95" s="294"/>
      <c r="V95" s="294"/>
      <c r="W95" s="294"/>
      <c r="X95" s="294"/>
      <c r="Y95" s="294"/>
      <c r="Z95" s="294"/>
      <c r="AA95" s="294"/>
      <c r="AB95" s="294"/>
      <c r="AC95" s="294"/>
      <c r="AD95" s="294"/>
      <c r="AE95" s="294"/>
      <c r="AF95" s="294"/>
    </row>
    <row r="96" spans="2:32">
      <c r="B96" s="262" t="s">
        <v>12</v>
      </c>
      <c r="C96" s="262" t="s">
        <v>12</v>
      </c>
      <c r="D96" s="262" t="s">
        <v>12</v>
      </c>
    </row>
    <row r="97" spans="2:32">
      <c r="B97" s="262" t="s">
        <v>12</v>
      </c>
      <c r="C97" s="262" t="s">
        <v>12</v>
      </c>
      <c r="D97" s="262" t="s">
        <v>12</v>
      </c>
    </row>
    <row r="98" spans="2:32" ht="16">
      <c r="B98" s="262" t="s">
        <v>12</v>
      </c>
      <c r="C98" s="262" t="s">
        <v>12</v>
      </c>
      <c r="D98" s="262" t="s">
        <v>12</v>
      </c>
      <c r="E98" s="322" t="s">
        <v>327</v>
      </c>
      <c r="F98" s="322"/>
      <c r="G98" s="322"/>
      <c r="H98" s="291"/>
      <c r="I98" s="291"/>
      <c r="J98" s="291"/>
      <c r="K98" s="291"/>
      <c r="L98" s="291"/>
      <c r="M98" s="291"/>
    </row>
    <row r="99" spans="2:32" s="79" customFormat="1">
      <c r="B99" s="265"/>
      <c r="C99" s="265"/>
      <c r="D99" s="265"/>
      <c r="E99" s="323" t="s">
        <v>1081</v>
      </c>
      <c r="F99" s="324" t="s">
        <v>1082</v>
      </c>
      <c r="G99" s="325"/>
      <c r="H99" s="323" t="s">
        <v>1083</v>
      </c>
      <c r="I99" s="348"/>
      <c r="J99" s="348"/>
      <c r="K99" s="348"/>
      <c r="L99" s="348"/>
      <c r="M99" s="324"/>
      <c r="N99" s="294"/>
      <c r="O99" s="294"/>
      <c r="P99" s="294"/>
      <c r="Q99" s="294"/>
      <c r="R99" s="294"/>
      <c r="S99" s="294"/>
      <c r="T99" s="294"/>
      <c r="U99" s="294"/>
      <c r="V99" s="294"/>
      <c r="W99" s="294"/>
      <c r="X99" s="294"/>
      <c r="Y99" s="294"/>
      <c r="Z99" s="294"/>
      <c r="AA99" s="294"/>
      <c r="AB99" s="294"/>
      <c r="AC99" s="294"/>
      <c r="AD99" s="294"/>
      <c r="AE99" s="294"/>
      <c r="AF99" s="294"/>
    </row>
    <row r="100" spans="2:32" s="79" customFormat="1">
      <c r="B100" s="265"/>
      <c r="C100" s="265"/>
      <c r="D100" s="265"/>
      <c r="E100" s="326" t="s">
        <v>1084</v>
      </c>
      <c r="F100" s="327" t="s">
        <v>1085</v>
      </c>
      <c r="G100" s="325"/>
      <c r="H100" s="326" t="s">
        <v>1086</v>
      </c>
      <c r="I100" s="325"/>
      <c r="J100" s="325"/>
      <c r="K100" s="325"/>
      <c r="L100" s="325"/>
      <c r="M100" s="327"/>
      <c r="N100" s="294"/>
      <c r="O100" s="294"/>
      <c r="P100" s="294"/>
      <c r="Q100" s="294"/>
      <c r="R100" s="294"/>
      <c r="S100" s="294"/>
      <c r="T100" s="294"/>
      <c r="U100" s="294"/>
      <c r="V100" s="294"/>
      <c r="W100" s="294"/>
      <c r="X100" s="294"/>
      <c r="Y100" s="294"/>
      <c r="Z100" s="294"/>
      <c r="AA100" s="294"/>
      <c r="AB100" s="294"/>
      <c r="AC100" s="294"/>
      <c r="AD100" s="294"/>
      <c r="AE100" s="294"/>
      <c r="AF100" s="294"/>
    </row>
    <row r="101" spans="2:32">
      <c r="D101" s="93" t="s">
        <v>24</v>
      </c>
      <c r="E101" s="328" t="s">
        <v>332</v>
      </c>
      <c r="F101" s="329"/>
      <c r="G101" s="291"/>
      <c r="H101" s="328" t="s">
        <v>1087</v>
      </c>
      <c r="I101" s="291" t="s">
        <v>702</v>
      </c>
      <c r="J101" s="291" t="s">
        <v>1088</v>
      </c>
      <c r="K101" s="291" t="s">
        <v>1089</v>
      </c>
      <c r="L101" s="291"/>
      <c r="M101" s="329"/>
    </row>
    <row r="102" spans="2:32" s="79" customFormat="1">
      <c r="B102" s="265"/>
      <c r="C102" s="265"/>
      <c r="D102" s="265"/>
      <c r="E102" s="326" t="s">
        <v>1090</v>
      </c>
      <c r="F102" s="327" t="s">
        <v>992</v>
      </c>
      <c r="G102" s="325"/>
      <c r="H102" s="326" t="s">
        <v>991</v>
      </c>
      <c r="I102" s="325"/>
      <c r="J102" s="325"/>
      <c r="K102" s="325"/>
      <c r="L102" s="325"/>
      <c r="M102" s="327"/>
      <c r="N102" s="294"/>
      <c r="O102" s="294"/>
      <c r="P102" s="294"/>
      <c r="Q102" s="294"/>
      <c r="R102" s="294"/>
      <c r="S102" s="294"/>
      <c r="T102" s="294"/>
      <c r="U102" s="294"/>
      <c r="V102" s="294"/>
      <c r="W102" s="294"/>
      <c r="X102" s="294"/>
      <c r="Y102" s="294"/>
      <c r="Z102" s="294"/>
      <c r="AA102" s="294"/>
      <c r="AB102" s="294"/>
      <c r="AC102" s="294"/>
      <c r="AD102" s="294"/>
      <c r="AE102" s="294"/>
      <c r="AF102" s="294"/>
    </row>
    <row r="103" spans="2:32" s="79" customFormat="1">
      <c r="B103" s="265"/>
      <c r="C103" s="265"/>
      <c r="D103" s="265"/>
      <c r="E103" s="326" t="s">
        <v>1087</v>
      </c>
      <c r="F103" s="327"/>
      <c r="G103" s="325"/>
      <c r="H103" s="326" t="s">
        <v>332</v>
      </c>
      <c r="I103" s="325" t="s">
        <v>702</v>
      </c>
      <c r="J103" s="325" t="s">
        <v>1088</v>
      </c>
      <c r="K103" s="325" t="s">
        <v>1089</v>
      </c>
      <c r="L103" s="325"/>
      <c r="M103" s="327"/>
      <c r="N103" s="294"/>
      <c r="O103" s="294"/>
      <c r="P103" s="294"/>
      <c r="Q103" s="294"/>
      <c r="R103" s="294"/>
      <c r="S103" s="294"/>
      <c r="T103" s="294"/>
      <c r="U103" s="294"/>
      <c r="V103" s="294"/>
      <c r="W103" s="294"/>
      <c r="X103" s="294"/>
      <c r="Y103" s="294"/>
      <c r="Z103" s="294"/>
      <c r="AA103" s="294"/>
      <c r="AB103" s="294"/>
      <c r="AC103" s="294"/>
      <c r="AD103" s="294"/>
      <c r="AE103" s="294"/>
      <c r="AF103" s="294"/>
    </row>
    <row r="104" spans="2:32" s="79" customFormat="1">
      <c r="B104" s="265"/>
      <c r="C104" s="265"/>
      <c r="D104" s="265"/>
      <c r="E104" s="326" t="s">
        <v>1091</v>
      </c>
      <c r="F104" s="327"/>
      <c r="G104" s="325"/>
      <c r="H104" s="326" t="s">
        <v>359</v>
      </c>
      <c r="I104" s="325"/>
      <c r="J104" s="325"/>
      <c r="K104" s="325"/>
      <c r="L104" s="325"/>
      <c r="M104" s="327"/>
      <c r="N104" s="294"/>
      <c r="O104" s="294"/>
      <c r="P104" s="294"/>
      <c r="Q104" s="294"/>
      <c r="R104" s="294"/>
      <c r="S104" s="294"/>
      <c r="T104" s="294"/>
      <c r="U104" s="294"/>
      <c r="V104" s="294"/>
      <c r="W104" s="294"/>
      <c r="X104" s="294"/>
      <c r="Y104" s="294"/>
      <c r="Z104" s="294"/>
      <c r="AA104" s="294"/>
      <c r="AB104" s="294"/>
      <c r="AC104" s="294"/>
      <c r="AD104" s="294"/>
      <c r="AE104" s="294"/>
      <c r="AF104" s="294"/>
    </row>
    <row r="105" spans="2:32" s="79" customFormat="1">
      <c r="B105" s="265"/>
      <c r="C105" s="265"/>
      <c r="D105" s="265"/>
      <c r="E105" s="326" t="s">
        <v>1092</v>
      </c>
      <c r="F105" s="327" t="s">
        <v>1093</v>
      </c>
      <c r="G105" s="325"/>
      <c r="H105" s="326" t="s">
        <v>1094</v>
      </c>
      <c r="I105" s="325" t="s">
        <v>1095</v>
      </c>
      <c r="J105" s="325"/>
      <c r="K105" s="325"/>
      <c r="L105" s="325"/>
      <c r="M105" s="327"/>
      <c r="N105" s="294"/>
      <c r="O105" s="294"/>
      <c r="P105" s="294"/>
      <c r="Q105" s="294"/>
      <c r="R105" s="294"/>
      <c r="S105" s="294"/>
      <c r="T105" s="294"/>
      <c r="U105" s="294"/>
      <c r="V105" s="294"/>
      <c r="W105" s="294"/>
      <c r="X105" s="294"/>
      <c r="Y105" s="294"/>
      <c r="Z105" s="294"/>
      <c r="AA105" s="294"/>
      <c r="AB105" s="294"/>
      <c r="AC105" s="294"/>
      <c r="AD105" s="294"/>
      <c r="AE105" s="294"/>
      <c r="AF105" s="294"/>
    </row>
    <row r="106" spans="2:32" s="79" customFormat="1">
      <c r="B106" s="265"/>
      <c r="C106" s="265"/>
      <c r="D106" s="265"/>
      <c r="E106" s="326" t="s">
        <v>1096</v>
      </c>
      <c r="F106" s="327"/>
      <c r="G106" s="325"/>
      <c r="H106" s="326" t="s">
        <v>1097</v>
      </c>
      <c r="I106" s="325"/>
      <c r="J106" s="325"/>
      <c r="K106" s="325"/>
      <c r="L106" s="325"/>
      <c r="M106" s="327"/>
      <c r="N106" s="294"/>
      <c r="O106" s="294"/>
      <c r="P106" s="294"/>
      <c r="Q106" s="294"/>
      <c r="R106" s="294"/>
      <c r="S106" s="294"/>
      <c r="T106" s="294"/>
      <c r="U106" s="294"/>
      <c r="V106" s="294"/>
      <c r="W106" s="294"/>
      <c r="X106" s="294"/>
      <c r="Y106" s="294"/>
      <c r="Z106" s="294"/>
      <c r="AA106" s="294"/>
      <c r="AB106" s="294"/>
      <c r="AC106" s="294"/>
      <c r="AD106" s="294"/>
      <c r="AE106" s="294"/>
      <c r="AF106" s="294"/>
    </row>
    <row r="107" spans="2:32" s="79" customFormat="1">
      <c r="B107" s="265"/>
      <c r="C107" s="265"/>
      <c r="D107" s="265"/>
      <c r="E107" s="330" t="s">
        <v>1098</v>
      </c>
      <c r="F107" s="331" t="s">
        <v>1099</v>
      </c>
      <c r="G107" s="325"/>
      <c r="H107" s="330" t="s">
        <v>1100</v>
      </c>
      <c r="I107" s="349"/>
      <c r="J107" s="349"/>
      <c r="K107" s="349"/>
      <c r="L107" s="349"/>
      <c r="M107" s="331"/>
      <c r="N107" s="294"/>
      <c r="O107" s="294"/>
      <c r="P107" s="294"/>
      <c r="Q107" s="294"/>
      <c r="R107" s="294"/>
      <c r="S107" s="294"/>
      <c r="T107" s="294"/>
      <c r="U107" s="294"/>
      <c r="V107" s="294"/>
      <c r="W107" s="294"/>
      <c r="X107" s="294"/>
      <c r="Y107" s="294"/>
      <c r="Z107" s="294"/>
      <c r="AA107" s="294"/>
      <c r="AB107" s="294"/>
      <c r="AC107" s="294"/>
      <c r="AD107" s="294"/>
      <c r="AE107" s="294"/>
      <c r="AF107" s="294"/>
    </row>
    <row r="108" spans="2:32" ht="8" customHeight="1">
      <c r="B108" s="262" t="s">
        <v>12</v>
      </c>
      <c r="C108" s="262" t="s">
        <v>12</v>
      </c>
      <c r="D108" s="262" t="s">
        <v>12</v>
      </c>
      <c r="E108" s="291"/>
      <c r="F108" s="291"/>
      <c r="G108" s="291"/>
      <c r="H108" s="291"/>
      <c r="I108" s="291"/>
      <c r="J108" s="291"/>
      <c r="K108" s="291"/>
      <c r="L108" s="291"/>
      <c r="M108" s="291"/>
    </row>
    <row r="109" spans="2:32" ht="16">
      <c r="B109" s="262" t="s">
        <v>12</v>
      </c>
      <c r="C109" s="262" t="s">
        <v>12</v>
      </c>
      <c r="D109" s="262" t="s">
        <v>12</v>
      </c>
      <c r="E109" s="332" t="s">
        <v>344</v>
      </c>
      <c r="F109" s="332"/>
      <c r="G109" s="332"/>
      <c r="H109" s="291"/>
      <c r="I109" s="291"/>
      <c r="J109" s="291"/>
      <c r="K109" s="291"/>
      <c r="L109" s="291"/>
      <c r="M109" s="291"/>
    </row>
    <row r="110" spans="2:32" s="79" customFormat="1">
      <c r="B110" s="265"/>
      <c r="C110" s="265"/>
      <c r="D110" s="265"/>
      <c r="E110" s="333" t="s">
        <v>1101</v>
      </c>
      <c r="F110" s="334" t="s">
        <v>1102</v>
      </c>
      <c r="G110" s="325"/>
      <c r="H110" s="333" t="s">
        <v>1103</v>
      </c>
      <c r="I110" s="350"/>
      <c r="J110" s="350"/>
      <c r="K110" s="350"/>
      <c r="L110" s="350"/>
      <c r="M110" s="334"/>
      <c r="N110" s="294"/>
      <c r="O110" s="294"/>
      <c r="P110" s="294"/>
      <c r="Q110" s="294"/>
      <c r="R110" s="294"/>
      <c r="S110" s="294"/>
      <c r="T110" s="294"/>
      <c r="U110" s="294"/>
      <c r="V110" s="294"/>
      <c r="W110" s="294"/>
      <c r="X110" s="294"/>
      <c r="Y110" s="294"/>
      <c r="Z110" s="294"/>
      <c r="AA110" s="294"/>
      <c r="AB110" s="294"/>
      <c r="AC110" s="294"/>
      <c r="AD110" s="294"/>
      <c r="AE110" s="294"/>
      <c r="AF110" s="294"/>
    </row>
    <row r="111" spans="2:32" s="79" customFormat="1">
      <c r="B111" s="265"/>
      <c r="C111" s="265"/>
      <c r="D111" s="265"/>
      <c r="E111" s="335" t="s">
        <v>1053</v>
      </c>
      <c r="F111" s="336"/>
      <c r="G111" s="325"/>
      <c r="H111" s="335" t="s">
        <v>1052</v>
      </c>
      <c r="I111" s="325"/>
      <c r="J111" s="325"/>
      <c r="K111" s="325"/>
      <c r="L111" s="325"/>
      <c r="M111" s="336"/>
      <c r="N111" s="294"/>
      <c r="O111" s="294"/>
      <c r="P111" s="294"/>
      <c r="Q111" s="294"/>
      <c r="R111" s="294"/>
      <c r="S111" s="294"/>
      <c r="T111" s="294"/>
      <c r="U111" s="294"/>
      <c r="V111" s="294"/>
      <c r="W111" s="294"/>
      <c r="X111" s="294"/>
      <c r="Y111" s="294"/>
      <c r="Z111" s="294"/>
      <c r="AA111" s="294"/>
      <c r="AB111" s="294"/>
      <c r="AC111" s="294"/>
      <c r="AD111" s="294"/>
      <c r="AE111" s="294"/>
      <c r="AF111" s="294"/>
    </row>
    <row r="112" spans="2:32" s="79" customFormat="1">
      <c r="B112" s="265"/>
      <c r="C112" s="265"/>
      <c r="D112" s="265"/>
      <c r="E112" s="335" t="s">
        <v>1104</v>
      </c>
      <c r="F112" s="336"/>
      <c r="G112" s="325"/>
      <c r="H112" s="335" t="s">
        <v>1105</v>
      </c>
      <c r="I112" s="325"/>
      <c r="J112" s="325"/>
      <c r="K112" s="325"/>
      <c r="L112" s="325"/>
      <c r="M112" s="336"/>
      <c r="N112" s="294"/>
      <c r="O112" s="294"/>
      <c r="P112" s="294"/>
      <c r="Q112" s="294"/>
      <c r="R112" s="294"/>
      <c r="S112" s="294"/>
      <c r="T112" s="294"/>
      <c r="U112" s="294"/>
      <c r="V112" s="294"/>
      <c r="W112" s="294"/>
      <c r="X112" s="294"/>
      <c r="Y112" s="294"/>
      <c r="Z112" s="294"/>
      <c r="AA112" s="294"/>
      <c r="AB112" s="294"/>
      <c r="AC112" s="294"/>
      <c r="AD112" s="294"/>
      <c r="AE112" s="294"/>
      <c r="AF112" s="294"/>
    </row>
    <row r="113" spans="2:32" s="79" customFormat="1">
      <c r="B113" s="265"/>
      <c r="C113" s="265"/>
      <c r="D113" s="265"/>
      <c r="E113" s="335" t="s">
        <v>1106</v>
      </c>
      <c r="F113" s="336"/>
      <c r="G113" s="325"/>
      <c r="H113" s="335" t="s">
        <v>345</v>
      </c>
      <c r="I113" s="325" t="s">
        <v>1107</v>
      </c>
      <c r="J113" s="325" t="s">
        <v>1108</v>
      </c>
      <c r="K113" s="325"/>
      <c r="L113" s="325"/>
      <c r="M113" s="336"/>
      <c r="N113" s="294"/>
      <c r="O113" s="294"/>
      <c r="P113" s="294"/>
      <c r="Q113" s="294"/>
      <c r="R113" s="294"/>
      <c r="S113" s="294"/>
      <c r="T113" s="294"/>
      <c r="U113" s="294"/>
      <c r="V113" s="294"/>
      <c r="W113" s="294"/>
      <c r="X113" s="294"/>
      <c r="Y113" s="294"/>
      <c r="Z113" s="294"/>
      <c r="AA113" s="294"/>
      <c r="AB113" s="294"/>
      <c r="AC113" s="294"/>
      <c r="AD113" s="294"/>
      <c r="AE113" s="294"/>
      <c r="AF113" s="294"/>
    </row>
    <row r="114" spans="2:32" s="259" customFormat="1">
      <c r="B114" s="316"/>
      <c r="C114" s="316"/>
      <c r="D114" s="316"/>
      <c r="E114" s="337" t="s">
        <v>345</v>
      </c>
      <c r="F114" s="338"/>
      <c r="G114" s="339"/>
      <c r="H114" s="337" t="s">
        <v>1106</v>
      </c>
      <c r="I114" s="339" t="s">
        <v>1107</v>
      </c>
      <c r="J114" s="339" t="s">
        <v>1108</v>
      </c>
      <c r="K114" s="339"/>
      <c r="L114" s="339"/>
      <c r="M114" s="338"/>
      <c r="N114" s="346"/>
      <c r="O114" s="346"/>
      <c r="P114" s="346"/>
      <c r="Q114" s="346"/>
      <c r="R114" s="346"/>
      <c r="S114" s="346"/>
      <c r="T114" s="346"/>
      <c r="U114" s="346"/>
      <c r="V114" s="346"/>
      <c r="W114" s="346"/>
      <c r="X114" s="346"/>
      <c r="Y114" s="346"/>
      <c r="Z114" s="346"/>
      <c r="AA114" s="346"/>
      <c r="AB114" s="346"/>
      <c r="AC114" s="346"/>
      <c r="AD114" s="346"/>
      <c r="AE114" s="346"/>
      <c r="AF114" s="346"/>
    </row>
    <row r="115" spans="2:32" s="79" customFormat="1">
      <c r="B115" s="265"/>
      <c r="C115" s="265"/>
      <c r="D115" s="265"/>
      <c r="E115" s="335" t="s">
        <v>1107</v>
      </c>
      <c r="F115" s="336"/>
      <c r="G115" s="325"/>
      <c r="H115" s="335" t="s">
        <v>1106</v>
      </c>
      <c r="I115" s="325" t="s">
        <v>345</v>
      </c>
      <c r="J115" s="325" t="s">
        <v>1108</v>
      </c>
      <c r="K115" s="325"/>
      <c r="L115" s="325"/>
      <c r="M115" s="336"/>
      <c r="N115" s="294"/>
      <c r="O115" s="294"/>
      <c r="P115" s="294"/>
      <c r="Q115" s="294"/>
      <c r="R115" s="294"/>
      <c r="S115" s="294"/>
      <c r="T115" s="294"/>
      <c r="U115" s="294"/>
      <c r="V115" s="294"/>
      <c r="W115" s="294"/>
      <c r="X115" s="294"/>
      <c r="Y115" s="294"/>
      <c r="Z115" s="294"/>
      <c r="AA115" s="294"/>
      <c r="AB115" s="294"/>
      <c r="AC115" s="294"/>
      <c r="AD115" s="294"/>
      <c r="AE115" s="294"/>
      <c r="AF115" s="294"/>
    </row>
    <row r="116" spans="2:32" s="79" customFormat="1">
      <c r="B116" s="265"/>
      <c r="C116" s="265"/>
      <c r="D116" s="265"/>
      <c r="E116" s="335" t="s">
        <v>1108</v>
      </c>
      <c r="F116" s="336"/>
      <c r="G116" s="325"/>
      <c r="H116" s="335" t="s">
        <v>1106</v>
      </c>
      <c r="I116" s="325" t="s">
        <v>345</v>
      </c>
      <c r="J116" s="325" t="s">
        <v>1107</v>
      </c>
      <c r="K116" s="325"/>
      <c r="L116" s="325"/>
      <c r="M116" s="336"/>
      <c r="N116" s="294"/>
      <c r="O116" s="294"/>
      <c r="P116" s="294"/>
      <c r="Q116" s="294"/>
      <c r="R116" s="294"/>
      <c r="S116" s="294"/>
      <c r="T116" s="294"/>
      <c r="U116" s="294"/>
      <c r="V116" s="294"/>
      <c r="W116" s="294"/>
      <c r="X116" s="294"/>
      <c r="Y116" s="294"/>
      <c r="Z116" s="294"/>
      <c r="AA116" s="294"/>
      <c r="AB116" s="294"/>
      <c r="AC116" s="294"/>
      <c r="AD116" s="294"/>
      <c r="AE116" s="294"/>
      <c r="AF116" s="294"/>
    </row>
    <row r="117" spans="2:32" s="259" customFormat="1">
      <c r="B117" s="316"/>
      <c r="C117" s="316"/>
      <c r="D117" s="316" t="s">
        <v>24</v>
      </c>
      <c r="E117" s="337" t="s">
        <v>347</v>
      </c>
      <c r="F117" s="338"/>
      <c r="G117" s="339"/>
      <c r="H117" s="337" t="s">
        <v>1109</v>
      </c>
      <c r="I117" s="339"/>
      <c r="J117" s="339"/>
      <c r="K117" s="339"/>
      <c r="L117" s="339"/>
      <c r="M117" s="338"/>
      <c r="N117" s="346"/>
      <c r="O117" s="346"/>
      <c r="P117" s="346"/>
      <c r="Q117" s="346"/>
      <c r="R117" s="346"/>
      <c r="S117" s="346"/>
      <c r="T117" s="346"/>
      <c r="U117" s="346"/>
      <c r="V117" s="346"/>
      <c r="W117" s="346"/>
      <c r="X117" s="346"/>
      <c r="Y117" s="346"/>
      <c r="Z117" s="346"/>
      <c r="AA117" s="346"/>
      <c r="AB117" s="346"/>
      <c r="AC117" s="346"/>
      <c r="AD117" s="346"/>
      <c r="AE117" s="346"/>
      <c r="AF117" s="346"/>
    </row>
    <row r="118" spans="2:32" s="79" customFormat="1">
      <c r="B118" s="265"/>
      <c r="C118" s="265"/>
      <c r="D118" s="265"/>
      <c r="E118" s="335" t="s">
        <v>1097</v>
      </c>
      <c r="F118" s="336"/>
      <c r="G118" s="325"/>
      <c r="H118" s="335" t="s">
        <v>1096</v>
      </c>
      <c r="I118" s="325"/>
      <c r="J118" s="325"/>
      <c r="K118" s="325"/>
      <c r="L118" s="325"/>
      <c r="M118" s="336"/>
      <c r="N118" s="294"/>
      <c r="O118" s="294"/>
      <c r="P118" s="294"/>
      <c r="Q118" s="294"/>
      <c r="R118" s="294"/>
      <c r="S118" s="294"/>
      <c r="T118" s="294"/>
      <c r="U118" s="294"/>
      <c r="V118" s="294"/>
      <c r="W118" s="294"/>
      <c r="X118" s="294"/>
      <c r="Y118" s="294"/>
      <c r="Z118" s="294"/>
      <c r="AA118" s="294"/>
      <c r="AB118" s="294"/>
      <c r="AC118" s="294"/>
      <c r="AD118" s="294"/>
      <c r="AE118" s="294"/>
      <c r="AF118" s="294"/>
    </row>
    <row r="119" spans="2:32" s="79" customFormat="1">
      <c r="B119" s="265"/>
      <c r="C119" s="265"/>
      <c r="D119" s="265"/>
      <c r="E119" s="335" t="s">
        <v>1110</v>
      </c>
      <c r="F119" s="336"/>
      <c r="G119" s="325"/>
      <c r="H119" s="335" t="s">
        <v>1111</v>
      </c>
      <c r="I119" s="325"/>
      <c r="J119" s="325"/>
      <c r="K119" s="325"/>
      <c r="L119" s="325"/>
      <c r="M119" s="336"/>
      <c r="N119" s="294"/>
      <c r="O119" s="294"/>
      <c r="P119" s="294"/>
      <c r="Q119" s="294"/>
      <c r="R119" s="294"/>
      <c r="S119" s="294"/>
      <c r="T119" s="294"/>
      <c r="U119" s="294"/>
      <c r="V119" s="294"/>
      <c r="W119" s="294"/>
      <c r="X119" s="294"/>
      <c r="Y119" s="294"/>
      <c r="Z119" s="294"/>
      <c r="AA119" s="294"/>
      <c r="AB119" s="294"/>
      <c r="AC119" s="294"/>
      <c r="AD119" s="294"/>
      <c r="AE119" s="294"/>
      <c r="AF119" s="294"/>
    </row>
    <row r="120" spans="2:32" s="79" customFormat="1">
      <c r="B120" s="265"/>
      <c r="C120" s="265"/>
      <c r="D120" s="265"/>
      <c r="E120" s="335" t="s">
        <v>1112</v>
      </c>
      <c r="F120" s="336" t="s">
        <v>977</v>
      </c>
      <c r="G120" s="325"/>
      <c r="H120" s="335" t="s">
        <v>292</v>
      </c>
      <c r="I120" s="325"/>
      <c r="J120" s="325"/>
      <c r="K120" s="325"/>
      <c r="L120" s="325"/>
      <c r="M120" s="336"/>
      <c r="N120" s="294"/>
      <c r="O120" s="294"/>
      <c r="P120" s="294"/>
      <c r="Q120" s="294"/>
      <c r="R120" s="294"/>
      <c r="S120" s="294"/>
      <c r="T120" s="294"/>
      <c r="U120" s="294"/>
      <c r="V120" s="294"/>
      <c r="W120" s="294"/>
      <c r="X120" s="294"/>
      <c r="Y120" s="294"/>
      <c r="Z120" s="294"/>
      <c r="AA120" s="294"/>
      <c r="AB120" s="294"/>
      <c r="AC120" s="294"/>
      <c r="AD120" s="294"/>
      <c r="AE120" s="294"/>
      <c r="AF120" s="294"/>
    </row>
    <row r="121" spans="2:32" s="79" customFormat="1">
      <c r="B121" s="265"/>
      <c r="C121" s="265"/>
      <c r="D121" s="265"/>
      <c r="E121" s="335" t="s">
        <v>1113</v>
      </c>
      <c r="F121" s="336" t="s">
        <v>1114</v>
      </c>
      <c r="G121" s="325"/>
      <c r="H121" s="335" t="s">
        <v>1115</v>
      </c>
      <c r="I121" s="325"/>
      <c r="J121" s="325"/>
      <c r="K121" s="325"/>
      <c r="L121" s="325"/>
      <c r="M121" s="336"/>
      <c r="N121" s="294"/>
      <c r="O121" s="294"/>
      <c r="P121" s="294"/>
      <c r="Q121" s="294"/>
      <c r="R121" s="294"/>
      <c r="S121" s="294"/>
      <c r="T121" s="294"/>
      <c r="U121" s="294"/>
      <c r="V121" s="294"/>
      <c r="W121" s="294"/>
      <c r="X121" s="294"/>
      <c r="Y121" s="294"/>
      <c r="Z121" s="294"/>
      <c r="AA121" s="294"/>
      <c r="AB121" s="294"/>
      <c r="AC121" s="294"/>
      <c r="AD121" s="294"/>
      <c r="AE121" s="294"/>
      <c r="AF121" s="294"/>
    </row>
    <row r="122" spans="2:32" s="79" customFormat="1">
      <c r="B122" s="265"/>
      <c r="C122" s="265"/>
      <c r="D122" s="265"/>
      <c r="E122" s="335" t="s">
        <v>1116</v>
      </c>
      <c r="F122" s="336" t="s">
        <v>1117</v>
      </c>
      <c r="G122" s="325"/>
      <c r="H122" s="335" t="s">
        <v>1118</v>
      </c>
      <c r="I122" s="325"/>
      <c r="J122" s="325"/>
      <c r="K122" s="325"/>
      <c r="L122" s="325"/>
      <c r="M122" s="336"/>
      <c r="N122" s="294"/>
      <c r="O122" s="294"/>
      <c r="P122" s="294"/>
      <c r="Q122" s="294"/>
      <c r="R122" s="294"/>
      <c r="S122" s="294"/>
      <c r="T122" s="294"/>
      <c r="U122" s="294"/>
      <c r="V122" s="294"/>
      <c r="W122" s="294"/>
      <c r="X122" s="294"/>
      <c r="Y122" s="294"/>
      <c r="Z122" s="294"/>
      <c r="AA122" s="294"/>
      <c r="AB122" s="294"/>
      <c r="AC122" s="294"/>
      <c r="AD122" s="294"/>
      <c r="AE122" s="294"/>
      <c r="AF122" s="294"/>
    </row>
    <row r="123" spans="2:32" s="79" customFormat="1">
      <c r="B123" s="265"/>
      <c r="C123" s="265"/>
      <c r="D123" s="265"/>
      <c r="E123" s="335" t="s">
        <v>1119</v>
      </c>
      <c r="F123" s="336" t="s">
        <v>1120</v>
      </c>
      <c r="G123" s="325"/>
      <c r="H123" s="335" t="s">
        <v>1121</v>
      </c>
      <c r="I123" s="325"/>
      <c r="J123" s="325"/>
      <c r="K123" s="325"/>
      <c r="L123" s="325"/>
      <c r="M123" s="336"/>
      <c r="N123" s="294"/>
      <c r="O123" s="294"/>
      <c r="P123" s="294"/>
      <c r="Q123" s="294"/>
      <c r="R123" s="294"/>
      <c r="S123" s="294"/>
      <c r="T123" s="294"/>
      <c r="U123" s="294"/>
      <c r="V123" s="294"/>
      <c r="W123" s="294"/>
      <c r="X123" s="294"/>
      <c r="Y123" s="294"/>
      <c r="Z123" s="294"/>
      <c r="AA123" s="294"/>
      <c r="AB123" s="294"/>
      <c r="AC123" s="294"/>
      <c r="AD123" s="294"/>
      <c r="AE123" s="294"/>
      <c r="AF123" s="294"/>
    </row>
    <row r="124" spans="2:32" s="79" customFormat="1">
      <c r="B124" s="265"/>
      <c r="C124" s="265"/>
      <c r="D124" s="265"/>
      <c r="E124" s="335" t="s">
        <v>1122</v>
      </c>
      <c r="F124" s="336" t="s">
        <v>1123</v>
      </c>
      <c r="G124" s="325"/>
      <c r="H124" s="335" t="s">
        <v>1124</v>
      </c>
      <c r="I124" s="325"/>
      <c r="J124" s="325"/>
      <c r="K124" s="325"/>
      <c r="L124" s="325"/>
      <c r="M124" s="336"/>
      <c r="N124" s="294"/>
      <c r="O124" s="294"/>
      <c r="P124" s="294"/>
      <c r="Q124" s="294"/>
      <c r="R124" s="294"/>
      <c r="S124" s="294"/>
      <c r="T124" s="294"/>
      <c r="U124" s="294"/>
      <c r="V124" s="294"/>
      <c r="W124" s="294"/>
      <c r="X124" s="294"/>
      <c r="Y124" s="294"/>
      <c r="Z124" s="294"/>
      <c r="AA124" s="294"/>
      <c r="AB124" s="294"/>
      <c r="AC124" s="294"/>
      <c r="AD124" s="294"/>
      <c r="AE124" s="294"/>
      <c r="AF124" s="294"/>
    </row>
    <row r="125" spans="2:32" s="79" customFormat="1">
      <c r="B125" s="265"/>
      <c r="C125" s="265"/>
      <c r="D125" s="265"/>
      <c r="E125" s="335" t="s">
        <v>1125</v>
      </c>
      <c r="F125" s="336" t="s">
        <v>359</v>
      </c>
      <c r="G125" s="325"/>
      <c r="H125" s="335" t="s">
        <v>1091</v>
      </c>
      <c r="I125" s="325"/>
      <c r="J125" s="325"/>
      <c r="K125" s="325"/>
      <c r="L125" s="325"/>
      <c r="M125" s="336"/>
      <c r="N125" s="294"/>
      <c r="O125" s="294"/>
      <c r="P125" s="294"/>
      <c r="Q125" s="294"/>
      <c r="R125" s="294"/>
      <c r="S125" s="294"/>
      <c r="T125" s="294"/>
      <c r="U125" s="294"/>
      <c r="V125" s="294"/>
      <c r="W125" s="294"/>
      <c r="X125" s="294"/>
      <c r="Y125" s="294"/>
      <c r="Z125" s="294"/>
      <c r="AA125" s="294"/>
      <c r="AB125" s="294"/>
      <c r="AC125" s="294"/>
      <c r="AD125" s="294"/>
      <c r="AE125" s="294"/>
      <c r="AF125" s="294"/>
    </row>
    <row r="126" spans="2:32" s="79" customFormat="1">
      <c r="B126" s="265"/>
      <c r="C126" s="265"/>
      <c r="D126" s="265"/>
      <c r="E126" s="340" t="s">
        <v>1126</v>
      </c>
      <c r="F126" s="341"/>
      <c r="G126" s="325"/>
      <c r="H126" s="340" t="s">
        <v>367</v>
      </c>
      <c r="I126" s="351"/>
      <c r="J126" s="351"/>
      <c r="K126" s="351"/>
      <c r="L126" s="351"/>
      <c r="M126" s="341"/>
      <c r="N126" s="294"/>
      <c r="O126" s="294"/>
      <c r="P126" s="294"/>
      <c r="Q126" s="294"/>
      <c r="R126" s="294"/>
      <c r="S126" s="294"/>
      <c r="T126" s="294"/>
      <c r="U126" s="294"/>
      <c r="V126" s="294"/>
      <c r="W126" s="294"/>
      <c r="X126" s="294"/>
      <c r="Y126" s="294"/>
      <c r="Z126" s="294"/>
      <c r="AA126" s="294"/>
      <c r="AB126" s="294"/>
      <c r="AC126" s="294"/>
      <c r="AD126" s="294"/>
      <c r="AE126" s="294"/>
      <c r="AF126" s="294"/>
    </row>
    <row r="127" spans="2:32" ht="8" customHeight="1">
      <c r="B127" s="262" t="s">
        <v>12</v>
      </c>
      <c r="C127" s="262" t="s">
        <v>12</v>
      </c>
      <c r="D127" s="262" t="s">
        <v>12</v>
      </c>
      <c r="E127" s="291"/>
      <c r="F127" s="291"/>
      <c r="G127" s="291"/>
      <c r="H127" s="291"/>
      <c r="I127" s="291"/>
      <c r="J127" s="291"/>
      <c r="K127" s="291"/>
      <c r="L127" s="291"/>
      <c r="M127" s="291"/>
    </row>
    <row r="128" spans="2:32" ht="16">
      <c r="B128" s="262" t="s">
        <v>12</v>
      </c>
      <c r="C128" s="262" t="s">
        <v>12</v>
      </c>
      <c r="D128" s="262" t="s">
        <v>12</v>
      </c>
      <c r="E128" s="342" t="s">
        <v>363</v>
      </c>
      <c r="F128" s="342"/>
      <c r="G128" s="342"/>
      <c r="H128" s="291"/>
      <c r="I128" s="291"/>
      <c r="J128" s="291"/>
      <c r="K128" s="291"/>
      <c r="L128" s="291"/>
      <c r="M128" s="291"/>
    </row>
    <row r="129" spans="2:32" s="79" customFormat="1">
      <c r="B129" s="265"/>
      <c r="C129" s="265"/>
      <c r="D129" s="265"/>
      <c r="E129" s="352" t="s">
        <v>1127</v>
      </c>
      <c r="F129" s="353"/>
      <c r="G129" s="325"/>
      <c r="H129" s="352" t="s">
        <v>1128</v>
      </c>
      <c r="I129" s="385" t="s">
        <v>1129</v>
      </c>
      <c r="J129" s="385"/>
      <c r="K129" s="385"/>
      <c r="L129" s="385"/>
      <c r="M129" s="353"/>
      <c r="N129" s="294"/>
      <c r="O129" s="294"/>
      <c r="P129" s="294"/>
      <c r="Q129" s="294"/>
      <c r="R129" s="294"/>
      <c r="S129" s="294"/>
      <c r="T129" s="294"/>
      <c r="U129" s="294"/>
      <c r="V129" s="294"/>
      <c r="W129" s="294"/>
      <c r="X129" s="294"/>
      <c r="Y129" s="294"/>
      <c r="Z129" s="294"/>
      <c r="AA129" s="294"/>
      <c r="AB129" s="294"/>
      <c r="AC129" s="294"/>
      <c r="AD129" s="294"/>
      <c r="AE129" s="294"/>
      <c r="AF129" s="294"/>
    </row>
    <row r="130" spans="2:32" s="79" customFormat="1">
      <c r="B130" s="265"/>
      <c r="C130" s="265"/>
      <c r="D130" s="265"/>
      <c r="E130" s="354" t="s">
        <v>1130</v>
      </c>
      <c r="F130" s="355"/>
      <c r="G130" s="325"/>
      <c r="H130" s="354" t="s">
        <v>1131</v>
      </c>
      <c r="I130" s="325" t="s">
        <v>1132</v>
      </c>
      <c r="J130" s="325"/>
      <c r="K130" s="325"/>
      <c r="L130" s="325"/>
      <c r="M130" s="355"/>
      <c r="N130" s="294"/>
      <c r="O130" s="294"/>
      <c r="P130" s="294"/>
      <c r="Q130" s="294"/>
      <c r="R130" s="294"/>
      <c r="S130" s="294"/>
      <c r="T130" s="294"/>
      <c r="U130" s="294"/>
      <c r="V130" s="294"/>
      <c r="W130" s="294"/>
      <c r="X130" s="294"/>
      <c r="Y130" s="294"/>
      <c r="Z130" s="294"/>
      <c r="AA130" s="294"/>
      <c r="AB130" s="294"/>
      <c r="AC130" s="294"/>
      <c r="AD130" s="294"/>
      <c r="AE130" s="294"/>
      <c r="AF130" s="294"/>
    </row>
    <row r="131" spans="2:32" s="79" customFormat="1">
      <c r="B131" s="265"/>
      <c r="C131" s="265"/>
      <c r="D131" s="265"/>
      <c r="E131" s="354" t="s">
        <v>1133</v>
      </c>
      <c r="F131" s="355" t="s">
        <v>364</v>
      </c>
      <c r="G131" s="325"/>
      <c r="H131" s="354" t="s">
        <v>1134</v>
      </c>
      <c r="I131" s="325"/>
      <c r="J131" s="325"/>
      <c r="K131" s="325"/>
      <c r="L131" s="325"/>
      <c r="M131" s="355"/>
      <c r="N131" s="294"/>
      <c r="O131" s="294"/>
      <c r="P131" s="294"/>
      <c r="Q131" s="294"/>
      <c r="R131" s="294"/>
      <c r="S131" s="294"/>
      <c r="T131" s="294"/>
      <c r="U131" s="294"/>
      <c r="V131" s="294"/>
      <c r="W131" s="294"/>
      <c r="X131" s="294"/>
      <c r="Y131" s="294"/>
      <c r="Z131" s="294"/>
      <c r="AA131" s="294"/>
      <c r="AB131" s="294"/>
      <c r="AC131" s="294"/>
      <c r="AD131" s="294"/>
      <c r="AE131" s="294"/>
      <c r="AF131" s="294"/>
    </row>
    <row r="132" spans="2:32">
      <c r="D132" s="93" t="s">
        <v>24</v>
      </c>
      <c r="E132" s="356" t="s">
        <v>1135</v>
      </c>
      <c r="F132" s="357" t="s">
        <v>367</v>
      </c>
      <c r="G132" s="291"/>
      <c r="H132" s="356" t="s">
        <v>1126</v>
      </c>
      <c r="I132" s="291"/>
      <c r="J132" s="291"/>
      <c r="K132" s="291"/>
      <c r="L132" s="291"/>
      <c r="M132" s="357"/>
    </row>
    <row r="133" spans="2:32" s="79" customFormat="1">
      <c r="B133" s="265"/>
      <c r="C133" s="265"/>
      <c r="D133" s="265"/>
      <c r="E133" s="354" t="s">
        <v>1136</v>
      </c>
      <c r="F133" s="355" t="s">
        <v>368</v>
      </c>
      <c r="G133" s="325"/>
      <c r="H133" s="354" t="s">
        <v>1137</v>
      </c>
      <c r="I133" s="325"/>
      <c r="J133" s="325"/>
      <c r="K133" s="325"/>
      <c r="L133" s="325"/>
      <c r="M133" s="355"/>
      <c r="N133" s="294"/>
      <c r="O133" s="294"/>
      <c r="P133" s="294"/>
      <c r="Q133" s="294"/>
      <c r="R133" s="294"/>
      <c r="S133" s="294"/>
      <c r="T133" s="294"/>
      <c r="U133" s="294"/>
      <c r="V133" s="294"/>
      <c r="W133" s="294"/>
      <c r="X133" s="294"/>
      <c r="Y133" s="294"/>
      <c r="Z133" s="294"/>
      <c r="AA133" s="294"/>
      <c r="AB133" s="294"/>
      <c r="AC133" s="294"/>
      <c r="AD133" s="294"/>
      <c r="AE133" s="294"/>
      <c r="AF133" s="294"/>
    </row>
    <row r="134" spans="2:32" s="79" customFormat="1">
      <c r="B134" s="265"/>
      <c r="C134" s="265"/>
      <c r="D134" s="265"/>
      <c r="E134" s="354" t="s">
        <v>1138</v>
      </c>
      <c r="F134" s="355" t="s">
        <v>1139</v>
      </c>
      <c r="G134" s="325"/>
      <c r="H134" s="354" t="s">
        <v>1140</v>
      </c>
      <c r="I134" s="325"/>
      <c r="J134" s="325"/>
      <c r="K134" s="325"/>
      <c r="L134" s="325"/>
      <c r="M134" s="355"/>
      <c r="N134" s="294"/>
      <c r="O134" s="294"/>
      <c r="P134" s="294"/>
      <c r="Q134" s="294"/>
      <c r="R134" s="294"/>
      <c r="S134" s="294"/>
      <c r="T134" s="294"/>
      <c r="U134" s="294"/>
      <c r="V134" s="294"/>
      <c r="W134" s="294"/>
      <c r="X134" s="294"/>
      <c r="Y134" s="294"/>
      <c r="Z134" s="294"/>
      <c r="AA134" s="294"/>
      <c r="AB134" s="294"/>
      <c r="AC134" s="294"/>
      <c r="AD134" s="294"/>
      <c r="AE134" s="294"/>
      <c r="AF134" s="294"/>
    </row>
    <row r="135" spans="2:32">
      <c r="D135" s="93" t="s">
        <v>24</v>
      </c>
      <c r="E135" s="356" t="s">
        <v>375</v>
      </c>
      <c r="F135" s="357"/>
      <c r="G135" s="291"/>
      <c r="H135" s="356" t="s">
        <v>1141</v>
      </c>
      <c r="I135" s="291" t="s">
        <v>1142</v>
      </c>
      <c r="J135" s="291"/>
      <c r="K135" s="291"/>
      <c r="L135" s="291"/>
      <c r="M135" s="357"/>
    </row>
    <row r="136" spans="2:32" s="79" customFormat="1">
      <c r="B136" s="265"/>
      <c r="C136" s="265"/>
      <c r="D136" s="265"/>
      <c r="E136" s="354" t="s">
        <v>1062</v>
      </c>
      <c r="F136" s="355"/>
      <c r="G136" s="325"/>
      <c r="H136" s="354" t="s">
        <v>263</v>
      </c>
      <c r="I136" s="325" t="s">
        <v>1061</v>
      </c>
      <c r="J136" s="325"/>
      <c r="K136" s="325"/>
      <c r="L136" s="325"/>
      <c r="M136" s="355"/>
      <c r="N136" s="294"/>
      <c r="O136" s="294"/>
      <c r="P136" s="294"/>
      <c r="Q136" s="294"/>
      <c r="R136" s="294"/>
      <c r="S136" s="294"/>
      <c r="T136" s="294"/>
      <c r="U136" s="294"/>
      <c r="V136" s="294"/>
      <c r="W136" s="294"/>
      <c r="X136" s="294"/>
      <c r="Y136" s="294"/>
      <c r="Z136" s="294"/>
      <c r="AA136" s="294"/>
      <c r="AB136" s="294"/>
      <c r="AC136" s="294"/>
      <c r="AD136" s="294"/>
      <c r="AE136" s="294"/>
      <c r="AF136" s="294"/>
    </row>
    <row r="137" spans="2:32" s="79" customFormat="1">
      <c r="B137" s="265"/>
      <c r="C137" s="265"/>
      <c r="D137" s="265"/>
      <c r="E137" s="354" t="s">
        <v>1143</v>
      </c>
      <c r="F137" s="355"/>
      <c r="G137" s="325"/>
      <c r="H137" s="354" t="s">
        <v>1144</v>
      </c>
      <c r="I137" s="325" t="s">
        <v>1041</v>
      </c>
      <c r="J137" s="325"/>
      <c r="K137" s="325"/>
      <c r="L137" s="325"/>
      <c r="M137" s="355"/>
      <c r="N137" s="294"/>
      <c r="O137" s="294"/>
      <c r="P137" s="294"/>
      <c r="Q137" s="294"/>
      <c r="R137" s="294"/>
      <c r="S137" s="294"/>
      <c r="T137" s="294"/>
      <c r="U137" s="294"/>
      <c r="V137" s="294"/>
      <c r="W137" s="294"/>
      <c r="X137" s="294"/>
      <c r="Y137" s="294"/>
      <c r="Z137" s="294"/>
      <c r="AA137" s="294"/>
      <c r="AB137" s="294"/>
      <c r="AC137" s="294"/>
      <c r="AD137" s="294"/>
      <c r="AE137" s="294"/>
      <c r="AF137" s="294"/>
    </row>
    <row r="138" spans="2:32">
      <c r="D138" s="93" t="s">
        <v>24</v>
      </c>
      <c r="E138" s="356" t="s">
        <v>384</v>
      </c>
      <c r="F138" s="357"/>
      <c r="G138" s="291"/>
      <c r="H138" s="356" t="s">
        <v>1145</v>
      </c>
      <c r="I138" s="291"/>
      <c r="J138" s="291"/>
      <c r="K138" s="291"/>
      <c r="L138" s="291"/>
      <c r="M138" s="357"/>
    </row>
    <row r="139" spans="2:32" s="79" customFormat="1">
      <c r="B139" s="265"/>
      <c r="C139" s="265"/>
      <c r="D139" s="265"/>
      <c r="E139" s="354" t="s">
        <v>999</v>
      </c>
      <c r="F139" s="355"/>
      <c r="G139" s="325"/>
      <c r="H139" s="354" t="s">
        <v>998</v>
      </c>
      <c r="I139" s="325" t="s">
        <v>1000</v>
      </c>
      <c r="J139" s="325"/>
      <c r="K139" s="325"/>
      <c r="L139" s="325"/>
      <c r="M139" s="355"/>
      <c r="N139" s="294"/>
      <c r="O139" s="294"/>
      <c r="P139" s="294"/>
      <c r="Q139" s="294"/>
      <c r="R139" s="294"/>
      <c r="S139" s="294"/>
      <c r="T139" s="294"/>
      <c r="U139" s="294"/>
      <c r="V139" s="294"/>
      <c r="W139" s="294"/>
      <c r="X139" s="294"/>
      <c r="Y139" s="294"/>
      <c r="Z139" s="294"/>
      <c r="AA139" s="294"/>
      <c r="AB139" s="294"/>
      <c r="AC139" s="294"/>
      <c r="AD139" s="294"/>
      <c r="AE139" s="294"/>
      <c r="AF139" s="294"/>
    </row>
    <row r="140" spans="2:32" s="79" customFormat="1">
      <c r="B140" s="265"/>
      <c r="C140" s="265"/>
      <c r="D140" s="265"/>
      <c r="E140" s="354" t="s">
        <v>1146</v>
      </c>
      <c r="F140" s="355" t="s">
        <v>1105</v>
      </c>
      <c r="G140" s="325"/>
      <c r="H140" s="354" t="s">
        <v>1104</v>
      </c>
      <c r="I140" s="325"/>
      <c r="J140" s="325"/>
      <c r="K140" s="325"/>
      <c r="L140" s="325"/>
      <c r="M140" s="355"/>
      <c r="N140" s="294"/>
      <c r="O140" s="294"/>
      <c r="P140" s="294"/>
      <c r="Q140" s="294"/>
      <c r="R140" s="294"/>
      <c r="S140" s="294"/>
      <c r="T140" s="294"/>
      <c r="U140" s="294"/>
      <c r="V140" s="294"/>
      <c r="W140" s="294"/>
      <c r="X140" s="294"/>
      <c r="Y140" s="294"/>
      <c r="Z140" s="294"/>
      <c r="AA140" s="294"/>
      <c r="AB140" s="294"/>
      <c r="AC140" s="294"/>
      <c r="AD140" s="294"/>
      <c r="AE140" s="294"/>
      <c r="AF140" s="294"/>
    </row>
    <row r="141" spans="2:32" s="79" customFormat="1">
      <c r="B141" s="265"/>
      <c r="C141" s="265"/>
      <c r="D141" s="265"/>
      <c r="E141" s="354" t="s">
        <v>1147</v>
      </c>
      <c r="F141" s="355" t="s">
        <v>1148</v>
      </c>
      <c r="G141" s="325"/>
      <c r="H141" s="354" t="s">
        <v>1149</v>
      </c>
      <c r="I141" s="325"/>
      <c r="J141" s="325"/>
      <c r="K141" s="325"/>
      <c r="L141" s="325"/>
      <c r="M141" s="355"/>
      <c r="N141" s="294"/>
      <c r="O141" s="294"/>
      <c r="P141" s="294"/>
      <c r="Q141" s="294"/>
      <c r="R141" s="294"/>
      <c r="S141" s="294"/>
      <c r="T141" s="294"/>
      <c r="U141" s="294"/>
      <c r="V141" s="294"/>
      <c r="W141" s="294"/>
      <c r="X141" s="294"/>
      <c r="Y141" s="294"/>
      <c r="Z141" s="294"/>
      <c r="AA141" s="294"/>
      <c r="AB141" s="294"/>
      <c r="AC141" s="294"/>
      <c r="AD141" s="294"/>
      <c r="AE141" s="294"/>
      <c r="AF141" s="294"/>
    </row>
    <row r="142" spans="2:32" s="79" customFormat="1">
      <c r="B142" s="265"/>
      <c r="C142" s="265"/>
      <c r="D142" s="265"/>
      <c r="E142" s="354" t="s">
        <v>1150</v>
      </c>
      <c r="F142" s="355" t="s">
        <v>1030</v>
      </c>
      <c r="G142" s="325"/>
      <c r="H142" s="354" t="s">
        <v>1029</v>
      </c>
      <c r="I142" s="325"/>
      <c r="J142" s="325"/>
      <c r="K142" s="325"/>
      <c r="L142" s="325"/>
      <c r="M142" s="355"/>
      <c r="N142" s="294"/>
      <c r="O142" s="294"/>
      <c r="P142" s="294"/>
      <c r="Q142" s="294"/>
      <c r="R142" s="294"/>
      <c r="S142" s="294"/>
      <c r="T142" s="294"/>
      <c r="U142" s="294"/>
      <c r="V142" s="294"/>
      <c r="W142" s="294"/>
      <c r="X142" s="294"/>
      <c r="Y142" s="294"/>
      <c r="Z142" s="294"/>
      <c r="AA142" s="294"/>
      <c r="AB142" s="294"/>
      <c r="AC142" s="294"/>
      <c r="AD142" s="294"/>
      <c r="AE142" s="294"/>
      <c r="AF142" s="294"/>
    </row>
    <row r="143" spans="2:32" s="79" customFormat="1">
      <c r="B143" s="265"/>
      <c r="C143" s="265"/>
      <c r="D143" s="265"/>
      <c r="E143" s="354" t="s">
        <v>1010</v>
      </c>
      <c r="F143" s="355"/>
      <c r="G143" s="325"/>
      <c r="H143" s="354" t="s">
        <v>1009</v>
      </c>
      <c r="I143" s="325"/>
      <c r="J143" s="325"/>
      <c r="K143" s="325"/>
      <c r="L143" s="325"/>
      <c r="M143" s="355"/>
      <c r="N143" s="294"/>
      <c r="O143" s="294"/>
      <c r="P143" s="294"/>
      <c r="Q143" s="294"/>
      <c r="R143" s="294"/>
      <c r="S143" s="294"/>
      <c r="T143" s="294"/>
      <c r="U143" s="294"/>
      <c r="V143" s="294"/>
      <c r="W143" s="294"/>
      <c r="X143" s="294"/>
      <c r="Y143" s="294"/>
      <c r="Z143" s="294"/>
      <c r="AA143" s="294"/>
      <c r="AB143" s="294"/>
      <c r="AC143" s="294"/>
      <c r="AD143" s="294"/>
      <c r="AE143" s="294"/>
      <c r="AF143" s="294"/>
    </row>
    <row r="144" spans="2:32" s="79" customFormat="1">
      <c r="B144" s="265"/>
      <c r="C144" s="265"/>
      <c r="D144" s="265"/>
      <c r="E144" s="354" t="s">
        <v>1151</v>
      </c>
      <c r="F144" s="355"/>
      <c r="G144" s="325"/>
      <c r="H144" s="354" t="s">
        <v>1152</v>
      </c>
      <c r="I144" s="325"/>
      <c r="J144" s="325"/>
      <c r="K144" s="325"/>
      <c r="L144" s="325"/>
      <c r="M144" s="355"/>
      <c r="N144" s="294"/>
      <c r="O144" s="294"/>
      <c r="P144" s="294"/>
      <c r="Q144" s="294"/>
      <c r="R144" s="294"/>
      <c r="S144" s="294"/>
      <c r="T144" s="294"/>
      <c r="U144" s="294"/>
      <c r="V144" s="294"/>
      <c r="W144" s="294"/>
      <c r="X144" s="294"/>
      <c r="Y144" s="294"/>
      <c r="Z144" s="294"/>
      <c r="AA144" s="294"/>
      <c r="AB144" s="294"/>
      <c r="AC144" s="294"/>
      <c r="AD144" s="294"/>
      <c r="AE144" s="294"/>
      <c r="AF144" s="294"/>
    </row>
    <row r="145" spans="2:32" s="79" customFormat="1">
      <c r="B145" s="265"/>
      <c r="C145" s="265"/>
      <c r="D145" s="265"/>
      <c r="E145" s="354" t="s">
        <v>1153</v>
      </c>
      <c r="F145" s="355" t="s">
        <v>1154</v>
      </c>
      <c r="G145" s="325"/>
      <c r="H145" s="354" t="s">
        <v>1155</v>
      </c>
      <c r="I145" s="325"/>
      <c r="J145" s="325"/>
      <c r="K145" s="325"/>
      <c r="L145" s="325"/>
      <c r="M145" s="355"/>
      <c r="N145" s="294"/>
      <c r="O145" s="294"/>
      <c r="P145" s="294"/>
      <c r="Q145" s="294"/>
      <c r="R145" s="294"/>
      <c r="S145" s="294"/>
      <c r="T145" s="294"/>
      <c r="U145" s="294"/>
      <c r="V145" s="294"/>
      <c r="W145" s="294"/>
      <c r="X145" s="294"/>
      <c r="Y145" s="294"/>
      <c r="Z145" s="294"/>
      <c r="AA145" s="294"/>
      <c r="AB145" s="294"/>
      <c r="AC145" s="294"/>
      <c r="AD145" s="294"/>
      <c r="AE145" s="294"/>
      <c r="AF145" s="294"/>
    </row>
    <row r="146" spans="2:32" s="79" customFormat="1">
      <c r="B146" s="265"/>
      <c r="C146" s="265"/>
      <c r="D146" s="265"/>
      <c r="E146" s="354" t="s">
        <v>1156</v>
      </c>
      <c r="F146" s="355" t="s">
        <v>1157</v>
      </c>
      <c r="G146" s="325"/>
      <c r="H146" s="354" t="s">
        <v>1158</v>
      </c>
      <c r="I146" s="325"/>
      <c r="J146" s="325"/>
      <c r="K146" s="325"/>
      <c r="L146" s="325"/>
      <c r="M146" s="355"/>
      <c r="N146" s="294"/>
      <c r="O146" s="294"/>
      <c r="P146" s="294"/>
      <c r="Q146" s="294"/>
      <c r="R146" s="294"/>
      <c r="S146" s="294"/>
      <c r="T146" s="294"/>
      <c r="U146" s="294"/>
      <c r="V146" s="294"/>
      <c r="W146" s="294"/>
      <c r="X146" s="294"/>
      <c r="Y146" s="294"/>
      <c r="Z146" s="294"/>
      <c r="AA146" s="294"/>
      <c r="AB146" s="294"/>
      <c r="AC146" s="294"/>
      <c r="AD146" s="294"/>
      <c r="AE146" s="294"/>
      <c r="AF146" s="294"/>
    </row>
    <row r="147" spans="2:32">
      <c r="D147" s="93" t="s">
        <v>24</v>
      </c>
      <c r="E147" s="356" t="s">
        <v>1159</v>
      </c>
      <c r="F147" s="357" t="s">
        <v>392</v>
      </c>
      <c r="G147" s="291"/>
      <c r="H147" s="356" t="s">
        <v>1160</v>
      </c>
      <c r="I147" s="291"/>
      <c r="J147" s="291"/>
      <c r="K147" s="291"/>
      <c r="L147" s="291"/>
      <c r="M147" s="357"/>
    </row>
    <row r="148" spans="2:32" s="79" customFormat="1">
      <c r="B148" s="265"/>
      <c r="C148" s="265"/>
      <c r="D148" s="265"/>
      <c r="E148" s="358" t="s">
        <v>1161</v>
      </c>
      <c r="F148" s="359" t="s">
        <v>1115</v>
      </c>
      <c r="G148" s="325"/>
      <c r="H148" s="358" t="s">
        <v>1114</v>
      </c>
      <c r="I148" s="386"/>
      <c r="J148" s="386"/>
      <c r="K148" s="386"/>
      <c r="L148" s="386"/>
      <c r="M148" s="359"/>
      <c r="N148" s="294"/>
      <c r="O148" s="294"/>
      <c r="P148" s="294"/>
      <c r="Q148" s="294"/>
      <c r="R148" s="294"/>
      <c r="S148" s="294"/>
      <c r="T148" s="294"/>
      <c r="U148" s="294"/>
      <c r="V148" s="294"/>
      <c r="W148" s="294"/>
      <c r="X148" s="294"/>
      <c r="Y148" s="294"/>
      <c r="Z148" s="294"/>
      <c r="AA148" s="294"/>
      <c r="AB148" s="294"/>
      <c r="AC148" s="294"/>
      <c r="AD148" s="294"/>
      <c r="AE148" s="294"/>
      <c r="AF148" s="294"/>
    </row>
    <row r="149" spans="2:32" ht="8" customHeight="1">
      <c r="B149" s="262" t="s">
        <v>12</v>
      </c>
      <c r="C149" s="262" t="s">
        <v>12</v>
      </c>
      <c r="D149" s="262" t="s">
        <v>12</v>
      </c>
      <c r="E149" s="291"/>
      <c r="F149" s="291"/>
      <c r="G149" s="291"/>
      <c r="H149" s="291"/>
      <c r="I149" s="291"/>
      <c r="J149" s="291"/>
      <c r="K149" s="291"/>
      <c r="L149" s="291"/>
      <c r="M149" s="291"/>
    </row>
    <row r="150" spans="2:32" ht="16">
      <c r="B150" s="262" t="s">
        <v>12</v>
      </c>
      <c r="C150" s="262" t="s">
        <v>12</v>
      </c>
      <c r="D150" s="262" t="s">
        <v>12</v>
      </c>
      <c r="E150" s="360" t="s">
        <v>393</v>
      </c>
      <c r="F150" s="360"/>
      <c r="G150" s="360"/>
      <c r="H150" s="291"/>
      <c r="I150" s="291"/>
      <c r="J150" s="291"/>
      <c r="K150" s="291"/>
      <c r="L150" s="291"/>
      <c r="M150" s="291"/>
    </row>
    <row r="151" spans="2:32">
      <c r="D151" s="93" t="s">
        <v>24</v>
      </c>
      <c r="E151" s="361" t="s">
        <v>1162</v>
      </c>
      <c r="F151" s="362" t="s">
        <v>394</v>
      </c>
      <c r="G151" s="291"/>
      <c r="H151" s="361" t="s">
        <v>1013</v>
      </c>
      <c r="I151" s="387" t="s">
        <v>1012</v>
      </c>
      <c r="J151" s="387"/>
      <c r="K151" s="387"/>
      <c r="L151" s="387"/>
      <c r="M151" s="362"/>
      <c r="O151" s="292"/>
      <c r="P151" s="292"/>
    </row>
    <row r="152" spans="2:32">
      <c r="D152" s="93" t="s">
        <v>24</v>
      </c>
      <c r="E152" s="363" t="s">
        <v>396</v>
      </c>
      <c r="F152" s="364"/>
      <c r="G152" s="291"/>
      <c r="H152" s="363" t="s">
        <v>1163</v>
      </c>
      <c r="I152" s="291"/>
      <c r="J152" s="291"/>
      <c r="K152" s="291"/>
      <c r="L152" s="291"/>
      <c r="M152" s="364"/>
      <c r="O152" s="292"/>
      <c r="P152" s="292"/>
    </row>
    <row r="153" spans="2:32" s="79" customFormat="1">
      <c r="B153" s="265"/>
      <c r="C153" s="265"/>
      <c r="D153" s="265"/>
      <c r="E153" s="365" t="s">
        <v>1164</v>
      </c>
      <c r="F153" s="366"/>
      <c r="G153" s="325"/>
      <c r="H153" s="365" t="s">
        <v>468</v>
      </c>
      <c r="I153" s="325"/>
      <c r="J153" s="325"/>
      <c r="K153" s="325"/>
      <c r="L153" s="325"/>
      <c r="M153" s="366"/>
      <c r="N153" s="294"/>
      <c r="O153" s="294"/>
      <c r="P153" s="294"/>
      <c r="Q153" s="294"/>
      <c r="R153" s="294"/>
      <c r="S153" s="294"/>
      <c r="T153" s="294"/>
      <c r="U153" s="294"/>
      <c r="V153" s="294"/>
      <c r="W153" s="294"/>
      <c r="X153" s="294"/>
      <c r="Y153" s="294"/>
      <c r="Z153" s="294"/>
      <c r="AA153" s="294"/>
      <c r="AB153" s="294"/>
      <c r="AC153" s="294"/>
      <c r="AD153" s="294"/>
      <c r="AE153" s="294"/>
      <c r="AF153" s="294"/>
    </row>
    <row r="154" spans="2:32" s="79" customFormat="1">
      <c r="B154" s="265"/>
      <c r="C154" s="265"/>
      <c r="D154" s="265"/>
      <c r="E154" s="365" t="s">
        <v>1165</v>
      </c>
      <c r="F154" s="366"/>
      <c r="G154" s="325"/>
      <c r="H154" s="365" t="s">
        <v>1166</v>
      </c>
      <c r="I154" s="325"/>
      <c r="J154" s="325"/>
      <c r="K154" s="325"/>
      <c r="L154" s="325"/>
      <c r="M154" s="366"/>
      <c r="N154" s="294"/>
      <c r="O154" s="294"/>
      <c r="P154" s="294"/>
      <c r="Q154" s="294"/>
      <c r="R154" s="294"/>
      <c r="S154" s="294"/>
      <c r="T154" s="294"/>
      <c r="U154" s="294"/>
      <c r="V154" s="294"/>
      <c r="W154" s="294"/>
      <c r="X154" s="294"/>
      <c r="Y154" s="294"/>
      <c r="Z154" s="294"/>
      <c r="AA154" s="294"/>
      <c r="AB154" s="294"/>
      <c r="AC154" s="294"/>
      <c r="AD154" s="294"/>
      <c r="AE154" s="294"/>
      <c r="AF154" s="294"/>
    </row>
    <row r="155" spans="2:32" s="79" customFormat="1">
      <c r="B155" s="265"/>
      <c r="C155" s="265"/>
      <c r="D155" s="265"/>
      <c r="E155" s="367" t="s">
        <v>1109</v>
      </c>
      <c r="F155" s="368"/>
      <c r="G155" s="325"/>
      <c r="H155" s="367" t="s">
        <v>347</v>
      </c>
      <c r="I155" s="388"/>
      <c r="J155" s="388"/>
      <c r="K155" s="388"/>
      <c r="L155" s="388"/>
      <c r="M155" s="368"/>
      <c r="N155" s="294"/>
      <c r="O155" s="294"/>
      <c r="P155" s="294"/>
      <c r="Q155" s="294"/>
      <c r="R155" s="294"/>
      <c r="S155" s="294"/>
      <c r="T155" s="294"/>
      <c r="U155" s="294"/>
      <c r="V155" s="294"/>
      <c r="W155" s="294"/>
      <c r="X155" s="294"/>
      <c r="Y155" s="294"/>
      <c r="Z155" s="294"/>
      <c r="AA155" s="294"/>
      <c r="AB155" s="294"/>
      <c r="AC155" s="294"/>
      <c r="AD155" s="294"/>
      <c r="AE155" s="294"/>
      <c r="AF155" s="294"/>
    </row>
    <row r="156" spans="2:32" ht="8" customHeight="1">
      <c r="B156" s="262" t="s">
        <v>12</v>
      </c>
      <c r="C156" s="262" t="s">
        <v>12</v>
      </c>
      <c r="D156" s="262" t="s">
        <v>12</v>
      </c>
      <c r="E156" s="291"/>
      <c r="F156" s="291"/>
      <c r="G156" s="291"/>
      <c r="H156" s="291"/>
      <c r="I156" s="291"/>
      <c r="J156" s="291"/>
      <c r="K156" s="291"/>
      <c r="L156" s="291"/>
      <c r="M156" s="291"/>
    </row>
    <row r="157" spans="2:32" ht="16">
      <c r="B157" s="262" t="s">
        <v>12</v>
      </c>
      <c r="C157" s="262" t="s">
        <v>12</v>
      </c>
      <c r="D157" s="262" t="s">
        <v>12</v>
      </c>
      <c r="E157" s="369" t="s">
        <v>399</v>
      </c>
      <c r="F157" s="369"/>
      <c r="G157" s="369"/>
      <c r="H157" s="291"/>
      <c r="I157" s="291"/>
      <c r="J157" s="291"/>
      <c r="K157" s="291"/>
      <c r="L157" s="291"/>
      <c r="M157" s="291"/>
    </row>
    <row r="158" spans="2:32" s="79" customFormat="1">
      <c r="B158" s="265"/>
      <c r="C158" s="265"/>
      <c r="D158" s="265"/>
      <c r="E158" s="370" t="s">
        <v>1167</v>
      </c>
      <c r="F158" s="371" t="s">
        <v>1168</v>
      </c>
      <c r="G158" s="325"/>
      <c r="H158" s="370" t="s">
        <v>1169</v>
      </c>
      <c r="I158" s="389"/>
      <c r="J158" s="389"/>
      <c r="K158" s="389"/>
      <c r="L158" s="389"/>
      <c r="M158" s="371"/>
      <c r="N158" s="294"/>
      <c r="O158" s="294"/>
      <c r="P158" s="294"/>
      <c r="Q158" s="294"/>
      <c r="R158" s="294"/>
      <c r="S158" s="294"/>
      <c r="T158" s="294"/>
      <c r="U158" s="294"/>
      <c r="V158" s="294"/>
      <c r="W158" s="294"/>
      <c r="X158" s="294"/>
      <c r="Y158" s="294"/>
      <c r="Z158" s="294"/>
      <c r="AA158" s="294"/>
      <c r="AB158" s="294"/>
      <c r="AC158" s="294"/>
      <c r="AD158" s="294"/>
      <c r="AE158" s="294"/>
      <c r="AF158" s="294"/>
    </row>
    <row r="159" spans="2:32" s="79" customFormat="1">
      <c r="B159" s="265"/>
      <c r="C159" s="265"/>
      <c r="D159" s="265"/>
      <c r="E159" s="372" t="s">
        <v>1170</v>
      </c>
      <c r="F159" s="373" t="s">
        <v>1152</v>
      </c>
      <c r="G159" s="325"/>
      <c r="H159" s="372" t="s">
        <v>1151</v>
      </c>
      <c r="I159" s="325"/>
      <c r="J159" s="325"/>
      <c r="K159" s="325"/>
      <c r="L159" s="325"/>
      <c r="M159" s="373"/>
      <c r="N159" s="294"/>
      <c r="O159" s="294"/>
      <c r="P159" s="294"/>
      <c r="Q159" s="294"/>
      <c r="R159" s="294"/>
      <c r="S159" s="294"/>
      <c r="T159" s="294"/>
      <c r="U159" s="294"/>
      <c r="V159" s="294"/>
      <c r="W159" s="294"/>
      <c r="X159" s="294"/>
      <c r="Y159" s="294"/>
      <c r="Z159" s="294"/>
      <c r="AA159" s="294"/>
      <c r="AB159" s="294"/>
      <c r="AC159" s="294"/>
      <c r="AD159" s="294"/>
      <c r="AE159" s="294"/>
      <c r="AF159" s="294"/>
    </row>
    <row r="160" spans="2:32" s="79" customFormat="1">
      <c r="B160" s="265"/>
      <c r="C160" s="265"/>
      <c r="D160" s="265"/>
      <c r="E160" s="372" t="s">
        <v>1171</v>
      </c>
      <c r="F160" s="373" t="s">
        <v>1134</v>
      </c>
      <c r="G160" s="325"/>
      <c r="H160" s="372" t="s">
        <v>364</v>
      </c>
      <c r="I160" s="325"/>
      <c r="J160" s="325"/>
      <c r="K160" s="325"/>
      <c r="L160" s="325"/>
      <c r="M160" s="373"/>
      <c r="N160" s="294"/>
      <c r="O160" s="294"/>
      <c r="P160" s="294"/>
      <c r="Q160" s="294"/>
      <c r="R160" s="294"/>
      <c r="S160" s="294"/>
      <c r="T160" s="294"/>
      <c r="U160" s="294"/>
      <c r="V160" s="294"/>
      <c r="W160" s="294"/>
      <c r="X160" s="294"/>
      <c r="Y160" s="294"/>
      <c r="Z160" s="294"/>
      <c r="AA160" s="294"/>
      <c r="AB160" s="294"/>
      <c r="AC160" s="294"/>
      <c r="AD160" s="294"/>
      <c r="AE160" s="294"/>
      <c r="AF160" s="294"/>
    </row>
    <row r="161" spans="2:32" s="79" customFormat="1">
      <c r="B161" s="265"/>
      <c r="C161" s="265"/>
      <c r="D161" s="265"/>
      <c r="E161" s="372" t="s">
        <v>1172</v>
      </c>
      <c r="F161" s="373"/>
      <c r="G161" s="325"/>
      <c r="H161" s="372" t="s">
        <v>1173</v>
      </c>
      <c r="I161" s="325"/>
      <c r="J161" s="325"/>
      <c r="K161" s="325"/>
      <c r="L161" s="325"/>
      <c r="M161" s="373"/>
      <c r="N161" s="294"/>
      <c r="O161" s="294"/>
      <c r="P161" s="294"/>
      <c r="Q161" s="294"/>
      <c r="R161" s="294"/>
      <c r="S161" s="294"/>
      <c r="T161" s="294"/>
      <c r="U161" s="294"/>
      <c r="V161" s="294"/>
      <c r="W161" s="294"/>
      <c r="X161" s="294"/>
      <c r="Y161" s="294"/>
      <c r="Z161" s="294"/>
      <c r="AA161" s="294"/>
      <c r="AB161" s="294"/>
      <c r="AC161" s="294"/>
      <c r="AD161" s="294"/>
      <c r="AE161" s="294"/>
      <c r="AF161" s="294"/>
    </row>
    <row r="162" spans="2:32" s="79" customFormat="1">
      <c r="B162" s="265"/>
      <c r="C162" s="265"/>
      <c r="D162" s="265"/>
      <c r="E162" s="372" t="s">
        <v>1174</v>
      </c>
      <c r="F162" s="373" t="s">
        <v>1175</v>
      </c>
      <c r="G162" s="325"/>
      <c r="H162" s="372" t="s">
        <v>1176</v>
      </c>
      <c r="I162" s="325"/>
      <c r="J162" s="325"/>
      <c r="K162" s="325"/>
      <c r="L162" s="325"/>
      <c r="M162" s="373"/>
      <c r="N162" s="294"/>
      <c r="O162" s="294"/>
      <c r="P162" s="294"/>
      <c r="Q162" s="294"/>
      <c r="R162" s="294"/>
      <c r="S162" s="294"/>
      <c r="T162" s="294"/>
      <c r="U162" s="294"/>
      <c r="V162" s="294"/>
      <c r="W162" s="294"/>
      <c r="X162" s="294"/>
      <c r="Y162" s="294"/>
      <c r="Z162" s="294"/>
      <c r="AA162" s="294"/>
      <c r="AB162" s="294"/>
      <c r="AC162" s="294"/>
      <c r="AD162" s="294"/>
      <c r="AE162" s="294"/>
      <c r="AF162" s="294"/>
    </row>
    <row r="163" spans="2:32" s="79" customFormat="1">
      <c r="B163" s="265"/>
      <c r="C163" s="265"/>
      <c r="D163" s="265"/>
      <c r="E163" s="372" t="s">
        <v>1177</v>
      </c>
      <c r="F163" s="373" t="s">
        <v>959</v>
      </c>
      <c r="G163" s="325"/>
      <c r="H163" s="372" t="s">
        <v>958</v>
      </c>
      <c r="I163" s="325" t="s">
        <v>960</v>
      </c>
      <c r="J163" s="325" t="s">
        <v>961</v>
      </c>
      <c r="K163" s="325" t="s">
        <v>962</v>
      </c>
      <c r="L163" s="325" t="s">
        <v>963</v>
      </c>
      <c r="M163" s="373"/>
      <c r="N163" s="294"/>
      <c r="O163" s="294"/>
      <c r="P163" s="294"/>
      <c r="Q163" s="294"/>
      <c r="R163" s="294"/>
      <c r="S163" s="294"/>
      <c r="T163" s="294"/>
      <c r="U163" s="294"/>
      <c r="V163" s="294"/>
      <c r="W163" s="294"/>
      <c r="X163" s="294"/>
      <c r="Y163" s="294"/>
      <c r="Z163" s="294"/>
      <c r="AA163" s="294"/>
      <c r="AB163" s="294"/>
      <c r="AC163" s="294"/>
      <c r="AD163" s="294"/>
      <c r="AE163" s="294"/>
      <c r="AF163" s="294"/>
    </row>
    <row r="164" spans="2:32">
      <c r="D164" s="93" t="s">
        <v>24</v>
      </c>
      <c r="E164" s="374" t="s">
        <v>400</v>
      </c>
      <c r="F164" s="375"/>
      <c r="G164" s="291"/>
      <c r="H164" s="374" t="s">
        <v>1021</v>
      </c>
      <c r="I164" s="291"/>
      <c r="J164" s="291"/>
      <c r="K164" s="291"/>
      <c r="L164" s="291"/>
      <c r="M164" s="375"/>
    </row>
    <row r="165" spans="2:32">
      <c r="E165" s="376" t="s">
        <v>1178</v>
      </c>
      <c r="F165" s="377"/>
      <c r="G165" s="378"/>
      <c r="H165" s="376" t="s">
        <v>1179</v>
      </c>
      <c r="I165" s="291"/>
      <c r="J165" s="291"/>
      <c r="K165" s="291"/>
      <c r="L165" s="291"/>
      <c r="M165" s="375"/>
    </row>
    <row r="166" spans="2:32" s="79" customFormat="1">
      <c r="B166" s="265"/>
      <c r="C166" s="265"/>
      <c r="D166" s="265"/>
      <c r="E166" s="372" t="s">
        <v>1046</v>
      </c>
      <c r="F166" s="373"/>
      <c r="G166" s="325"/>
      <c r="H166" s="372" t="s">
        <v>294</v>
      </c>
      <c r="I166" s="325" t="s">
        <v>306</v>
      </c>
      <c r="J166" s="325"/>
      <c r="K166" s="325"/>
      <c r="L166" s="325"/>
      <c r="M166" s="373"/>
      <c r="N166" s="294"/>
      <c r="O166" s="294"/>
      <c r="P166" s="294"/>
      <c r="Q166" s="294"/>
      <c r="R166" s="294"/>
      <c r="S166" s="294"/>
      <c r="T166" s="294"/>
      <c r="U166" s="294"/>
      <c r="V166" s="294"/>
      <c r="W166" s="294"/>
      <c r="X166" s="294"/>
      <c r="Y166" s="294"/>
      <c r="Z166" s="294"/>
      <c r="AA166" s="294"/>
      <c r="AB166" s="294"/>
      <c r="AC166" s="294"/>
      <c r="AD166" s="294"/>
      <c r="AE166" s="294"/>
      <c r="AF166" s="294"/>
    </row>
    <row r="167" spans="2:32" s="79" customFormat="1">
      <c r="B167" s="265"/>
      <c r="C167" s="265"/>
      <c r="D167" s="265"/>
      <c r="E167" s="372" t="s">
        <v>1180</v>
      </c>
      <c r="F167" s="373"/>
      <c r="G167" s="325"/>
      <c r="H167" s="372" t="s">
        <v>1181</v>
      </c>
      <c r="I167" s="325"/>
      <c r="J167" s="325"/>
      <c r="K167" s="325"/>
      <c r="L167" s="325"/>
      <c r="M167" s="373"/>
      <c r="N167" s="294"/>
      <c r="O167" s="294"/>
      <c r="P167" s="294"/>
      <c r="Q167" s="294"/>
      <c r="R167" s="294"/>
      <c r="S167" s="294"/>
      <c r="T167" s="294"/>
      <c r="U167" s="294"/>
      <c r="V167" s="294"/>
      <c r="W167" s="294"/>
      <c r="X167" s="294"/>
      <c r="Y167" s="294"/>
      <c r="Z167" s="294"/>
      <c r="AA167" s="294"/>
      <c r="AB167" s="294"/>
      <c r="AC167" s="294"/>
      <c r="AD167" s="294"/>
      <c r="AE167" s="294"/>
      <c r="AF167" s="294"/>
    </row>
    <row r="168" spans="2:32">
      <c r="D168" s="93" t="s">
        <v>24</v>
      </c>
      <c r="E168" s="374" t="s">
        <v>1182</v>
      </c>
      <c r="F168" s="375"/>
      <c r="G168" s="291"/>
      <c r="H168" s="374" t="s">
        <v>1183</v>
      </c>
      <c r="I168" s="291"/>
      <c r="J168" s="291"/>
      <c r="K168" s="291"/>
      <c r="L168" s="291"/>
      <c r="M168" s="375"/>
    </row>
    <row r="169" spans="2:32" s="79" customFormat="1">
      <c r="B169" s="265"/>
      <c r="C169" s="265"/>
      <c r="D169" s="265"/>
      <c r="E169" s="372" t="s">
        <v>1184</v>
      </c>
      <c r="F169" s="373"/>
      <c r="G169" s="325"/>
      <c r="H169" s="372" t="s">
        <v>1185</v>
      </c>
      <c r="I169" s="325"/>
      <c r="J169" s="325"/>
      <c r="K169" s="325"/>
      <c r="L169" s="325"/>
      <c r="M169" s="373"/>
      <c r="N169" s="294"/>
      <c r="O169" s="294"/>
      <c r="P169" s="294"/>
      <c r="Q169" s="294"/>
      <c r="R169" s="294"/>
      <c r="S169" s="294"/>
      <c r="T169" s="294"/>
      <c r="U169" s="294"/>
      <c r="V169" s="294"/>
      <c r="W169" s="294"/>
      <c r="X169" s="294"/>
      <c r="Y169" s="294"/>
      <c r="Z169" s="294"/>
      <c r="AA169" s="294"/>
      <c r="AB169" s="294"/>
      <c r="AC169" s="294"/>
      <c r="AD169" s="294"/>
      <c r="AE169" s="294"/>
      <c r="AF169" s="294"/>
    </row>
    <row r="170" spans="2:32" s="79" customFormat="1">
      <c r="B170" s="265"/>
      <c r="C170" s="265"/>
      <c r="D170" s="265"/>
      <c r="E170" s="372" t="s">
        <v>1186</v>
      </c>
      <c r="F170" s="373"/>
      <c r="G170" s="325"/>
      <c r="H170" s="372" t="s">
        <v>1187</v>
      </c>
      <c r="I170" s="325"/>
      <c r="J170" s="325"/>
      <c r="K170" s="325"/>
      <c r="L170" s="325"/>
      <c r="M170" s="373"/>
      <c r="N170" s="294"/>
      <c r="O170" s="294"/>
      <c r="P170" s="294"/>
      <c r="Q170" s="294"/>
      <c r="R170" s="294"/>
      <c r="S170" s="294"/>
      <c r="T170" s="294"/>
      <c r="U170" s="294"/>
      <c r="V170" s="294"/>
      <c r="W170" s="294"/>
      <c r="X170" s="294"/>
      <c r="Y170" s="294"/>
      <c r="Z170" s="294"/>
      <c r="AA170" s="294"/>
      <c r="AB170" s="294"/>
      <c r="AC170" s="294"/>
      <c r="AD170" s="294"/>
      <c r="AE170" s="294"/>
      <c r="AF170" s="294"/>
    </row>
    <row r="171" spans="2:32" s="79" customFormat="1">
      <c r="B171" s="265"/>
      <c r="C171" s="265"/>
      <c r="D171" s="265"/>
      <c r="E171" s="372" t="s">
        <v>1188</v>
      </c>
      <c r="F171" s="373"/>
      <c r="G171" s="325"/>
      <c r="H171" s="372" t="s">
        <v>1189</v>
      </c>
      <c r="I171" s="325"/>
      <c r="J171" s="325"/>
      <c r="K171" s="325"/>
      <c r="L171" s="325"/>
      <c r="M171" s="373"/>
      <c r="N171" s="294"/>
      <c r="O171" s="294"/>
      <c r="P171" s="294"/>
      <c r="Q171" s="294"/>
      <c r="R171" s="294"/>
      <c r="S171" s="294"/>
      <c r="T171" s="294"/>
      <c r="U171" s="294"/>
      <c r="V171" s="294"/>
      <c r="W171" s="294"/>
      <c r="X171" s="294"/>
      <c r="Y171" s="294"/>
      <c r="Z171" s="294"/>
      <c r="AA171" s="294"/>
      <c r="AB171" s="294"/>
      <c r="AC171" s="294"/>
      <c r="AD171" s="294"/>
      <c r="AE171" s="294"/>
      <c r="AF171" s="294"/>
    </row>
    <row r="172" spans="2:32" s="79" customFormat="1">
      <c r="B172" s="265"/>
      <c r="C172" s="265"/>
      <c r="D172" s="265"/>
      <c r="E172" s="379" t="s">
        <v>1190</v>
      </c>
      <c r="F172" s="380"/>
      <c r="G172" s="325"/>
      <c r="H172" s="379" t="s">
        <v>267</v>
      </c>
      <c r="I172" s="390"/>
      <c r="J172" s="390"/>
      <c r="K172" s="390"/>
      <c r="L172" s="390"/>
      <c r="M172" s="380"/>
      <c r="N172" s="294"/>
      <c r="O172" s="294"/>
      <c r="P172" s="294"/>
      <c r="Q172" s="294"/>
      <c r="R172" s="294"/>
      <c r="S172" s="294"/>
      <c r="T172" s="294"/>
      <c r="U172" s="294"/>
      <c r="V172" s="294"/>
      <c r="W172" s="294"/>
      <c r="X172" s="294"/>
      <c r="Y172" s="294"/>
      <c r="Z172" s="294"/>
      <c r="AA172" s="294"/>
      <c r="AB172" s="294"/>
      <c r="AC172" s="294"/>
      <c r="AD172" s="294"/>
      <c r="AE172" s="294"/>
      <c r="AF172" s="294"/>
    </row>
    <row r="173" spans="2:32">
      <c r="B173" s="262" t="s">
        <v>12</v>
      </c>
      <c r="C173" s="262" t="s">
        <v>12</v>
      </c>
      <c r="D173" s="262" t="s">
        <v>12</v>
      </c>
    </row>
    <row r="174" spans="2:32">
      <c r="B174" s="262" t="s">
        <v>12</v>
      </c>
      <c r="C174" s="262" t="s">
        <v>12</v>
      </c>
      <c r="D174" s="262" t="s">
        <v>12</v>
      </c>
    </row>
    <row r="175" spans="2:32" ht="16">
      <c r="B175" s="262" t="s">
        <v>12</v>
      </c>
      <c r="C175" s="262" t="s">
        <v>12</v>
      </c>
      <c r="D175" s="262" t="s">
        <v>12</v>
      </c>
      <c r="E175" s="381" t="s">
        <v>424</v>
      </c>
      <c r="F175" s="381"/>
      <c r="G175" s="381"/>
      <c r="H175" s="264"/>
      <c r="I175" s="264"/>
      <c r="J175" s="264"/>
      <c r="K175" s="264"/>
      <c r="L175" s="264"/>
      <c r="M175" s="264"/>
    </row>
    <row r="176" spans="2:32" s="79" customFormat="1">
      <c r="B176" s="265"/>
      <c r="C176" s="265"/>
      <c r="D176" s="265"/>
      <c r="E176" s="266" t="s">
        <v>1191</v>
      </c>
      <c r="F176" s="267"/>
      <c r="G176" s="268"/>
      <c r="H176" s="266" t="s">
        <v>678</v>
      </c>
      <c r="I176" s="293"/>
      <c r="J176" s="293"/>
      <c r="K176" s="293"/>
      <c r="L176" s="293"/>
      <c r="M176" s="267"/>
      <c r="N176" s="294"/>
      <c r="O176" s="294"/>
      <c r="P176" s="294"/>
      <c r="Q176" s="294"/>
      <c r="R176" s="294"/>
      <c r="S176" s="294"/>
      <c r="T176" s="294"/>
      <c r="U176" s="294"/>
      <c r="V176" s="294"/>
      <c r="W176" s="294"/>
      <c r="X176" s="294"/>
      <c r="Y176" s="294"/>
      <c r="Z176" s="294"/>
      <c r="AA176" s="294"/>
      <c r="AB176" s="294"/>
      <c r="AC176" s="294"/>
      <c r="AD176" s="294"/>
      <c r="AE176" s="294"/>
      <c r="AF176" s="294"/>
    </row>
    <row r="177" spans="2:32" s="79" customFormat="1">
      <c r="B177" s="265"/>
      <c r="C177" s="265"/>
      <c r="D177" s="265"/>
      <c r="E177" s="269" t="s">
        <v>1192</v>
      </c>
      <c r="F177" s="270"/>
      <c r="G177" s="268"/>
      <c r="H177" s="269" t="s">
        <v>1179</v>
      </c>
      <c r="I177" s="268"/>
      <c r="J177" s="268"/>
      <c r="K177" s="268"/>
      <c r="L177" s="268"/>
      <c r="M177" s="270"/>
      <c r="N177" s="294"/>
      <c r="O177" s="294"/>
      <c r="P177" s="294"/>
      <c r="Q177" s="294"/>
      <c r="R177" s="294"/>
      <c r="S177" s="294"/>
      <c r="T177" s="294"/>
      <c r="U177" s="294"/>
      <c r="V177" s="294"/>
      <c r="W177" s="294"/>
      <c r="X177" s="294"/>
      <c r="Y177" s="294"/>
      <c r="Z177" s="294"/>
      <c r="AA177" s="294"/>
      <c r="AB177" s="294"/>
      <c r="AC177" s="294"/>
      <c r="AD177" s="294"/>
      <c r="AE177" s="294"/>
      <c r="AF177" s="294"/>
    </row>
    <row r="178" spans="2:32" s="79" customFormat="1">
      <c r="B178" s="265"/>
      <c r="C178" s="265"/>
      <c r="D178" s="265"/>
      <c r="E178" s="269" t="s">
        <v>1193</v>
      </c>
      <c r="F178" s="270" t="s">
        <v>1173</v>
      </c>
      <c r="G178" s="268"/>
      <c r="H178" s="269" t="s">
        <v>1172</v>
      </c>
      <c r="I178" s="268"/>
      <c r="J178" s="268"/>
      <c r="K178" s="268"/>
      <c r="L178" s="268"/>
      <c r="M178" s="270"/>
      <c r="N178" s="294"/>
      <c r="O178" s="294"/>
      <c r="P178" s="294"/>
      <c r="Q178" s="294"/>
      <c r="R178" s="294"/>
      <c r="S178" s="294"/>
      <c r="T178" s="294"/>
      <c r="U178" s="294"/>
      <c r="V178" s="294"/>
      <c r="W178" s="294"/>
      <c r="X178" s="294"/>
      <c r="Y178" s="294"/>
      <c r="Z178" s="294"/>
      <c r="AA178" s="294"/>
      <c r="AB178" s="294"/>
      <c r="AC178" s="294"/>
      <c r="AD178" s="294"/>
      <c r="AE178" s="294"/>
      <c r="AF178" s="294"/>
    </row>
    <row r="179" spans="2:32" s="79" customFormat="1">
      <c r="B179" s="265"/>
      <c r="C179" s="265"/>
      <c r="D179" s="265"/>
      <c r="E179" s="269" t="s">
        <v>1194</v>
      </c>
      <c r="F179" s="270"/>
      <c r="G179" s="268"/>
      <c r="H179" s="269" t="s">
        <v>1195</v>
      </c>
      <c r="I179" s="268"/>
      <c r="J179" s="268"/>
      <c r="K179" s="268"/>
      <c r="L179" s="268"/>
      <c r="M179" s="270"/>
      <c r="N179" s="294"/>
      <c r="O179" s="294"/>
      <c r="P179" s="294"/>
      <c r="Q179" s="294"/>
      <c r="R179" s="294"/>
      <c r="S179" s="294"/>
      <c r="T179" s="294"/>
      <c r="U179" s="294"/>
      <c r="V179" s="294"/>
      <c r="W179" s="294"/>
      <c r="X179" s="294"/>
      <c r="Y179" s="294"/>
      <c r="Z179" s="294"/>
      <c r="AA179" s="294"/>
      <c r="AB179" s="294"/>
      <c r="AC179" s="294"/>
      <c r="AD179" s="294"/>
      <c r="AE179" s="294"/>
      <c r="AF179" s="294"/>
    </row>
    <row r="180" spans="2:32" s="79" customFormat="1">
      <c r="B180" s="265"/>
      <c r="C180" s="265"/>
      <c r="D180" s="265"/>
      <c r="E180" s="269" t="s">
        <v>1196</v>
      </c>
      <c r="F180" s="270"/>
      <c r="G180" s="268"/>
      <c r="H180" s="269" t="s">
        <v>1197</v>
      </c>
      <c r="I180" s="268"/>
      <c r="J180" s="268"/>
      <c r="K180" s="268"/>
      <c r="L180" s="268"/>
      <c r="M180" s="270"/>
      <c r="N180" s="294"/>
      <c r="O180" s="294"/>
      <c r="P180" s="294"/>
      <c r="Q180" s="294"/>
      <c r="R180" s="294"/>
      <c r="S180" s="294"/>
      <c r="T180" s="294"/>
      <c r="U180" s="294"/>
      <c r="V180" s="294"/>
      <c r="W180" s="294"/>
      <c r="X180" s="294"/>
      <c r="Y180" s="294"/>
      <c r="Z180" s="294"/>
      <c r="AA180" s="294"/>
      <c r="AB180" s="294"/>
      <c r="AC180" s="294"/>
      <c r="AD180" s="294"/>
      <c r="AE180" s="294"/>
      <c r="AF180" s="294"/>
    </row>
    <row r="181" spans="2:32" s="79" customFormat="1">
      <c r="B181" s="265"/>
      <c r="C181" s="265"/>
      <c r="D181" s="265"/>
      <c r="E181" s="269" t="s">
        <v>1198</v>
      </c>
      <c r="F181" s="270"/>
      <c r="G181" s="268"/>
      <c r="H181" s="269" t="s">
        <v>1199</v>
      </c>
      <c r="I181" s="268"/>
      <c r="J181" s="268"/>
      <c r="K181" s="268"/>
      <c r="L181" s="268"/>
      <c r="M181" s="270"/>
      <c r="N181" s="294"/>
      <c r="O181" s="294"/>
      <c r="P181" s="294"/>
      <c r="Q181" s="294"/>
      <c r="R181" s="294"/>
      <c r="S181" s="294"/>
      <c r="T181" s="294"/>
      <c r="U181" s="294"/>
      <c r="V181" s="294"/>
      <c r="W181" s="294"/>
      <c r="X181" s="294"/>
      <c r="Y181" s="294"/>
      <c r="Z181" s="294"/>
      <c r="AA181" s="294"/>
      <c r="AB181" s="294"/>
      <c r="AC181" s="294"/>
      <c r="AD181" s="294"/>
      <c r="AE181" s="294"/>
      <c r="AF181" s="294"/>
    </row>
    <row r="182" spans="2:32" s="79" customFormat="1">
      <c r="B182" s="265"/>
      <c r="C182" s="265"/>
      <c r="D182" s="265"/>
      <c r="E182" s="269" t="s">
        <v>1200</v>
      </c>
      <c r="F182" s="270"/>
      <c r="G182" s="268"/>
      <c r="H182" s="269" t="s">
        <v>1201</v>
      </c>
      <c r="I182" s="268"/>
      <c r="J182" s="268"/>
      <c r="K182" s="268"/>
      <c r="L182" s="268"/>
      <c r="M182" s="270"/>
      <c r="N182" s="294"/>
      <c r="O182" s="294"/>
      <c r="P182" s="294"/>
      <c r="Q182" s="294"/>
      <c r="R182" s="294"/>
      <c r="S182" s="294"/>
      <c r="T182" s="294"/>
      <c r="U182" s="294"/>
      <c r="V182" s="294"/>
      <c r="W182" s="294"/>
      <c r="X182" s="294"/>
      <c r="Y182" s="294"/>
      <c r="Z182" s="294"/>
      <c r="AA182" s="294"/>
      <c r="AB182" s="294"/>
      <c r="AC182" s="294"/>
      <c r="AD182" s="294"/>
      <c r="AE182" s="294"/>
      <c r="AF182" s="294"/>
    </row>
    <row r="183" spans="2:32" s="79" customFormat="1">
      <c r="B183" s="265"/>
      <c r="C183" s="265"/>
      <c r="D183" s="265"/>
      <c r="E183" s="269" t="s">
        <v>1202</v>
      </c>
      <c r="F183" s="270"/>
      <c r="G183" s="268"/>
      <c r="H183" s="269" t="s">
        <v>1203</v>
      </c>
      <c r="I183" s="268" t="s">
        <v>1204</v>
      </c>
      <c r="J183" s="268"/>
      <c r="K183" s="268"/>
      <c r="L183" s="268"/>
      <c r="M183" s="270"/>
      <c r="N183" s="294"/>
      <c r="O183" s="294"/>
      <c r="P183" s="294"/>
      <c r="Q183" s="294"/>
      <c r="R183" s="294"/>
      <c r="S183" s="294"/>
      <c r="T183" s="294"/>
      <c r="U183" s="294"/>
      <c r="V183" s="294"/>
      <c r="W183" s="294"/>
      <c r="X183" s="294"/>
      <c r="Y183" s="294"/>
      <c r="Z183" s="294"/>
      <c r="AA183" s="294"/>
      <c r="AB183" s="294"/>
      <c r="AC183" s="294"/>
      <c r="AD183" s="294"/>
      <c r="AE183" s="294"/>
      <c r="AF183" s="294"/>
    </row>
    <row r="184" spans="2:32" s="79" customFormat="1">
      <c r="B184" s="265"/>
      <c r="C184" s="265"/>
      <c r="D184" s="265"/>
      <c r="E184" s="269" t="s">
        <v>945</v>
      </c>
      <c r="F184" s="270"/>
      <c r="G184" s="268"/>
      <c r="H184" s="269" t="s">
        <v>1205</v>
      </c>
      <c r="I184" s="268" t="s">
        <v>946</v>
      </c>
      <c r="J184" s="268"/>
      <c r="K184" s="268"/>
      <c r="L184" s="268"/>
      <c r="M184" s="270"/>
      <c r="N184" s="294"/>
      <c r="O184" s="294"/>
      <c r="P184" s="294"/>
      <c r="Q184" s="294"/>
      <c r="R184" s="294"/>
      <c r="S184" s="294"/>
      <c r="T184" s="294"/>
      <c r="U184" s="294"/>
      <c r="V184" s="294"/>
      <c r="W184" s="294"/>
      <c r="X184" s="294"/>
      <c r="Y184" s="294"/>
      <c r="Z184" s="294"/>
      <c r="AA184" s="294"/>
      <c r="AB184" s="294"/>
      <c r="AC184" s="294"/>
      <c r="AD184" s="294"/>
      <c r="AE184" s="294"/>
      <c r="AF184" s="294"/>
    </row>
    <row r="185" spans="2:32" s="79" customFormat="1">
      <c r="B185" s="265"/>
      <c r="C185" s="265"/>
      <c r="D185" s="265"/>
      <c r="E185" s="269" t="s">
        <v>1206</v>
      </c>
      <c r="F185" s="270" t="s">
        <v>1207</v>
      </c>
      <c r="G185" s="268"/>
      <c r="H185" s="269" t="s">
        <v>1208</v>
      </c>
      <c r="I185" s="268" t="s">
        <v>1209</v>
      </c>
      <c r="J185" s="268" t="s">
        <v>1210</v>
      </c>
      <c r="K185" s="268"/>
      <c r="L185" s="268"/>
      <c r="M185" s="270"/>
      <c r="N185" s="294"/>
      <c r="O185" s="294"/>
      <c r="P185" s="294"/>
      <c r="Q185" s="294"/>
      <c r="R185" s="294"/>
      <c r="S185" s="294"/>
      <c r="T185" s="294"/>
      <c r="U185" s="294"/>
      <c r="V185" s="294"/>
      <c r="W185" s="294"/>
      <c r="X185" s="294"/>
      <c r="Y185" s="294"/>
      <c r="Z185" s="294"/>
      <c r="AA185" s="294"/>
      <c r="AB185" s="294"/>
      <c r="AC185" s="294"/>
      <c r="AD185" s="294"/>
      <c r="AE185" s="294"/>
      <c r="AF185" s="294"/>
    </row>
    <row r="186" spans="2:32" s="79" customFormat="1">
      <c r="B186" s="265"/>
      <c r="C186" s="265"/>
      <c r="D186" s="265"/>
      <c r="E186" s="382" t="s">
        <v>989</v>
      </c>
      <c r="F186" s="274"/>
      <c r="G186" s="268"/>
      <c r="H186" s="382" t="s">
        <v>988</v>
      </c>
      <c r="I186" s="295" t="s">
        <v>990</v>
      </c>
      <c r="J186" s="295"/>
      <c r="K186" s="295"/>
      <c r="L186" s="295"/>
      <c r="M186" s="274"/>
      <c r="N186" s="294"/>
      <c r="O186" s="294"/>
      <c r="P186" s="294"/>
      <c r="Q186" s="294"/>
      <c r="R186" s="294"/>
      <c r="S186" s="294"/>
      <c r="T186" s="294"/>
      <c r="U186" s="294"/>
      <c r="V186" s="294"/>
      <c r="W186" s="294"/>
      <c r="X186" s="294"/>
      <c r="Y186" s="294"/>
      <c r="Z186" s="294"/>
      <c r="AA186" s="294"/>
      <c r="AB186" s="294"/>
      <c r="AC186" s="294"/>
      <c r="AD186" s="294"/>
      <c r="AE186" s="294"/>
      <c r="AF186" s="294"/>
    </row>
    <row r="187" spans="2:32" ht="8" customHeight="1">
      <c r="B187" s="262" t="s">
        <v>12</v>
      </c>
      <c r="C187" s="262" t="s">
        <v>12</v>
      </c>
      <c r="D187" s="262" t="s">
        <v>12</v>
      </c>
      <c r="E187" s="264"/>
      <c r="F187" s="264"/>
      <c r="G187" s="264"/>
      <c r="H187" s="264"/>
      <c r="I187" s="264"/>
      <c r="J187" s="264"/>
      <c r="K187" s="264"/>
      <c r="L187" s="264"/>
      <c r="M187" s="264"/>
    </row>
    <row r="188" spans="2:32" ht="16">
      <c r="B188" s="262" t="s">
        <v>12</v>
      </c>
      <c r="C188" s="262" t="s">
        <v>12</v>
      </c>
      <c r="D188" s="262" t="s">
        <v>12</v>
      </c>
      <c r="E188" s="275" t="s">
        <v>435</v>
      </c>
      <c r="F188" s="275"/>
      <c r="G188" s="275"/>
      <c r="H188" s="264"/>
      <c r="I188" s="264"/>
      <c r="J188" s="264"/>
      <c r="K188" s="264"/>
      <c r="L188" s="264"/>
      <c r="M188" s="264"/>
    </row>
    <row r="189" spans="2:32" s="79" customFormat="1">
      <c r="B189" s="265"/>
      <c r="C189" s="265"/>
      <c r="D189" s="265"/>
      <c r="E189" s="276" t="s">
        <v>1211</v>
      </c>
      <c r="F189" s="277" t="s">
        <v>962</v>
      </c>
      <c r="G189" s="268"/>
      <c r="H189" s="276" t="s">
        <v>959</v>
      </c>
      <c r="I189" s="296" t="s">
        <v>958</v>
      </c>
      <c r="J189" s="296" t="s">
        <v>960</v>
      </c>
      <c r="K189" s="296" t="s">
        <v>961</v>
      </c>
      <c r="L189" s="296" t="s">
        <v>963</v>
      </c>
      <c r="M189" s="277"/>
      <c r="N189" s="294"/>
      <c r="O189" s="294"/>
      <c r="P189" s="294"/>
      <c r="Q189" s="294"/>
      <c r="R189" s="294"/>
      <c r="S189" s="294"/>
      <c r="T189" s="294"/>
      <c r="U189" s="294"/>
      <c r="V189" s="294"/>
      <c r="W189" s="294"/>
      <c r="X189" s="294"/>
      <c r="Y189" s="294"/>
      <c r="Z189" s="294"/>
      <c r="AA189" s="294"/>
      <c r="AB189" s="294"/>
      <c r="AC189" s="294"/>
      <c r="AD189" s="294"/>
      <c r="AE189" s="294"/>
      <c r="AF189" s="294"/>
    </row>
    <row r="190" spans="2:32">
      <c r="D190" s="93" t="s">
        <v>24</v>
      </c>
      <c r="E190" s="383" t="s">
        <v>1212</v>
      </c>
      <c r="F190" s="384" t="s">
        <v>442</v>
      </c>
      <c r="G190" s="264"/>
      <c r="H190" s="383" t="s">
        <v>1213</v>
      </c>
      <c r="I190" s="264" t="s">
        <v>1004</v>
      </c>
      <c r="J190" s="264" t="s">
        <v>1005</v>
      </c>
      <c r="K190" s="264"/>
      <c r="L190" s="264"/>
      <c r="M190" s="384"/>
    </row>
    <row r="191" spans="2:32">
      <c r="D191" s="93" t="s">
        <v>24</v>
      </c>
      <c r="E191" s="383" t="s">
        <v>1214</v>
      </c>
      <c r="F191" s="384" t="s">
        <v>446</v>
      </c>
      <c r="G191" s="264"/>
      <c r="H191" s="383" t="s">
        <v>1215</v>
      </c>
      <c r="I191" s="264" t="s">
        <v>736</v>
      </c>
      <c r="J191" s="264"/>
      <c r="K191" s="264"/>
      <c r="L191" s="264"/>
      <c r="M191" s="384"/>
    </row>
    <row r="192" spans="2:32" s="79" customFormat="1">
      <c r="B192" s="265"/>
      <c r="C192" s="265"/>
      <c r="D192" s="265"/>
      <c r="E192" s="278" t="s">
        <v>1216</v>
      </c>
      <c r="F192" s="279" t="s">
        <v>1195</v>
      </c>
      <c r="G192" s="268"/>
      <c r="H192" s="278" t="s">
        <v>1194</v>
      </c>
      <c r="I192" s="268"/>
      <c r="J192" s="268"/>
      <c r="K192" s="268"/>
      <c r="L192" s="268"/>
      <c r="M192" s="279"/>
      <c r="N192" s="294"/>
      <c r="O192" s="294"/>
      <c r="P192" s="294"/>
      <c r="Q192" s="294"/>
      <c r="R192" s="294"/>
      <c r="S192" s="294"/>
      <c r="T192" s="294"/>
      <c r="U192" s="294"/>
      <c r="V192" s="294"/>
      <c r="W192" s="294"/>
      <c r="X192" s="294"/>
      <c r="Y192" s="294"/>
      <c r="Z192" s="294"/>
      <c r="AA192" s="294"/>
      <c r="AB192" s="294"/>
      <c r="AC192" s="294"/>
      <c r="AD192" s="294"/>
      <c r="AE192" s="294"/>
      <c r="AF192" s="294"/>
    </row>
    <row r="193" spans="2:32" s="79" customFormat="1">
      <c r="B193" s="265"/>
      <c r="C193" s="265"/>
      <c r="D193" s="265"/>
      <c r="E193" s="278" t="s">
        <v>973</v>
      </c>
      <c r="F193" s="279"/>
      <c r="G193" s="268"/>
      <c r="H193" s="278" t="s">
        <v>972</v>
      </c>
      <c r="I193" s="268"/>
      <c r="J193" s="268"/>
      <c r="K193" s="268"/>
      <c r="L193" s="268"/>
      <c r="M193" s="279"/>
      <c r="N193" s="294"/>
      <c r="O193" s="294"/>
      <c r="P193" s="294"/>
      <c r="Q193" s="294"/>
      <c r="R193" s="294"/>
      <c r="S193" s="294"/>
      <c r="T193" s="294"/>
      <c r="U193" s="294"/>
      <c r="V193" s="294"/>
      <c r="W193" s="294"/>
      <c r="X193" s="294"/>
      <c r="Y193" s="294"/>
      <c r="Z193" s="294"/>
      <c r="AA193" s="294"/>
      <c r="AB193" s="294"/>
      <c r="AC193" s="294"/>
      <c r="AD193" s="294"/>
      <c r="AE193" s="294"/>
      <c r="AF193" s="294"/>
    </row>
    <row r="194" spans="2:32" s="79" customFormat="1">
      <c r="B194" s="265"/>
      <c r="C194" s="265"/>
      <c r="D194" s="265"/>
      <c r="E194" s="278" t="s">
        <v>1217</v>
      </c>
      <c r="F194" s="279" t="s">
        <v>931</v>
      </c>
      <c r="G194" s="268"/>
      <c r="H194" s="278" t="s">
        <v>214</v>
      </c>
      <c r="I194" s="268" t="s">
        <v>932</v>
      </c>
      <c r="J194" s="268" t="s">
        <v>933</v>
      </c>
      <c r="K194" s="268"/>
      <c r="L194" s="268"/>
      <c r="M194" s="279"/>
      <c r="N194" s="294"/>
      <c r="O194" s="294"/>
      <c r="P194" s="294"/>
      <c r="Q194" s="294"/>
      <c r="R194" s="294"/>
      <c r="S194" s="294"/>
      <c r="T194" s="294"/>
      <c r="U194" s="294"/>
      <c r="V194" s="294"/>
      <c r="W194" s="294"/>
      <c r="X194" s="294"/>
      <c r="Y194" s="294"/>
      <c r="Z194" s="294"/>
      <c r="AA194" s="294"/>
      <c r="AB194" s="294"/>
      <c r="AC194" s="294"/>
      <c r="AD194" s="294"/>
      <c r="AE194" s="294"/>
      <c r="AF194" s="294"/>
    </row>
    <row r="195" spans="2:32" s="79" customFormat="1">
      <c r="B195" s="265"/>
      <c r="C195" s="265"/>
      <c r="D195" s="265"/>
      <c r="E195" s="278" t="s">
        <v>1218</v>
      </c>
      <c r="F195" s="279" t="s">
        <v>1027</v>
      </c>
      <c r="G195" s="268"/>
      <c r="H195" s="278" t="s">
        <v>1219</v>
      </c>
      <c r="I195" s="268" t="s">
        <v>1026</v>
      </c>
      <c r="J195" s="268"/>
      <c r="K195" s="268"/>
      <c r="L195" s="268"/>
      <c r="M195" s="279"/>
      <c r="N195" s="294"/>
      <c r="O195" s="294"/>
      <c r="P195" s="294"/>
      <c r="Q195" s="294"/>
      <c r="R195" s="294"/>
      <c r="S195" s="294"/>
      <c r="T195" s="294"/>
      <c r="U195" s="294"/>
      <c r="V195" s="294"/>
      <c r="W195" s="294"/>
      <c r="X195" s="294"/>
      <c r="Y195" s="294"/>
      <c r="Z195" s="294"/>
      <c r="AA195" s="294"/>
      <c r="AB195" s="294"/>
      <c r="AC195" s="294"/>
      <c r="AD195" s="294"/>
      <c r="AE195" s="294"/>
      <c r="AF195" s="294"/>
    </row>
    <row r="196" spans="2:32" s="79" customFormat="1">
      <c r="B196" s="265"/>
      <c r="C196" s="265"/>
      <c r="D196" s="265"/>
      <c r="E196" s="278" t="s">
        <v>1220</v>
      </c>
      <c r="F196" s="279" t="s">
        <v>1221</v>
      </c>
      <c r="G196" s="268"/>
      <c r="H196" s="278" t="s">
        <v>1222</v>
      </c>
      <c r="I196" s="268"/>
      <c r="J196" s="268"/>
      <c r="K196" s="268"/>
      <c r="L196" s="268"/>
      <c r="M196" s="279"/>
      <c r="N196" s="294"/>
      <c r="O196" s="294"/>
      <c r="P196" s="294"/>
      <c r="Q196" s="294"/>
      <c r="R196" s="294"/>
      <c r="S196" s="294"/>
      <c r="T196" s="294"/>
      <c r="U196" s="294"/>
      <c r="V196" s="294"/>
      <c r="W196" s="294"/>
      <c r="X196" s="294"/>
      <c r="Y196" s="294"/>
      <c r="Z196" s="294"/>
      <c r="AA196" s="294"/>
      <c r="AB196" s="294"/>
      <c r="AC196" s="294"/>
      <c r="AD196" s="294"/>
      <c r="AE196" s="294"/>
      <c r="AF196" s="294"/>
    </row>
    <row r="197" spans="2:32">
      <c r="D197" s="93" t="s">
        <v>24</v>
      </c>
      <c r="E197" s="383" t="s">
        <v>1223</v>
      </c>
      <c r="F197" s="384" t="s">
        <v>185</v>
      </c>
      <c r="G197" s="264"/>
      <c r="H197" s="383" t="s">
        <v>523</v>
      </c>
      <c r="I197" s="264"/>
      <c r="J197" s="264"/>
      <c r="K197" s="264"/>
      <c r="L197" s="264"/>
      <c r="M197" s="384"/>
    </row>
    <row r="198" spans="2:32" s="79" customFormat="1">
      <c r="B198" s="265"/>
      <c r="C198" s="265"/>
      <c r="D198" s="265"/>
      <c r="E198" s="278" t="s">
        <v>1224</v>
      </c>
      <c r="F198" s="279" t="s">
        <v>465</v>
      </c>
      <c r="G198" s="268"/>
      <c r="H198" s="278" t="s">
        <v>1015</v>
      </c>
      <c r="I198" s="268" t="s">
        <v>1016</v>
      </c>
      <c r="J198" s="268"/>
      <c r="K198" s="268"/>
      <c r="L198" s="268"/>
      <c r="M198" s="279"/>
      <c r="N198" s="294"/>
      <c r="O198" s="294"/>
      <c r="P198" s="294"/>
      <c r="Q198" s="294"/>
      <c r="R198" s="294"/>
      <c r="S198" s="294"/>
      <c r="T198" s="294"/>
      <c r="U198" s="294"/>
      <c r="V198" s="294"/>
      <c r="W198" s="294"/>
      <c r="X198" s="294"/>
      <c r="Y198" s="294"/>
      <c r="Z198" s="294"/>
      <c r="AA198" s="294"/>
      <c r="AB198" s="294"/>
      <c r="AC198" s="294"/>
      <c r="AD198" s="294"/>
      <c r="AE198" s="294"/>
      <c r="AF198" s="294"/>
    </row>
    <row r="199" spans="2:32">
      <c r="D199" s="93" t="s">
        <v>24</v>
      </c>
      <c r="E199" s="383" t="s">
        <v>1225</v>
      </c>
      <c r="F199" s="384" t="s">
        <v>468</v>
      </c>
      <c r="G199" s="264"/>
      <c r="H199" s="383" t="s">
        <v>1164</v>
      </c>
      <c r="I199" s="264"/>
      <c r="J199" s="264"/>
      <c r="K199" s="264"/>
      <c r="L199" s="264"/>
      <c r="M199" s="384"/>
    </row>
    <row r="200" spans="2:32" s="79" customFormat="1">
      <c r="B200" s="265"/>
      <c r="C200" s="265"/>
      <c r="D200" s="265"/>
      <c r="E200" s="278" t="s">
        <v>1226</v>
      </c>
      <c r="F200" s="279" t="s">
        <v>1227</v>
      </c>
      <c r="G200" s="268"/>
      <c r="H200" s="278" t="s">
        <v>1228</v>
      </c>
      <c r="I200" s="268"/>
      <c r="J200" s="268"/>
      <c r="K200" s="268"/>
      <c r="L200" s="268"/>
      <c r="M200" s="279"/>
      <c r="N200" s="294"/>
      <c r="O200" s="294"/>
      <c r="P200" s="294"/>
      <c r="Q200" s="294"/>
      <c r="R200" s="294"/>
      <c r="S200" s="294"/>
      <c r="T200" s="294"/>
      <c r="U200" s="294"/>
      <c r="V200" s="294"/>
      <c r="W200" s="294"/>
      <c r="X200" s="294"/>
      <c r="Y200" s="294"/>
      <c r="Z200" s="294"/>
      <c r="AA200" s="294"/>
      <c r="AB200" s="294"/>
      <c r="AC200" s="294"/>
      <c r="AD200" s="294"/>
      <c r="AE200" s="294"/>
      <c r="AF200" s="294"/>
    </row>
    <row r="201" spans="2:32" s="79" customFormat="1">
      <c r="B201" s="265"/>
      <c r="C201" s="265"/>
      <c r="D201" s="265"/>
      <c r="E201" s="278" t="s">
        <v>1229</v>
      </c>
      <c r="F201" s="279"/>
      <c r="G201" s="268"/>
      <c r="H201" s="278" t="s">
        <v>1230</v>
      </c>
      <c r="I201" s="268" t="s">
        <v>503</v>
      </c>
      <c r="J201" s="268"/>
      <c r="K201" s="268"/>
      <c r="L201" s="268"/>
      <c r="M201" s="279"/>
      <c r="N201" s="294"/>
      <c r="O201" s="294"/>
      <c r="P201" s="294"/>
      <c r="Q201" s="294"/>
      <c r="R201" s="294"/>
      <c r="S201" s="294"/>
      <c r="T201" s="294"/>
      <c r="U201" s="294"/>
      <c r="V201" s="294"/>
      <c r="W201" s="294"/>
      <c r="X201" s="294"/>
      <c r="Y201" s="294"/>
      <c r="Z201" s="294"/>
      <c r="AA201" s="294"/>
      <c r="AB201" s="294"/>
      <c r="AC201" s="294"/>
      <c r="AD201" s="294"/>
      <c r="AE201" s="294"/>
      <c r="AF201" s="294"/>
    </row>
    <row r="202" spans="2:32" s="79" customFormat="1">
      <c r="B202" s="265"/>
      <c r="C202" s="265"/>
      <c r="D202" s="265"/>
      <c r="E202" s="278" t="s">
        <v>1230</v>
      </c>
      <c r="F202" s="279"/>
      <c r="G202" s="268"/>
      <c r="H202" s="278" t="s">
        <v>1229</v>
      </c>
      <c r="I202" s="268" t="s">
        <v>503</v>
      </c>
      <c r="J202" s="268"/>
      <c r="K202" s="268"/>
      <c r="L202" s="268"/>
      <c r="M202" s="279"/>
      <c r="N202" s="294"/>
      <c r="O202" s="294"/>
      <c r="P202" s="294"/>
      <c r="Q202" s="294"/>
      <c r="R202" s="294"/>
      <c r="S202" s="294"/>
      <c r="T202" s="294"/>
      <c r="U202" s="294"/>
      <c r="V202" s="294"/>
      <c r="W202" s="294"/>
      <c r="X202" s="294"/>
      <c r="Y202" s="294"/>
      <c r="Z202" s="294"/>
      <c r="AA202" s="294"/>
      <c r="AB202" s="294"/>
      <c r="AC202" s="294"/>
      <c r="AD202" s="294"/>
      <c r="AE202" s="294"/>
      <c r="AF202" s="294"/>
    </row>
    <row r="203" spans="2:32" s="79" customFormat="1">
      <c r="B203" s="265"/>
      <c r="C203" s="265"/>
      <c r="D203" s="265"/>
      <c r="E203" s="278" t="s">
        <v>1231</v>
      </c>
      <c r="F203" s="279"/>
      <c r="G203" s="268"/>
      <c r="H203" s="278" t="s">
        <v>1232</v>
      </c>
      <c r="I203" s="268"/>
      <c r="J203" s="268"/>
      <c r="K203" s="268"/>
      <c r="L203" s="268"/>
      <c r="M203" s="279"/>
      <c r="N203" s="294"/>
      <c r="O203" s="294"/>
      <c r="P203" s="294"/>
      <c r="Q203" s="294"/>
      <c r="R203" s="294"/>
      <c r="S203" s="294"/>
      <c r="T203" s="294"/>
      <c r="U203" s="294"/>
      <c r="V203" s="294"/>
      <c r="W203" s="294"/>
      <c r="X203" s="294"/>
      <c r="Y203" s="294"/>
      <c r="Z203" s="294"/>
      <c r="AA203" s="294"/>
      <c r="AB203" s="294"/>
      <c r="AC203" s="294"/>
      <c r="AD203" s="294"/>
      <c r="AE203" s="294"/>
      <c r="AF203" s="294"/>
    </row>
    <row r="204" spans="2:32">
      <c r="D204" s="93" t="s">
        <v>24</v>
      </c>
      <c r="E204" s="383" t="s">
        <v>458</v>
      </c>
      <c r="F204" s="384"/>
      <c r="G204" s="264"/>
      <c r="H204" s="383" t="s">
        <v>479</v>
      </c>
      <c r="I204" s="264" t="s">
        <v>1233</v>
      </c>
      <c r="J204" s="264"/>
      <c r="K204" s="264"/>
      <c r="L204" s="264"/>
      <c r="M204" s="384"/>
    </row>
    <row r="205" spans="2:32">
      <c r="D205" s="93" t="s">
        <v>24</v>
      </c>
      <c r="E205" s="383" t="s">
        <v>459</v>
      </c>
      <c r="F205" s="384"/>
      <c r="G205" s="264"/>
      <c r="H205" s="383" t="s">
        <v>1078</v>
      </c>
      <c r="I205" s="264" t="s">
        <v>1079</v>
      </c>
      <c r="J205" s="264" t="s">
        <v>1080</v>
      </c>
      <c r="K205" s="264"/>
      <c r="L205" s="264"/>
      <c r="M205" s="384"/>
    </row>
    <row r="206" spans="2:32" s="79" customFormat="1">
      <c r="B206" s="265"/>
      <c r="C206" s="265"/>
      <c r="D206" s="265"/>
      <c r="E206" s="278" t="s">
        <v>629</v>
      </c>
      <c r="F206" s="279"/>
      <c r="G206" s="268"/>
      <c r="H206" s="278" t="s">
        <v>1234</v>
      </c>
      <c r="I206" s="268"/>
      <c r="J206" s="268"/>
      <c r="K206" s="268"/>
      <c r="L206" s="268"/>
      <c r="M206" s="279"/>
      <c r="N206" s="294"/>
      <c r="O206" s="294"/>
      <c r="P206" s="294"/>
      <c r="Q206" s="294"/>
      <c r="R206" s="294"/>
      <c r="S206" s="294"/>
      <c r="T206" s="294"/>
      <c r="U206" s="294"/>
      <c r="V206" s="294"/>
      <c r="W206" s="294"/>
      <c r="X206" s="294"/>
      <c r="Y206" s="294"/>
      <c r="Z206" s="294"/>
      <c r="AA206" s="294"/>
      <c r="AB206" s="294"/>
      <c r="AC206" s="294"/>
      <c r="AD206" s="294"/>
      <c r="AE206" s="294"/>
      <c r="AF206" s="294"/>
    </row>
    <row r="207" spans="2:32" s="79" customFormat="1">
      <c r="B207" s="265"/>
      <c r="C207" s="265"/>
      <c r="D207" s="265"/>
      <c r="E207" s="278" t="s">
        <v>461</v>
      </c>
      <c r="F207" s="279"/>
      <c r="G207" s="268"/>
      <c r="H207" s="278" t="s">
        <v>1235</v>
      </c>
      <c r="I207" s="268"/>
      <c r="J207" s="268"/>
      <c r="K207" s="268"/>
      <c r="L207" s="268"/>
      <c r="M207" s="279"/>
      <c r="N207" s="294"/>
      <c r="O207" s="294"/>
      <c r="P207" s="294"/>
      <c r="Q207" s="294"/>
      <c r="R207" s="294"/>
      <c r="S207" s="294"/>
      <c r="T207" s="294"/>
      <c r="U207" s="294"/>
      <c r="V207" s="294"/>
      <c r="W207" s="294"/>
      <c r="X207" s="294"/>
      <c r="Y207" s="294"/>
      <c r="Z207" s="294"/>
      <c r="AA207" s="294"/>
      <c r="AB207" s="294"/>
      <c r="AC207" s="294"/>
      <c r="AD207" s="294"/>
      <c r="AE207" s="294"/>
      <c r="AF207" s="294"/>
    </row>
    <row r="208" spans="2:32" s="79" customFormat="1">
      <c r="B208" s="265"/>
      <c r="C208" s="265"/>
      <c r="D208" s="265"/>
      <c r="E208" s="278" t="s">
        <v>1236</v>
      </c>
      <c r="F208" s="279"/>
      <c r="G208" s="268"/>
      <c r="H208" s="278" t="s">
        <v>1237</v>
      </c>
      <c r="I208" s="268"/>
      <c r="J208" s="268"/>
      <c r="K208" s="268"/>
      <c r="L208" s="268"/>
      <c r="M208" s="279"/>
      <c r="N208" s="294"/>
      <c r="O208" s="294"/>
      <c r="P208" s="294"/>
      <c r="Q208" s="294"/>
      <c r="R208" s="294"/>
      <c r="S208" s="294"/>
      <c r="T208" s="294"/>
      <c r="U208" s="294"/>
      <c r="V208" s="294"/>
      <c r="W208" s="294"/>
      <c r="X208" s="294"/>
      <c r="Y208" s="294"/>
      <c r="Z208" s="294"/>
      <c r="AA208" s="294"/>
      <c r="AB208" s="294"/>
      <c r="AC208" s="294"/>
      <c r="AD208" s="294"/>
      <c r="AE208" s="294"/>
      <c r="AF208" s="294"/>
    </row>
    <row r="209" spans="2:32">
      <c r="D209" s="93" t="s">
        <v>24</v>
      </c>
      <c r="E209" s="383" t="s">
        <v>1238</v>
      </c>
      <c r="F209" s="384" t="s">
        <v>463</v>
      </c>
      <c r="G209" s="264"/>
      <c r="H209" s="383" t="s">
        <v>1239</v>
      </c>
      <c r="I209" s="264"/>
      <c r="J209" s="264"/>
      <c r="K209" s="264"/>
      <c r="L209" s="264"/>
      <c r="M209" s="384"/>
    </row>
    <row r="210" spans="2:32" s="79" customFormat="1">
      <c r="B210" s="265"/>
      <c r="C210" s="265"/>
      <c r="D210" s="265"/>
      <c r="E210" s="278" t="s">
        <v>1240</v>
      </c>
      <c r="F210" s="279" t="s">
        <v>1241</v>
      </c>
      <c r="G210" s="268"/>
      <c r="H210" s="278" t="s">
        <v>1242</v>
      </c>
      <c r="I210" s="268"/>
      <c r="J210" s="268"/>
      <c r="K210" s="268"/>
      <c r="L210" s="268"/>
      <c r="M210" s="279"/>
      <c r="N210" s="294"/>
      <c r="O210" s="294"/>
      <c r="P210" s="294"/>
      <c r="Q210" s="294"/>
      <c r="R210" s="294"/>
      <c r="S210" s="294"/>
      <c r="T210" s="294"/>
      <c r="U210" s="294"/>
      <c r="V210" s="294"/>
      <c r="W210" s="294"/>
      <c r="X210" s="294"/>
      <c r="Y210" s="294"/>
      <c r="Z210" s="294"/>
      <c r="AA210" s="294"/>
      <c r="AB210" s="294"/>
      <c r="AC210" s="294"/>
      <c r="AD210" s="294"/>
      <c r="AE210" s="294"/>
      <c r="AF210" s="294"/>
    </row>
    <row r="211" spans="2:32" s="79" customFormat="1">
      <c r="B211" s="265"/>
      <c r="C211" s="265"/>
      <c r="D211" s="265"/>
      <c r="E211" s="278" t="s">
        <v>1243</v>
      </c>
      <c r="F211" s="279" t="s">
        <v>1244</v>
      </c>
      <c r="G211" s="268"/>
      <c r="H211" s="278" t="s">
        <v>1245</v>
      </c>
      <c r="I211" s="268"/>
      <c r="J211" s="268"/>
      <c r="K211" s="268"/>
      <c r="L211" s="268"/>
      <c r="M211" s="279"/>
      <c r="N211" s="294"/>
      <c r="O211" s="294"/>
      <c r="P211" s="294"/>
      <c r="Q211" s="294"/>
      <c r="R211" s="294"/>
      <c r="S211" s="294"/>
      <c r="T211" s="294"/>
      <c r="U211" s="294"/>
      <c r="V211" s="294"/>
      <c r="W211" s="294"/>
      <c r="X211" s="294"/>
      <c r="Y211" s="294"/>
      <c r="Z211" s="294"/>
      <c r="AA211" s="294"/>
      <c r="AB211" s="294"/>
      <c r="AC211" s="294"/>
      <c r="AD211" s="294"/>
      <c r="AE211" s="294"/>
      <c r="AF211" s="294"/>
    </row>
    <row r="212" spans="2:32" s="79" customFormat="1">
      <c r="B212" s="265"/>
      <c r="C212" s="265"/>
      <c r="D212" s="265"/>
      <c r="E212" s="278" t="s">
        <v>1246</v>
      </c>
      <c r="F212" s="279"/>
      <c r="G212" s="268"/>
      <c r="H212" s="278" t="s">
        <v>1247</v>
      </c>
      <c r="I212" s="268"/>
      <c r="J212" s="268"/>
      <c r="K212" s="268"/>
      <c r="L212" s="268"/>
      <c r="M212" s="279"/>
      <c r="N212" s="294"/>
      <c r="O212" s="294"/>
      <c r="P212" s="294"/>
      <c r="Q212" s="294"/>
      <c r="R212" s="294"/>
      <c r="S212" s="294"/>
      <c r="T212" s="294"/>
      <c r="U212" s="294"/>
      <c r="V212" s="294"/>
      <c r="W212" s="294"/>
      <c r="X212" s="294"/>
      <c r="Y212" s="294"/>
      <c r="Z212" s="294"/>
      <c r="AA212" s="294"/>
      <c r="AB212" s="294"/>
      <c r="AC212" s="294"/>
      <c r="AD212" s="294"/>
      <c r="AE212" s="294"/>
      <c r="AF212" s="294"/>
    </row>
    <row r="213" spans="2:32">
      <c r="D213" s="93" t="s">
        <v>24</v>
      </c>
      <c r="E213" s="383" t="s">
        <v>1248</v>
      </c>
      <c r="F213" s="384" t="s">
        <v>474</v>
      </c>
      <c r="G213" s="264"/>
      <c r="H213" s="383" t="s">
        <v>614</v>
      </c>
      <c r="I213" s="264" t="s">
        <v>1249</v>
      </c>
      <c r="J213" s="264"/>
      <c r="K213" s="264"/>
      <c r="L213" s="264"/>
      <c r="M213" s="384"/>
    </row>
    <row r="214" spans="2:32" s="79" customFormat="1">
      <c r="B214" s="265"/>
      <c r="C214" s="265"/>
      <c r="D214" s="265"/>
      <c r="E214" s="278" t="s">
        <v>1250</v>
      </c>
      <c r="F214" s="279" t="s">
        <v>1251</v>
      </c>
      <c r="G214" s="268"/>
      <c r="H214" s="278" t="s">
        <v>1252</v>
      </c>
      <c r="I214" s="268"/>
      <c r="J214" s="268"/>
      <c r="K214" s="268"/>
      <c r="L214" s="268"/>
      <c r="M214" s="279"/>
      <c r="N214" s="294"/>
      <c r="O214" s="294"/>
      <c r="P214" s="294"/>
      <c r="Q214" s="294"/>
      <c r="R214" s="294"/>
      <c r="S214" s="294"/>
      <c r="T214" s="294"/>
      <c r="U214" s="294"/>
      <c r="V214" s="294"/>
      <c r="W214" s="294"/>
      <c r="X214" s="294"/>
      <c r="Y214" s="294"/>
      <c r="Z214" s="294"/>
      <c r="AA214" s="294"/>
      <c r="AB214" s="294"/>
      <c r="AC214" s="294"/>
      <c r="AD214" s="294"/>
      <c r="AE214" s="294"/>
      <c r="AF214" s="294"/>
    </row>
    <row r="215" spans="2:32" s="79" customFormat="1">
      <c r="B215" s="265"/>
      <c r="C215" s="265"/>
      <c r="D215" s="265"/>
      <c r="E215" s="278" t="s">
        <v>1253</v>
      </c>
      <c r="F215" s="279" t="s">
        <v>990</v>
      </c>
      <c r="G215" s="268"/>
      <c r="H215" s="278" t="s">
        <v>988</v>
      </c>
      <c r="I215" s="268" t="s">
        <v>989</v>
      </c>
      <c r="J215" s="268"/>
      <c r="K215" s="268"/>
      <c r="L215" s="268"/>
      <c r="M215" s="279"/>
      <c r="N215" s="294"/>
      <c r="O215" s="294"/>
      <c r="P215" s="294"/>
      <c r="Q215" s="294"/>
      <c r="R215" s="294"/>
      <c r="S215" s="294"/>
      <c r="T215" s="294"/>
      <c r="U215" s="294"/>
      <c r="V215" s="294"/>
      <c r="W215" s="294"/>
      <c r="X215" s="294"/>
      <c r="Y215" s="294"/>
      <c r="Z215" s="294"/>
      <c r="AA215" s="294"/>
      <c r="AB215" s="294"/>
      <c r="AC215" s="294"/>
      <c r="AD215" s="294"/>
      <c r="AE215" s="294"/>
      <c r="AF215" s="294"/>
    </row>
    <row r="216" spans="2:32" s="79" customFormat="1">
      <c r="B216" s="265"/>
      <c r="C216" s="265"/>
      <c r="D216" s="265"/>
      <c r="E216" s="280" t="s">
        <v>1254</v>
      </c>
      <c r="F216" s="281" t="s">
        <v>1255</v>
      </c>
      <c r="G216" s="268"/>
      <c r="H216" s="280" t="s">
        <v>380</v>
      </c>
      <c r="I216" s="297"/>
      <c r="J216" s="297"/>
      <c r="K216" s="297"/>
      <c r="L216" s="297"/>
      <c r="M216" s="281"/>
      <c r="N216" s="294"/>
      <c r="O216" s="294"/>
      <c r="P216" s="294"/>
      <c r="Q216" s="294"/>
      <c r="R216" s="294"/>
      <c r="S216" s="294"/>
      <c r="T216" s="294"/>
      <c r="U216" s="294"/>
      <c r="V216" s="294"/>
      <c r="W216" s="294"/>
      <c r="X216" s="294"/>
      <c r="Y216" s="294"/>
      <c r="Z216" s="294"/>
      <c r="AA216" s="294"/>
      <c r="AB216" s="294"/>
      <c r="AC216" s="294"/>
      <c r="AD216" s="294"/>
      <c r="AE216" s="294"/>
      <c r="AF216" s="294"/>
    </row>
    <row r="217" spans="2:32" ht="8" customHeight="1">
      <c r="B217" s="262" t="s">
        <v>12</v>
      </c>
      <c r="C217" s="262" t="s">
        <v>12</v>
      </c>
      <c r="D217" s="262" t="s">
        <v>12</v>
      </c>
      <c r="E217" s="264"/>
      <c r="F217" s="264"/>
      <c r="G217" s="264"/>
      <c r="H217" s="264"/>
      <c r="I217" s="264"/>
      <c r="J217" s="264"/>
      <c r="K217" s="264"/>
      <c r="L217" s="264"/>
      <c r="M217" s="264"/>
    </row>
    <row r="218" spans="2:32" ht="16">
      <c r="B218" s="262" t="s">
        <v>12</v>
      </c>
      <c r="C218" s="262" t="s">
        <v>12</v>
      </c>
      <c r="D218" s="262" t="s">
        <v>12</v>
      </c>
      <c r="E218" s="282" t="s">
        <v>475</v>
      </c>
      <c r="F218" s="282"/>
      <c r="G218" s="282"/>
      <c r="H218" s="264"/>
      <c r="I218" s="264"/>
      <c r="J218" s="264"/>
      <c r="K218" s="264"/>
      <c r="L218" s="264"/>
      <c r="M218" s="264"/>
    </row>
    <row r="219" spans="2:32" s="79" customFormat="1">
      <c r="B219" s="265"/>
      <c r="C219" s="265"/>
      <c r="D219" s="265"/>
      <c r="E219" s="283" t="s">
        <v>920</v>
      </c>
      <c r="F219" s="284"/>
      <c r="G219" s="268"/>
      <c r="H219" s="283" t="s">
        <v>919</v>
      </c>
      <c r="I219" s="298"/>
      <c r="J219" s="298"/>
      <c r="K219" s="298"/>
      <c r="L219" s="298"/>
      <c r="M219" s="284"/>
      <c r="N219" s="294"/>
      <c r="O219" s="294"/>
      <c r="P219" s="294"/>
      <c r="Q219" s="294"/>
      <c r="R219" s="294"/>
      <c r="S219" s="294"/>
      <c r="T219" s="294"/>
      <c r="U219" s="294"/>
      <c r="V219" s="294"/>
      <c r="W219" s="294"/>
      <c r="X219" s="294"/>
      <c r="Y219" s="294"/>
      <c r="Z219" s="294"/>
      <c r="AA219" s="294"/>
      <c r="AB219" s="294"/>
      <c r="AC219" s="294"/>
      <c r="AD219" s="294"/>
      <c r="AE219" s="294"/>
      <c r="AF219" s="294"/>
    </row>
    <row r="220" spans="2:32" s="79" customFormat="1">
      <c r="B220" s="265"/>
      <c r="C220" s="265"/>
      <c r="D220" s="265"/>
      <c r="E220" s="287" t="s">
        <v>1256</v>
      </c>
      <c r="F220" s="288" t="s">
        <v>1257</v>
      </c>
      <c r="G220" s="268"/>
      <c r="H220" s="287" t="s">
        <v>1258</v>
      </c>
      <c r="I220" s="268"/>
      <c r="J220" s="268"/>
      <c r="K220" s="268"/>
      <c r="L220" s="268"/>
      <c r="M220" s="288"/>
      <c r="N220" s="294"/>
      <c r="O220" s="294"/>
      <c r="P220" s="294"/>
      <c r="Q220" s="294"/>
      <c r="R220" s="294"/>
      <c r="S220" s="294"/>
      <c r="T220" s="294"/>
      <c r="U220" s="294"/>
      <c r="V220" s="294"/>
      <c r="W220" s="294"/>
      <c r="X220" s="294"/>
      <c r="Y220" s="294"/>
      <c r="Z220" s="294"/>
      <c r="AA220" s="294"/>
      <c r="AB220" s="294"/>
      <c r="AC220" s="294"/>
      <c r="AD220" s="294"/>
      <c r="AE220" s="294"/>
      <c r="AF220" s="294"/>
    </row>
    <row r="221" spans="2:32" s="79" customFormat="1">
      <c r="B221" s="265"/>
      <c r="C221" s="265"/>
      <c r="D221" s="265"/>
      <c r="E221" s="287" t="s">
        <v>1259</v>
      </c>
      <c r="F221" s="288" t="s">
        <v>1070</v>
      </c>
      <c r="G221" s="268"/>
      <c r="H221" s="287" t="s">
        <v>1069</v>
      </c>
      <c r="I221" s="268" t="s">
        <v>1071</v>
      </c>
      <c r="J221" s="268" t="s">
        <v>1072</v>
      </c>
      <c r="K221" s="268" t="s">
        <v>1073</v>
      </c>
      <c r="L221" s="268" t="s">
        <v>1074</v>
      </c>
      <c r="M221" s="288" t="s">
        <v>523</v>
      </c>
      <c r="N221" s="294"/>
      <c r="O221" s="294"/>
      <c r="P221" s="294"/>
      <c r="Q221" s="294"/>
      <c r="R221" s="294"/>
      <c r="S221" s="294"/>
      <c r="T221" s="294"/>
      <c r="U221" s="294"/>
      <c r="V221" s="294"/>
      <c r="W221" s="294"/>
      <c r="X221" s="294"/>
      <c r="Y221" s="294"/>
      <c r="Z221" s="294"/>
      <c r="AA221" s="294"/>
      <c r="AB221" s="294"/>
      <c r="AC221" s="294"/>
      <c r="AD221" s="294"/>
      <c r="AE221" s="294"/>
      <c r="AF221" s="294"/>
    </row>
    <row r="222" spans="2:32">
      <c r="D222" s="93" t="s">
        <v>24</v>
      </c>
      <c r="E222" s="285" t="s">
        <v>476</v>
      </c>
      <c r="F222" s="286"/>
      <c r="G222" s="264"/>
      <c r="H222" s="285" t="s">
        <v>281</v>
      </c>
      <c r="I222" s="264" t="s">
        <v>1011</v>
      </c>
      <c r="J222" s="264"/>
      <c r="K222" s="264"/>
      <c r="L222" s="264"/>
      <c r="M222" s="286"/>
    </row>
    <row r="223" spans="2:32" s="79" customFormat="1">
      <c r="B223" s="265"/>
      <c r="C223" s="265"/>
      <c r="D223" s="265"/>
      <c r="E223" s="287" t="s">
        <v>1003</v>
      </c>
      <c r="F223" s="288"/>
      <c r="G223" s="268"/>
      <c r="H223" s="287" t="s">
        <v>1002</v>
      </c>
      <c r="I223" s="268"/>
      <c r="J223" s="268"/>
      <c r="K223" s="268"/>
      <c r="L223" s="268"/>
      <c r="M223" s="288"/>
      <c r="N223" s="294"/>
      <c r="O223" s="294"/>
      <c r="P223" s="294"/>
      <c r="Q223" s="294"/>
      <c r="R223" s="294"/>
      <c r="S223" s="294"/>
      <c r="T223" s="294"/>
      <c r="U223" s="294"/>
      <c r="V223" s="294"/>
      <c r="W223" s="294"/>
      <c r="X223" s="294"/>
      <c r="Y223" s="294"/>
      <c r="Z223" s="294"/>
      <c r="AA223" s="294"/>
      <c r="AB223" s="294"/>
      <c r="AC223" s="294"/>
      <c r="AD223" s="294"/>
      <c r="AE223" s="294"/>
      <c r="AF223" s="294"/>
    </row>
    <row r="224" spans="2:32" s="79" customFormat="1">
      <c r="B224" s="265"/>
      <c r="C224" s="265"/>
      <c r="D224" s="265"/>
      <c r="E224" s="287" t="s">
        <v>479</v>
      </c>
      <c r="F224" s="288"/>
      <c r="G224" s="268"/>
      <c r="H224" s="287" t="s">
        <v>458</v>
      </c>
      <c r="I224" s="268" t="s">
        <v>1233</v>
      </c>
      <c r="J224" s="268"/>
      <c r="K224" s="268"/>
      <c r="L224" s="268"/>
      <c r="M224" s="288"/>
      <c r="N224" s="294"/>
      <c r="O224" s="294"/>
      <c r="P224" s="294"/>
      <c r="Q224" s="294"/>
      <c r="R224" s="294"/>
      <c r="S224" s="294"/>
      <c r="T224" s="294"/>
      <c r="U224" s="294"/>
      <c r="V224" s="294"/>
      <c r="W224" s="294"/>
      <c r="X224" s="294"/>
      <c r="Y224" s="294"/>
      <c r="Z224" s="294"/>
      <c r="AA224" s="294"/>
      <c r="AB224" s="294"/>
      <c r="AC224" s="294"/>
      <c r="AD224" s="294"/>
      <c r="AE224" s="294"/>
      <c r="AF224" s="294"/>
    </row>
    <row r="225" spans="2:32" s="79" customFormat="1">
      <c r="B225" s="265"/>
      <c r="C225" s="265"/>
      <c r="D225" s="265"/>
      <c r="E225" s="287" t="s">
        <v>1140</v>
      </c>
      <c r="F225" s="288"/>
      <c r="G225" s="268"/>
      <c r="H225" s="287" t="s">
        <v>1139</v>
      </c>
      <c r="I225" s="268"/>
      <c r="J225" s="268"/>
      <c r="K225" s="268"/>
      <c r="L225" s="268"/>
      <c r="M225" s="288"/>
      <c r="N225" s="294"/>
      <c r="O225" s="294"/>
      <c r="P225" s="294"/>
      <c r="Q225" s="294"/>
      <c r="R225" s="294"/>
      <c r="S225" s="294"/>
      <c r="T225" s="294"/>
      <c r="U225" s="294"/>
      <c r="V225" s="294"/>
      <c r="W225" s="294"/>
      <c r="X225" s="294"/>
      <c r="Y225" s="294"/>
      <c r="Z225" s="294"/>
      <c r="AA225" s="294"/>
      <c r="AB225" s="294"/>
      <c r="AC225" s="294"/>
      <c r="AD225" s="294"/>
      <c r="AE225" s="294"/>
      <c r="AF225" s="294"/>
    </row>
    <row r="226" spans="2:32" s="79" customFormat="1">
      <c r="B226" s="265"/>
      <c r="C226" s="265"/>
      <c r="D226" s="265"/>
      <c r="E226" s="287" t="s">
        <v>1260</v>
      </c>
      <c r="F226" s="288"/>
      <c r="G226" s="268"/>
      <c r="H226" s="287" t="s">
        <v>1261</v>
      </c>
      <c r="I226" s="268"/>
      <c r="J226" s="268"/>
      <c r="K226" s="268"/>
      <c r="L226" s="268"/>
      <c r="M226" s="288"/>
      <c r="N226" s="294"/>
      <c r="O226" s="294"/>
      <c r="P226" s="294"/>
      <c r="Q226" s="294"/>
      <c r="R226" s="294"/>
      <c r="S226" s="294"/>
      <c r="T226" s="294"/>
      <c r="U226" s="294"/>
      <c r="V226" s="294"/>
      <c r="W226" s="294"/>
      <c r="X226" s="294"/>
      <c r="Y226" s="294"/>
      <c r="Z226" s="294"/>
      <c r="AA226" s="294"/>
      <c r="AB226" s="294"/>
      <c r="AC226" s="294"/>
      <c r="AD226" s="294"/>
      <c r="AE226" s="294"/>
      <c r="AF226" s="294"/>
    </row>
    <row r="227" spans="2:32" s="79" customFormat="1">
      <c r="B227" s="265"/>
      <c r="C227" s="265"/>
      <c r="D227" s="265"/>
      <c r="E227" s="287" t="s">
        <v>1080</v>
      </c>
      <c r="F227" s="288"/>
      <c r="G227" s="268"/>
      <c r="H227" s="287" t="s">
        <v>1078</v>
      </c>
      <c r="I227" s="268" t="s">
        <v>1079</v>
      </c>
      <c r="J227" s="268" t="s">
        <v>459</v>
      </c>
      <c r="K227" s="268"/>
      <c r="L227" s="268"/>
      <c r="M227" s="288"/>
      <c r="N227" s="294"/>
      <c r="O227" s="294"/>
      <c r="P227" s="294"/>
      <c r="Q227" s="294"/>
      <c r="R227" s="294"/>
      <c r="S227" s="294"/>
      <c r="T227" s="294"/>
      <c r="U227" s="294"/>
      <c r="V227" s="294"/>
      <c r="W227" s="294"/>
      <c r="X227" s="294"/>
      <c r="Y227" s="294"/>
      <c r="Z227" s="294"/>
      <c r="AA227" s="294"/>
      <c r="AB227" s="294"/>
      <c r="AC227" s="294"/>
      <c r="AD227" s="294"/>
      <c r="AE227" s="294"/>
      <c r="AF227" s="294"/>
    </row>
    <row r="228" spans="2:32" s="79" customFormat="1">
      <c r="B228" s="265"/>
      <c r="C228" s="265"/>
      <c r="D228" s="265"/>
      <c r="E228" s="287" t="s">
        <v>1262</v>
      </c>
      <c r="F228" s="288"/>
      <c r="G228" s="268"/>
      <c r="H228" s="287" t="s">
        <v>1263</v>
      </c>
      <c r="I228" s="268" t="s">
        <v>1264</v>
      </c>
      <c r="J228" s="268"/>
      <c r="K228" s="268"/>
      <c r="L228" s="268"/>
      <c r="M228" s="288"/>
      <c r="N228" s="294"/>
      <c r="O228" s="294"/>
      <c r="P228" s="294"/>
      <c r="Q228" s="294"/>
      <c r="R228" s="294"/>
      <c r="S228" s="294"/>
      <c r="T228" s="294"/>
      <c r="U228" s="294"/>
      <c r="V228" s="294"/>
      <c r="W228" s="294"/>
      <c r="X228" s="294"/>
      <c r="Y228" s="294"/>
      <c r="Z228" s="294"/>
      <c r="AA228" s="294"/>
      <c r="AB228" s="294"/>
      <c r="AC228" s="294"/>
      <c r="AD228" s="294"/>
      <c r="AE228" s="294"/>
      <c r="AF228" s="294"/>
    </row>
    <row r="229" spans="2:32" s="79" customFormat="1">
      <c r="B229" s="265"/>
      <c r="C229" s="265"/>
      <c r="D229" s="265"/>
      <c r="E229" s="287" t="s">
        <v>1265</v>
      </c>
      <c r="F229" s="288"/>
      <c r="G229" s="268"/>
      <c r="H229" s="287" t="s">
        <v>1131</v>
      </c>
      <c r="I229" s="268" t="s">
        <v>1266</v>
      </c>
      <c r="J229" s="268"/>
      <c r="K229" s="268"/>
      <c r="L229" s="268"/>
      <c r="M229" s="288"/>
      <c r="N229" s="294"/>
      <c r="O229" s="294"/>
      <c r="P229" s="294"/>
      <c r="Q229" s="294"/>
      <c r="R229" s="294"/>
      <c r="S229" s="294"/>
      <c r="T229" s="294"/>
      <c r="U229" s="294"/>
      <c r="V229" s="294"/>
      <c r="W229" s="294"/>
      <c r="X229" s="294"/>
      <c r="Y229" s="294"/>
      <c r="Z229" s="294"/>
      <c r="AA229" s="294"/>
      <c r="AB229" s="294"/>
      <c r="AC229" s="294"/>
      <c r="AD229" s="294"/>
      <c r="AE229" s="294"/>
      <c r="AF229" s="294"/>
    </row>
    <row r="230" spans="2:32" s="79" customFormat="1">
      <c r="B230" s="265"/>
      <c r="C230" s="265"/>
      <c r="D230" s="265"/>
      <c r="E230" s="287" t="s">
        <v>1160</v>
      </c>
      <c r="F230" s="288"/>
      <c r="G230" s="268"/>
      <c r="H230" s="287" t="s">
        <v>392</v>
      </c>
      <c r="I230" s="268"/>
      <c r="J230" s="268"/>
      <c r="K230" s="268"/>
      <c r="L230" s="268"/>
      <c r="M230" s="288"/>
      <c r="N230" s="294"/>
      <c r="O230" s="294"/>
      <c r="P230" s="294"/>
      <c r="Q230" s="294"/>
      <c r="R230" s="294"/>
      <c r="S230" s="294"/>
      <c r="T230" s="294"/>
      <c r="U230" s="294"/>
      <c r="V230" s="294"/>
      <c r="W230" s="294"/>
      <c r="X230" s="294"/>
      <c r="Y230" s="294"/>
      <c r="Z230" s="294"/>
      <c r="AA230" s="294"/>
      <c r="AB230" s="294"/>
      <c r="AC230" s="294"/>
      <c r="AD230" s="294"/>
      <c r="AE230" s="294"/>
      <c r="AF230" s="294"/>
    </row>
    <row r="231" spans="2:32" s="79" customFormat="1">
      <c r="B231" s="265"/>
      <c r="C231" s="265"/>
      <c r="D231" s="265"/>
      <c r="E231" s="287" t="s">
        <v>1137</v>
      </c>
      <c r="F231" s="288"/>
      <c r="G231" s="268"/>
      <c r="H231" s="287" t="s">
        <v>368</v>
      </c>
      <c r="I231" s="268"/>
      <c r="J231" s="268"/>
      <c r="K231" s="268"/>
      <c r="L231" s="268"/>
      <c r="M231" s="288"/>
      <c r="N231" s="294"/>
      <c r="O231" s="294"/>
      <c r="P231" s="294"/>
      <c r="Q231" s="294"/>
      <c r="R231" s="294"/>
      <c r="S231" s="294"/>
      <c r="T231" s="294"/>
      <c r="U231" s="294"/>
      <c r="V231" s="294"/>
      <c r="W231" s="294"/>
      <c r="X231" s="294"/>
      <c r="Y231" s="294"/>
      <c r="Z231" s="294"/>
      <c r="AA231" s="294"/>
      <c r="AB231" s="294"/>
      <c r="AC231" s="294"/>
      <c r="AD231" s="294"/>
      <c r="AE231" s="294"/>
      <c r="AF231" s="294"/>
    </row>
    <row r="232" spans="2:32" s="79" customFormat="1">
      <c r="B232" s="265"/>
      <c r="C232" s="265"/>
      <c r="D232" s="265"/>
      <c r="E232" s="287" t="s">
        <v>1267</v>
      </c>
      <c r="F232" s="288" t="s">
        <v>1268</v>
      </c>
      <c r="G232" s="268"/>
      <c r="H232" s="287" t="s">
        <v>1269</v>
      </c>
      <c r="I232" s="268"/>
      <c r="J232" s="268"/>
      <c r="K232" s="268"/>
      <c r="L232" s="268"/>
      <c r="M232" s="288"/>
      <c r="N232" s="294"/>
      <c r="O232" s="294"/>
      <c r="P232" s="294"/>
      <c r="Q232" s="294"/>
      <c r="R232" s="294"/>
      <c r="S232" s="294"/>
      <c r="T232" s="294"/>
      <c r="U232" s="294"/>
      <c r="V232" s="294"/>
      <c r="W232" s="294"/>
      <c r="X232" s="294"/>
      <c r="Y232" s="294"/>
      <c r="Z232" s="294"/>
      <c r="AA232" s="294"/>
      <c r="AB232" s="294"/>
      <c r="AC232" s="294"/>
      <c r="AD232" s="294"/>
      <c r="AE232" s="294"/>
      <c r="AF232" s="294"/>
    </row>
    <row r="233" spans="2:32">
      <c r="D233" s="93" t="s">
        <v>24</v>
      </c>
      <c r="E233" s="391" t="s">
        <v>1270</v>
      </c>
      <c r="F233" s="392"/>
      <c r="G233" s="264"/>
      <c r="H233" s="391" t="s">
        <v>476</v>
      </c>
      <c r="I233" s="397" t="s">
        <v>1271</v>
      </c>
      <c r="J233" s="397"/>
      <c r="K233" s="397"/>
      <c r="L233" s="397"/>
      <c r="M233" s="392"/>
    </row>
    <row r="234" spans="2:32" ht="8" customHeight="1">
      <c r="B234" s="262" t="s">
        <v>12</v>
      </c>
      <c r="C234" s="262" t="s">
        <v>12</v>
      </c>
      <c r="D234" s="262" t="s">
        <v>12</v>
      </c>
      <c r="E234" s="264"/>
      <c r="F234" s="264"/>
      <c r="G234" s="264"/>
      <c r="H234" s="264"/>
      <c r="I234" s="264"/>
      <c r="J234" s="264"/>
      <c r="K234" s="264"/>
      <c r="L234" s="264"/>
      <c r="M234" s="264"/>
    </row>
    <row r="235" spans="2:32" ht="16">
      <c r="B235" s="262" t="s">
        <v>12</v>
      </c>
      <c r="C235" s="262" t="s">
        <v>12</v>
      </c>
      <c r="D235" s="262" t="s">
        <v>12</v>
      </c>
      <c r="E235" s="300" t="s">
        <v>490</v>
      </c>
      <c r="F235" s="300"/>
      <c r="G235" s="300"/>
      <c r="H235" s="264"/>
      <c r="I235" s="264"/>
      <c r="J235" s="264"/>
      <c r="K235" s="264"/>
      <c r="L235" s="264"/>
      <c r="M235" s="264"/>
    </row>
    <row r="236" spans="2:32">
      <c r="D236" s="93" t="s">
        <v>24</v>
      </c>
      <c r="E236" s="393" t="s">
        <v>1272</v>
      </c>
      <c r="F236" s="394" t="s">
        <v>302</v>
      </c>
      <c r="G236" s="264"/>
      <c r="H236" s="393" t="s">
        <v>1273</v>
      </c>
      <c r="I236" s="398"/>
      <c r="J236" s="398"/>
      <c r="K236" s="398"/>
      <c r="L236" s="398"/>
      <c r="M236" s="394"/>
    </row>
    <row r="237" spans="2:32" s="79" customFormat="1">
      <c r="B237" s="265"/>
      <c r="C237" s="265"/>
      <c r="D237" s="265"/>
      <c r="E237" s="303" t="s">
        <v>1274</v>
      </c>
      <c r="F237" s="304" t="s">
        <v>1264</v>
      </c>
      <c r="G237" s="268"/>
      <c r="H237" s="303" t="s">
        <v>1262</v>
      </c>
      <c r="I237" s="268" t="s">
        <v>1263</v>
      </c>
      <c r="J237" s="268"/>
      <c r="K237" s="268"/>
      <c r="L237" s="268"/>
      <c r="M237" s="304"/>
      <c r="N237" s="294"/>
      <c r="O237" s="294"/>
      <c r="P237" s="294"/>
      <c r="Q237" s="294"/>
      <c r="R237" s="294"/>
      <c r="S237" s="294"/>
      <c r="T237" s="294"/>
      <c r="U237" s="294"/>
      <c r="V237" s="294"/>
      <c r="W237" s="294"/>
      <c r="X237" s="294"/>
      <c r="Y237" s="294"/>
      <c r="Z237" s="294"/>
      <c r="AA237" s="294"/>
      <c r="AB237" s="294"/>
      <c r="AC237" s="294"/>
      <c r="AD237" s="294"/>
      <c r="AE237" s="294"/>
      <c r="AF237" s="294"/>
    </row>
    <row r="238" spans="2:32" s="79" customFormat="1">
      <c r="B238" s="265"/>
      <c r="C238" s="265"/>
      <c r="D238" s="265"/>
      <c r="E238" s="303" t="s">
        <v>1275</v>
      </c>
      <c r="F238" s="304" t="s">
        <v>1263</v>
      </c>
      <c r="G238" s="268"/>
      <c r="H238" s="303" t="s">
        <v>1262</v>
      </c>
      <c r="I238" s="268" t="s">
        <v>1264</v>
      </c>
      <c r="J238" s="268"/>
      <c r="K238" s="268"/>
      <c r="L238" s="268"/>
      <c r="M238" s="304"/>
      <c r="N238" s="294"/>
      <c r="O238" s="294"/>
      <c r="P238" s="294"/>
      <c r="Q238" s="294"/>
      <c r="R238" s="294"/>
      <c r="S238" s="294"/>
      <c r="T238" s="294"/>
      <c r="U238" s="294"/>
      <c r="V238" s="294"/>
      <c r="W238" s="294"/>
      <c r="X238" s="294"/>
      <c r="Y238" s="294"/>
      <c r="Z238" s="294"/>
      <c r="AA238" s="294"/>
      <c r="AB238" s="294"/>
      <c r="AC238" s="294"/>
      <c r="AD238" s="294"/>
      <c r="AE238" s="294"/>
      <c r="AF238" s="294"/>
    </row>
    <row r="239" spans="2:32" s="79" customFormat="1">
      <c r="B239" s="265"/>
      <c r="C239" s="265"/>
      <c r="D239" s="265"/>
      <c r="E239" s="303" t="s">
        <v>1276</v>
      </c>
      <c r="F239" s="304" t="s">
        <v>1128</v>
      </c>
      <c r="G239" s="268"/>
      <c r="H239" s="303" t="s">
        <v>1127</v>
      </c>
      <c r="I239" s="268" t="s">
        <v>1129</v>
      </c>
      <c r="J239" s="268"/>
      <c r="K239" s="268"/>
      <c r="L239" s="268"/>
      <c r="M239" s="304"/>
      <c r="N239" s="294"/>
      <c r="O239" s="294"/>
      <c r="P239" s="294"/>
      <c r="Q239" s="294"/>
      <c r="R239" s="294"/>
      <c r="S239" s="294"/>
      <c r="T239" s="294"/>
      <c r="U239" s="294"/>
      <c r="V239" s="294"/>
      <c r="W239" s="294"/>
      <c r="X239" s="294"/>
      <c r="Y239" s="294"/>
      <c r="Z239" s="294"/>
      <c r="AA239" s="294"/>
      <c r="AB239" s="294"/>
      <c r="AC239" s="294"/>
      <c r="AD239" s="294"/>
      <c r="AE239" s="294"/>
      <c r="AF239" s="294"/>
    </row>
    <row r="240" spans="2:32" s="79" customFormat="1">
      <c r="B240" s="265"/>
      <c r="C240" s="265"/>
      <c r="D240" s="265"/>
      <c r="E240" s="303" t="s">
        <v>504</v>
      </c>
      <c r="F240" s="304"/>
      <c r="G240" s="268"/>
      <c r="H240" s="303" t="s">
        <v>1277</v>
      </c>
      <c r="I240" s="268" t="s">
        <v>1004</v>
      </c>
      <c r="J240" s="268" t="s">
        <v>1005</v>
      </c>
      <c r="K240" s="268"/>
      <c r="L240" s="268"/>
      <c r="M240" s="304"/>
      <c r="N240" s="294"/>
      <c r="O240" s="294"/>
      <c r="P240" s="294"/>
      <c r="Q240" s="294"/>
      <c r="R240" s="294"/>
      <c r="S240" s="294"/>
      <c r="T240" s="294"/>
      <c r="U240" s="294"/>
      <c r="V240" s="294"/>
      <c r="W240" s="294"/>
      <c r="X240" s="294"/>
      <c r="Y240" s="294"/>
      <c r="Z240" s="294"/>
      <c r="AA240" s="294"/>
      <c r="AB240" s="294"/>
      <c r="AC240" s="294"/>
      <c r="AD240" s="294"/>
      <c r="AE240" s="294"/>
      <c r="AF240" s="294"/>
    </row>
    <row r="241" spans="2:32" s="79" customFormat="1">
      <c r="B241" s="265"/>
      <c r="C241" s="265"/>
      <c r="D241" s="265"/>
      <c r="E241" s="303" t="s">
        <v>1169</v>
      </c>
      <c r="F241" s="304"/>
      <c r="G241" s="268"/>
      <c r="H241" s="303" t="s">
        <v>1168</v>
      </c>
      <c r="I241" s="268"/>
      <c r="J241" s="268"/>
      <c r="K241" s="268"/>
      <c r="L241" s="268"/>
      <c r="M241" s="304"/>
      <c r="N241" s="294"/>
      <c r="O241" s="294"/>
      <c r="P241" s="294"/>
      <c r="Q241" s="294"/>
      <c r="R241" s="294"/>
      <c r="S241" s="294"/>
      <c r="T241" s="294"/>
      <c r="U241" s="294"/>
      <c r="V241" s="294"/>
      <c r="W241" s="294"/>
      <c r="X241" s="294"/>
      <c r="Y241" s="294"/>
      <c r="Z241" s="294"/>
      <c r="AA241" s="294"/>
      <c r="AB241" s="294"/>
      <c r="AC241" s="294"/>
      <c r="AD241" s="294"/>
      <c r="AE241" s="294"/>
      <c r="AF241" s="294"/>
    </row>
    <row r="242" spans="2:32" s="79" customFormat="1">
      <c r="B242" s="265"/>
      <c r="C242" s="265"/>
      <c r="D242" s="265"/>
      <c r="E242" s="303" t="s">
        <v>1278</v>
      </c>
      <c r="F242" s="304"/>
      <c r="G242" s="268"/>
      <c r="H242" s="303" t="s">
        <v>1279</v>
      </c>
      <c r="I242" s="268"/>
      <c r="J242" s="268"/>
      <c r="K242" s="268"/>
      <c r="L242" s="268"/>
      <c r="M242" s="304"/>
      <c r="N242" s="294"/>
      <c r="O242" s="294"/>
      <c r="P242" s="294"/>
      <c r="Q242" s="294"/>
      <c r="R242" s="294"/>
      <c r="S242" s="294"/>
      <c r="T242" s="294"/>
      <c r="U242" s="294"/>
      <c r="V242" s="294"/>
      <c r="W242" s="294"/>
      <c r="X242" s="294"/>
      <c r="Y242" s="294"/>
      <c r="Z242" s="294"/>
      <c r="AA242" s="294"/>
      <c r="AB242" s="294"/>
      <c r="AC242" s="294"/>
      <c r="AD242" s="294"/>
      <c r="AE242" s="294"/>
      <c r="AF242" s="294"/>
    </row>
    <row r="243" spans="2:32" s="79" customFormat="1">
      <c r="B243" s="265"/>
      <c r="C243" s="265"/>
      <c r="D243" s="265"/>
      <c r="E243" s="303" t="s">
        <v>1095</v>
      </c>
      <c r="F243" s="304"/>
      <c r="G243" s="268"/>
      <c r="H243" s="303" t="s">
        <v>1094</v>
      </c>
      <c r="I243" s="268" t="s">
        <v>1093</v>
      </c>
      <c r="J243" s="268"/>
      <c r="K243" s="268"/>
      <c r="L243" s="268"/>
      <c r="M243" s="304"/>
      <c r="N243" s="294"/>
      <c r="O243" s="294"/>
      <c r="P243" s="294"/>
      <c r="Q243" s="294"/>
      <c r="R243" s="294"/>
      <c r="S243" s="294"/>
      <c r="T243" s="294"/>
      <c r="U243" s="294"/>
      <c r="V243" s="294"/>
      <c r="W243" s="294"/>
      <c r="X243" s="294"/>
      <c r="Y243" s="294"/>
      <c r="Z243" s="294"/>
      <c r="AA243" s="294"/>
      <c r="AB243" s="294"/>
      <c r="AC243" s="294"/>
      <c r="AD243" s="294"/>
      <c r="AE243" s="294"/>
      <c r="AF243" s="294"/>
    </row>
    <row r="244" spans="2:32" s="79" customFormat="1">
      <c r="B244" s="265"/>
      <c r="C244" s="265"/>
      <c r="D244" s="265"/>
      <c r="E244" s="303" t="s">
        <v>1280</v>
      </c>
      <c r="F244" s="304" t="s">
        <v>933</v>
      </c>
      <c r="G244" s="268"/>
      <c r="H244" s="303" t="s">
        <v>214</v>
      </c>
      <c r="I244" s="268" t="s">
        <v>932</v>
      </c>
      <c r="J244" s="268" t="s">
        <v>1281</v>
      </c>
      <c r="K244" s="268"/>
      <c r="L244" s="268"/>
      <c r="M244" s="304"/>
      <c r="N244" s="294"/>
      <c r="O244" s="294"/>
      <c r="P244" s="294"/>
      <c r="Q244" s="294"/>
      <c r="R244" s="294"/>
      <c r="S244" s="294"/>
      <c r="T244" s="294"/>
      <c r="U244" s="294"/>
      <c r="V244" s="294"/>
      <c r="W244" s="294"/>
      <c r="X244" s="294"/>
      <c r="Y244" s="294"/>
      <c r="Z244" s="294"/>
      <c r="AA244" s="294"/>
      <c r="AB244" s="294"/>
      <c r="AC244" s="294"/>
      <c r="AD244" s="294"/>
      <c r="AE244" s="294"/>
      <c r="AF244" s="294"/>
    </row>
    <row r="245" spans="2:32" s="79" customFormat="1">
      <c r="B245" s="265"/>
      <c r="C245" s="265"/>
      <c r="D245" s="265"/>
      <c r="E245" s="307" t="s">
        <v>1282</v>
      </c>
      <c r="F245" s="308" t="s">
        <v>1283</v>
      </c>
      <c r="G245" s="268"/>
      <c r="H245" s="307" t="s">
        <v>1284</v>
      </c>
      <c r="I245" s="344"/>
      <c r="J245" s="344"/>
      <c r="K245" s="344"/>
      <c r="L245" s="344"/>
      <c r="M245" s="308"/>
      <c r="N245" s="294"/>
      <c r="O245" s="294"/>
      <c r="P245" s="294"/>
      <c r="Q245" s="294"/>
      <c r="R245" s="294"/>
      <c r="S245" s="294"/>
      <c r="T245" s="294"/>
      <c r="U245" s="294"/>
      <c r="V245" s="294"/>
      <c r="W245" s="294"/>
      <c r="X245" s="294"/>
      <c r="Y245" s="294"/>
      <c r="Z245" s="294"/>
      <c r="AA245" s="294"/>
      <c r="AB245" s="294"/>
      <c r="AC245" s="294"/>
      <c r="AD245" s="294"/>
      <c r="AE245" s="294"/>
      <c r="AF245" s="294"/>
    </row>
    <row r="246" spans="2:32" ht="8" customHeight="1">
      <c r="B246" s="262" t="s">
        <v>12</v>
      </c>
      <c r="C246" s="262" t="s">
        <v>12</v>
      </c>
      <c r="D246" s="262" t="s">
        <v>12</v>
      </c>
      <c r="E246" s="264"/>
      <c r="F246" s="264"/>
      <c r="G246" s="264"/>
      <c r="H246" s="264"/>
      <c r="I246" s="264"/>
      <c r="J246" s="264"/>
      <c r="K246" s="264"/>
      <c r="L246" s="264"/>
      <c r="M246" s="264"/>
    </row>
    <row r="247" spans="2:32" ht="16">
      <c r="B247" s="262" t="s">
        <v>12</v>
      </c>
      <c r="C247" s="262" t="s">
        <v>12</v>
      </c>
      <c r="D247" s="262" t="s">
        <v>12</v>
      </c>
      <c r="E247" s="309" t="s">
        <v>494</v>
      </c>
      <c r="F247" s="309"/>
      <c r="G247" s="309"/>
      <c r="H247" s="264"/>
      <c r="I247" s="264"/>
      <c r="J247" s="264"/>
      <c r="K247" s="264"/>
      <c r="L247" s="264"/>
      <c r="M247" s="264"/>
    </row>
    <row r="248" spans="2:32" s="79" customFormat="1">
      <c r="B248" s="265"/>
      <c r="C248" s="265"/>
      <c r="D248" s="265"/>
      <c r="E248" s="395" t="s">
        <v>1285</v>
      </c>
      <c r="F248" s="396" t="s">
        <v>1203</v>
      </c>
      <c r="G248" s="268"/>
      <c r="H248" s="395" t="s">
        <v>1286</v>
      </c>
      <c r="I248" s="399" t="s">
        <v>1202</v>
      </c>
      <c r="J248" s="399"/>
      <c r="K248" s="399"/>
      <c r="L248" s="399"/>
      <c r="M248" s="396"/>
      <c r="N248" s="294"/>
      <c r="O248" s="294"/>
      <c r="P248" s="294"/>
      <c r="Q248" s="294"/>
      <c r="R248" s="294"/>
      <c r="S248" s="294"/>
      <c r="T248" s="294"/>
      <c r="U248" s="294"/>
      <c r="V248" s="294"/>
      <c r="W248" s="294"/>
      <c r="X248" s="294"/>
      <c r="Y248" s="294"/>
      <c r="Z248" s="294"/>
      <c r="AA248" s="294"/>
      <c r="AB248" s="294"/>
      <c r="AC248" s="294"/>
      <c r="AD248" s="294"/>
      <c r="AE248" s="294"/>
      <c r="AF248" s="294"/>
    </row>
    <row r="249" spans="2:32">
      <c r="D249" s="93" t="s">
        <v>24</v>
      </c>
      <c r="E249" s="312" t="s">
        <v>1287</v>
      </c>
      <c r="F249" s="313"/>
      <c r="G249" s="264"/>
      <c r="H249" s="312" t="s">
        <v>1128</v>
      </c>
      <c r="I249" s="264" t="s">
        <v>1288</v>
      </c>
      <c r="J249" s="264"/>
      <c r="K249" s="264"/>
      <c r="L249" s="264"/>
      <c r="M249" s="313"/>
    </row>
    <row r="250" spans="2:32" s="79" customFormat="1">
      <c r="B250" s="265"/>
      <c r="C250" s="265"/>
      <c r="D250" s="265"/>
      <c r="E250" s="320" t="s">
        <v>1239</v>
      </c>
      <c r="F250" s="321"/>
      <c r="G250" s="268"/>
      <c r="H250" s="320" t="s">
        <v>463</v>
      </c>
      <c r="I250" s="347"/>
      <c r="J250" s="347"/>
      <c r="K250" s="347"/>
      <c r="L250" s="347"/>
      <c r="M250" s="321"/>
      <c r="N250" s="294"/>
      <c r="O250" s="294"/>
      <c r="P250" s="294"/>
      <c r="Q250" s="294"/>
      <c r="R250" s="294"/>
      <c r="S250" s="294"/>
      <c r="T250" s="294"/>
      <c r="U250" s="294"/>
      <c r="V250" s="294"/>
      <c r="W250" s="294"/>
      <c r="X250" s="294"/>
      <c r="Y250" s="294"/>
      <c r="Z250" s="294"/>
      <c r="AA250" s="294"/>
      <c r="AB250" s="294"/>
      <c r="AC250" s="294"/>
      <c r="AD250" s="294"/>
      <c r="AE250" s="294"/>
      <c r="AF250" s="294"/>
    </row>
    <row r="251" spans="2:32">
      <c r="B251" s="262" t="s">
        <v>12</v>
      </c>
      <c r="C251" s="262" t="s">
        <v>12</v>
      </c>
      <c r="D251" s="262" t="s">
        <v>12</v>
      </c>
    </row>
    <row r="252" spans="2:32">
      <c r="B252" s="262" t="s">
        <v>12</v>
      </c>
      <c r="C252" s="262" t="s">
        <v>12</v>
      </c>
      <c r="D252" s="262" t="s">
        <v>12</v>
      </c>
    </row>
    <row r="253" spans="2:32" ht="16">
      <c r="B253" s="262" t="s">
        <v>12</v>
      </c>
      <c r="C253" s="262" t="s">
        <v>12</v>
      </c>
      <c r="D253" s="262" t="s">
        <v>12</v>
      </c>
      <c r="E253" s="322" t="s">
        <v>499</v>
      </c>
      <c r="F253" s="322"/>
      <c r="G253" s="322"/>
      <c r="H253" s="291"/>
      <c r="I253" s="291"/>
      <c r="J253" s="291"/>
      <c r="K253" s="291"/>
      <c r="L253" s="291"/>
      <c r="M253" s="291"/>
    </row>
    <row r="254" spans="2:32" s="79" customFormat="1">
      <c r="B254" s="265"/>
      <c r="C254" s="265"/>
      <c r="D254" s="265"/>
      <c r="E254" s="323" t="s">
        <v>1289</v>
      </c>
      <c r="F254" s="324"/>
      <c r="G254" s="325"/>
      <c r="H254" s="323" t="s">
        <v>787</v>
      </c>
      <c r="I254" s="348" t="s">
        <v>1290</v>
      </c>
      <c r="J254" s="348"/>
      <c r="K254" s="348"/>
      <c r="L254" s="348"/>
      <c r="M254" s="324"/>
      <c r="N254" s="294"/>
      <c r="O254" s="294"/>
      <c r="P254" s="294"/>
      <c r="Q254" s="294"/>
      <c r="R254" s="294"/>
      <c r="S254" s="294"/>
      <c r="T254" s="294"/>
      <c r="U254" s="294"/>
      <c r="V254" s="294"/>
      <c r="W254" s="294"/>
      <c r="X254" s="294"/>
      <c r="Y254" s="294"/>
      <c r="Z254" s="294"/>
      <c r="AA254" s="294"/>
      <c r="AB254" s="294"/>
      <c r="AC254" s="294"/>
      <c r="AD254" s="294"/>
      <c r="AE254" s="294"/>
      <c r="AF254" s="294"/>
    </row>
    <row r="255" spans="2:32" s="79" customFormat="1">
      <c r="B255" s="265"/>
      <c r="C255" s="265"/>
      <c r="D255" s="265"/>
      <c r="E255" s="326" t="s">
        <v>1291</v>
      </c>
      <c r="F255" s="327" t="s">
        <v>1292</v>
      </c>
      <c r="G255" s="325"/>
      <c r="H255" s="326" t="s">
        <v>1293</v>
      </c>
      <c r="I255" s="325"/>
      <c r="J255" s="325"/>
      <c r="K255" s="325"/>
      <c r="L255" s="325"/>
      <c r="M255" s="327"/>
      <c r="N255" s="294"/>
      <c r="O255" s="294"/>
      <c r="P255" s="294"/>
      <c r="Q255" s="294"/>
      <c r="R255" s="294"/>
      <c r="S255" s="294"/>
      <c r="T255" s="294"/>
      <c r="U255" s="294"/>
      <c r="V255" s="294"/>
      <c r="W255" s="294"/>
      <c r="X255" s="294"/>
      <c r="Y255" s="294"/>
      <c r="Z255" s="294"/>
      <c r="AA255" s="294"/>
      <c r="AB255" s="294"/>
      <c r="AC255" s="294"/>
      <c r="AD255" s="294"/>
      <c r="AE255" s="294"/>
      <c r="AF255" s="294"/>
    </row>
    <row r="256" spans="2:32" s="79" customFormat="1">
      <c r="B256" s="265"/>
      <c r="C256" s="265"/>
      <c r="D256" s="265"/>
      <c r="E256" s="326" t="s">
        <v>1294</v>
      </c>
      <c r="F256" s="327"/>
      <c r="G256" s="325"/>
      <c r="H256" s="326" t="s">
        <v>1295</v>
      </c>
      <c r="I256" s="325"/>
      <c r="J256" s="325"/>
      <c r="K256" s="325"/>
      <c r="L256" s="325"/>
      <c r="M256" s="327"/>
      <c r="N256" s="294"/>
      <c r="O256" s="294"/>
      <c r="P256" s="294"/>
      <c r="Q256" s="294"/>
      <c r="R256" s="294"/>
      <c r="S256" s="294"/>
      <c r="T256" s="294"/>
      <c r="U256" s="294"/>
      <c r="V256" s="294"/>
      <c r="W256" s="294"/>
      <c r="X256" s="294"/>
      <c r="Y256" s="294"/>
      <c r="Z256" s="294"/>
      <c r="AA256" s="294"/>
      <c r="AB256" s="294"/>
      <c r="AC256" s="294"/>
      <c r="AD256" s="294"/>
      <c r="AE256" s="294"/>
      <c r="AF256" s="294"/>
    </row>
    <row r="257" spans="2:32" s="79" customFormat="1">
      <c r="B257" s="265"/>
      <c r="C257" s="265"/>
      <c r="D257" s="265"/>
      <c r="E257" s="326" t="s">
        <v>985</v>
      </c>
      <c r="F257" s="327"/>
      <c r="G257" s="325"/>
      <c r="H257" s="326" t="s">
        <v>984</v>
      </c>
      <c r="I257" s="325"/>
      <c r="J257" s="325"/>
      <c r="K257" s="325"/>
      <c r="L257" s="325"/>
      <c r="M257" s="327"/>
      <c r="N257" s="294"/>
      <c r="O257" s="294"/>
      <c r="P257" s="294"/>
      <c r="Q257" s="294"/>
      <c r="R257" s="294"/>
      <c r="S257" s="294"/>
      <c r="T257" s="294"/>
      <c r="U257" s="294"/>
      <c r="V257" s="294"/>
      <c r="W257" s="294"/>
      <c r="X257" s="294"/>
      <c r="Y257" s="294"/>
      <c r="Z257" s="294"/>
      <c r="AA257" s="294"/>
      <c r="AB257" s="294"/>
      <c r="AC257" s="294"/>
      <c r="AD257" s="294"/>
      <c r="AE257" s="294"/>
      <c r="AF257" s="294"/>
    </row>
    <row r="258" spans="2:32">
      <c r="D258" s="93" t="s">
        <v>24</v>
      </c>
      <c r="E258" s="328" t="s">
        <v>1296</v>
      </c>
      <c r="F258" s="329" t="s">
        <v>503</v>
      </c>
      <c r="G258" s="291"/>
      <c r="H258" s="328" t="s">
        <v>1229</v>
      </c>
      <c r="I258" s="291" t="s">
        <v>1230</v>
      </c>
      <c r="J258" s="291"/>
      <c r="K258" s="291"/>
      <c r="L258" s="291"/>
      <c r="M258" s="329"/>
    </row>
    <row r="259" spans="2:32" s="79" customFormat="1">
      <c r="B259" s="265"/>
      <c r="C259" s="265"/>
      <c r="D259" s="265"/>
      <c r="E259" s="326" t="s">
        <v>1297</v>
      </c>
      <c r="F259" s="327" t="s">
        <v>1298</v>
      </c>
      <c r="G259" s="325"/>
      <c r="H259" s="326" t="s">
        <v>1299</v>
      </c>
      <c r="I259" s="325"/>
      <c r="J259" s="325"/>
      <c r="K259" s="325"/>
      <c r="L259" s="325"/>
      <c r="M259" s="327"/>
      <c r="N259" s="294"/>
      <c r="O259" s="294"/>
      <c r="P259" s="294"/>
      <c r="Q259" s="294"/>
      <c r="R259" s="294"/>
      <c r="S259" s="294"/>
      <c r="T259" s="294"/>
      <c r="U259" s="294"/>
      <c r="V259" s="294"/>
      <c r="W259" s="294"/>
      <c r="X259" s="294"/>
      <c r="Y259" s="294"/>
      <c r="Z259" s="294"/>
      <c r="AA259" s="294"/>
      <c r="AB259" s="294"/>
      <c r="AC259" s="294"/>
      <c r="AD259" s="294"/>
      <c r="AE259" s="294"/>
      <c r="AF259" s="294"/>
    </row>
    <row r="260" spans="2:32" s="79" customFormat="1">
      <c r="B260" s="265"/>
      <c r="C260" s="265"/>
      <c r="D260" s="265"/>
      <c r="E260" s="326" t="s">
        <v>1300</v>
      </c>
      <c r="F260" s="327" t="s">
        <v>1005</v>
      </c>
      <c r="G260" s="325"/>
      <c r="H260" s="326" t="s">
        <v>1004</v>
      </c>
      <c r="I260" s="325" t="s">
        <v>504</v>
      </c>
      <c r="J260" s="325" t="s">
        <v>442</v>
      </c>
      <c r="K260" s="325"/>
      <c r="L260" s="325"/>
      <c r="M260" s="327"/>
      <c r="N260" s="294"/>
      <c r="O260" s="294"/>
      <c r="P260" s="294"/>
      <c r="Q260" s="294"/>
      <c r="R260" s="294"/>
      <c r="S260" s="294"/>
      <c r="T260" s="294"/>
      <c r="U260" s="294"/>
      <c r="V260" s="294"/>
      <c r="W260" s="294"/>
      <c r="X260" s="294"/>
      <c r="Y260" s="294"/>
      <c r="Z260" s="294"/>
      <c r="AA260" s="294"/>
      <c r="AB260" s="294"/>
      <c r="AC260" s="294"/>
      <c r="AD260" s="294"/>
      <c r="AE260" s="294"/>
      <c r="AF260" s="294"/>
    </row>
    <row r="261" spans="2:32" s="79" customFormat="1">
      <c r="B261" s="265"/>
      <c r="C261" s="265"/>
      <c r="D261" s="265"/>
      <c r="E261" s="326" t="s">
        <v>1301</v>
      </c>
      <c r="F261" s="327" t="s">
        <v>1076</v>
      </c>
      <c r="G261" s="325"/>
      <c r="H261" s="326" t="s">
        <v>1075</v>
      </c>
      <c r="I261" s="325"/>
      <c r="J261" s="325"/>
      <c r="K261" s="325"/>
      <c r="L261" s="325"/>
      <c r="M261" s="327"/>
      <c r="N261" s="294"/>
      <c r="O261" s="294"/>
      <c r="P261" s="294"/>
      <c r="Q261" s="294"/>
      <c r="R261" s="294"/>
      <c r="S261" s="294"/>
      <c r="T261" s="294"/>
      <c r="U261" s="294"/>
      <c r="V261" s="294"/>
      <c r="W261" s="294"/>
      <c r="X261" s="294"/>
      <c r="Y261" s="294"/>
      <c r="Z261" s="294"/>
      <c r="AA261" s="294"/>
      <c r="AB261" s="294"/>
      <c r="AC261" s="294"/>
      <c r="AD261" s="294"/>
      <c r="AE261" s="294"/>
      <c r="AF261" s="294"/>
    </row>
    <row r="262" spans="2:32" s="79" customFormat="1">
      <c r="B262" s="265"/>
      <c r="C262" s="265"/>
      <c r="D262" s="265"/>
      <c r="E262" s="330" t="s">
        <v>1302</v>
      </c>
      <c r="F262" s="331"/>
      <c r="G262" s="325"/>
      <c r="H262" s="330" t="s">
        <v>1303</v>
      </c>
      <c r="I262" s="349"/>
      <c r="J262" s="349"/>
      <c r="K262" s="349"/>
      <c r="L262" s="349"/>
      <c r="M262" s="331"/>
      <c r="N262" s="294"/>
      <c r="O262" s="294"/>
      <c r="P262" s="294"/>
      <c r="Q262" s="294"/>
      <c r="R262" s="294"/>
      <c r="S262" s="294"/>
      <c r="T262" s="294"/>
      <c r="U262" s="294"/>
      <c r="V262" s="294"/>
      <c r="W262" s="294"/>
      <c r="X262" s="294"/>
      <c r="Y262" s="294"/>
      <c r="Z262" s="294"/>
      <c r="AA262" s="294"/>
      <c r="AB262" s="294"/>
      <c r="AC262" s="294"/>
      <c r="AD262" s="294"/>
      <c r="AE262" s="294"/>
      <c r="AF262" s="294"/>
    </row>
    <row r="263" spans="2:32" ht="8" customHeight="1">
      <c r="B263" s="262" t="s">
        <v>12</v>
      </c>
      <c r="C263" s="262" t="s">
        <v>12</v>
      </c>
      <c r="D263" s="262" t="s">
        <v>12</v>
      </c>
      <c r="E263" s="291"/>
      <c r="F263" s="291"/>
      <c r="G263" s="291"/>
      <c r="H263" s="291"/>
      <c r="I263" s="291"/>
      <c r="J263" s="291"/>
      <c r="K263" s="291"/>
      <c r="L263" s="291"/>
      <c r="M263" s="291"/>
    </row>
    <row r="264" spans="2:32" ht="16">
      <c r="B264" s="262" t="s">
        <v>12</v>
      </c>
      <c r="C264" s="262" t="s">
        <v>12</v>
      </c>
      <c r="D264" s="262" t="s">
        <v>12</v>
      </c>
      <c r="E264" s="332" t="s">
        <v>508</v>
      </c>
      <c r="F264" s="332"/>
      <c r="G264" s="332"/>
      <c r="H264" s="291"/>
      <c r="I264" s="291"/>
      <c r="J264" s="291"/>
      <c r="K264" s="291"/>
      <c r="L264" s="291"/>
      <c r="M264" s="291"/>
    </row>
    <row r="265" spans="2:32" s="79" customFormat="1">
      <c r="B265" s="265"/>
      <c r="C265" s="265"/>
      <c r="D265" s="265"/>
      <c r="E265" s="333" t="s">
        <v>1181</v>
      </c>
      <c r="F265" s="334"/>
      <c r="G265" s="325"/>
      <c r="H265" s="333" t="s">
        <v>1180</v>
      </c>
      <c r="I265" s="350"/>
      <c r="J265" s="350"/>
      <c r="K265" s="350"/>
      <c r="L265" s="350"/>
      <c r="M265" s="334"/>
      <c r="N265" s="294"/>
      <c r="O265" s="294"/>
      <c r="P265" s="294"/>
      <c r="Q265" s="294"/>
      <c r="R265" s="294"/>
      <c r="S265" s="294"/>
      <c r="T265" s="294"/>
      <c r="U265" s="294"/>
      <c r="V265" s="294"/>
      <c r="W265" s="294"/>
      <c r="X265" s="294"/>
      <c r="Y265" s="294"/>
      <c r="Z265" s="294"/>
      <c r="AA265" s="294"/>
      <c r="AB265" s="294"/>
      <c r="AC265" s="294"/>
      <c r="AD265" s="294"/>
      <c r="AE265" s="294"/>
      <c r="AF265" s="294"/>
    </row>
    <row r="266" spans="2:32">
      <c r="D266" s="93" t="s">
        <v>24</v>
      </c>
      <c r="E266" s="400" t="s">
        <v>1304</v>
      </c>
      <c r="F266" s="401"/>
      <c r="G266" s="378"/>
      <c r="H266" s="400" t="s">
        <v>1305</v>
      </c>
      <c r="I266" s="378" t="s">
        <v>1306</v>
      </c>
      <c r="J266" s="291"/>
      <c r="K266" s="291"/>
      <c r="L266" s="291"/>
      <c r="M266" s="408"/>
    </row>
    <row r="267" spans="2:32" s="79" customFormat="1">
      <c r="B267" s="265"/>
      <c r="C267" s="265"/>
      <c r="D267" s="265"/>
      <c r="E267" s="340" t="s">
        <v>1071</v>
      </c>
      <c r="F267" s="341"/>
      <c r="G267" s="325"/>
      <c r="H267" s="340" t="s">
        <v>523</v>
      </c>
      <c r="I267" s="351" t="s">
        <v>1072</v>
      </c>
      <c r="J267" s="351" t="s">
        <v>1070</v>
      </c>
      <c r="K267" s="351" t="s">
        <v>1074</v>
      </c>
      <c r="L267" s="351" t="s">
        <v>1073</v>
      </c>
      <c r="M267" s="341"/>
      <c r="N267" s="294"/>
      <c r="O267" s="294"/>
      <c r="P267" s="294"/>
      <c r="Q267" s="294"/>
      <c r="R267" s="294"/>
      <c r="S267" s="294"/>
      <c r="T267" s="294"/>
      <c r="U267" s="294"/>
      <c r="V267" s="294"/>
      <c r="W267" s="294"/>
      <c r="X267" s="294"/>
      <c r="Y267" s="294"/>
      <c r="Z267" s="294"/>
      <c r="AA267" s="294"/>
      <c r="AB267" s="294"/>
      <c r="AC267" s="294"/>
      <c r="AD267" s="294"/>
      <c r="AE267" s="294"/>
      <c r="AF267" s="294"/>
    </row>
    <row r="268" spans="2:32" ht="8" customHeight="1">
      <c r="B268" s="262" t="s">
        <v>12</v>
      </c>
      <c r="C268" s="262" t="s">
        <v>12</v>
      </c>
      <c r="D268" s="262" t="s">
        <v>12</v>
      </c>
      <c r="E268" s="291"/>
      <c r="F268" s="291"/>
      <c r="G268" s="291"/>
      <c r="H268" s="291"/>
      <c r="I268" s="291"/>
      <c r="J268" s="291"/>
      <c r="K268" s="291"/>
      <c r="L268" s="291"/>
      <c r="M268" s="291"/>
    </row>
    <row r="269" spans="2:32" ht="16">
      <c r="B269" s="262" t="s">
        <v>12</v>
      </c>
      <c r="C269" s="262" t="s">
        <v>12</v>
      </c>
      <c r="D269" s="262" t="s">
        <v>12</v>
      </c>
      <c r="E269" s="342" t="s">
        <v>528</v>
      </c>
      <c r="F269" s="342"/>
      <c r="G269" s="342"/>
      <c r="H269" s="291"/>
      <c r="I269" s="291"/>
      <c r="J269" s="291"/>
      <c r="K269" s="291"/>
      <c r="L269" s="291"/>
      <c r="M269" s="291"/>
    </row>
    <row r="270" spans="2:32" s="79" customFormat="1">
      <c r="B270" s="265"/>
      <c r="C270" s="265"/>
      <c r="D270" s="265"/>
      <c r="E270" s="352" t="s">
        <v>1307</v>
      </c>
      <c r="F270" s="353" t="s">
        <v>1308</v>
      </c>
      <c r="G270" s="325"/>
      <c r="H270" s="352" t="s">
        <v>1309</v>
      </c>
      <c r="I270" s="385" t="s">
        <v>834</v>
      </c>
      <c r="J270" s="385"/>
      <c r="K270" s="385"/>
      <c r="L270" s="385"/>
      <c r="M270" s="353"/>
      <c r="N270" s="294"/>
      <c r="O270" s="294"/>
      <c r="P270" s="294"/>
      <c r="Q270" s="294"/>
      <c r="R270" s="294"/>
      <c r="S270" s="294"/>
      <c r="T270" s="294"/>
      <c r="U270" s="294"/>
      <c r="V270" s="294"/>
      <c r="W270" s="294"/>
      <c r="X270" s="294"/>
      <c r="Y270" s="294"/>
      <c r="Z270" s="294"/>
      <c r="AA270" s="294"/>
      <c r="AB270" s="294"/>
      <c r="AC270" s="294"/>
      <c r="AD270" s="294"/>
      <c r="AE270" s="294"/>
      <c r="AF270" s="294"/>
    </row>
    <row r="271" spans="2:32" s="79" customFormat="1">
      <c r="B271" s="265"/>
      <c r="C271" s="265"/>
      <c r="D271" s="265"/>
      <c r="E271" s="354" t="s">
        <v>1310</v>
      </c>
      <c r="F271" s="355" t="s">
        <v>1311</v>
      </c>
      <c r="G271" s="325"/>
      <c r="H271" s="354" t="s">
        <v>998</v>
      </c>
      <c r="I271" s="325" t="s">
        <v>1312</v>
      </c>
      <c r="J271" s="325"/>
      <c r="K271" s="325"/>
      <c r="L271" s="325"/>
      <c r="M271" s="355"/>
      <c r="N271" s="294"/>
      <c r="O271" s="294"/>
      <c r="P271" s="294"/>
      <c r="Q271" s="294"/>
      <c r="R271" s="294"/>
      <c r="S271" s="294"/>
      <c r="T271" s="294"/>
      <c r="U271" s="294"/>
      <c r="V271" s="294"/>
      <c r="W271" s="294"/>
      <c r="X271" s="294"/>
      <c r="Y271" s="294"/>
      <c r="Z271" s="294"/>
      <c r="AA271" s="294"/>
      <c r="AB271" s="294"/>
      <c r="AC271" s="294"/>
      <c r="AD271" s="294"/>
      <c r="AE271" s="294"/>
      <c r="AF271" s="294"/>
    </row>
    <row r="272" spans="2:32" s="79" customFormat="1">
      <c r="B272" s="265"/>
      <c r="C272" s="265"/>
      <c r="D272" s="265"/>
      <c r="E272" s="354" t="s">
        <v>1313</v>
      </c>
      <c r="F272" s="355" t="s">
        <v>1050</v>
      </c>
      <c r="G272" s="325"/>
      <c r="H272" s="354" t="s">
        <v>300</v>
      </c>
      <c r="I272" s="325"/>
      <c r="J272" s="325"/>
      <c r="K272" s="325"/>
      <c r="L272" s="325"/>
      <c r="M272" s="355"/>
      <c r="N272" s="294"/>
      <c r="O272" s="294"/>
      <c r="P272" s="294"/>
      <c r="Q272" s="294"/>
      <c r="R272" s="294"/>
      <c r="S272" s="294"/>
      <c r="T272" s="294"/>
      <c r="U272" s="294"/>
      <c r="V272" s="294"/>
      <c r="W272" s="294"/>
      <c r="X272" s="294"/>
      <c r="Y272" s="294"/>
      <c r="Z272" s="294"/>
      <c r="AA272" s="294"/>
      <c r="AB272" s="294"/>
      <c r="AC272" s="294"/>
      <c r="AD272" s="294"/>
      <c r="AE272" s="294"/>
      <c r="AF272" s="294"/>
    </row>
    <row r="273" spans="2:32">
      <c r="D273" s="93" t="s">
        <v>24</v>
      </c>
      <c r="E273" s="356" t="s">
        <v>1314</v>
      </c>
      <c r="F273" s="357" t="s">
        <v>529</v>
      </c>
      <c r="G273" s="291"/>
      <c r="H273" s="356" t="s">
        <v>1059</v>
      </c>
      <c r="I273" s="291"/>
      <c r="J273" s="291"/>
      <c r="K273" s="291"/>
      <c r="L273" s="291"/>
      <c r="M273" s="357"/>
    </row>
    <row r="274" spans="2:32" s="79" customFormat="1">
      <c r="B274" s="265"/>
      <c r="C274" s="265"/>
      <c r="D274" s="265"/>
      <c r="E274" s="358" t="s">
        <v>1258</v>
      </c>
      <c r="F274" s="359"/>
      <c r="G274" s="325"/>
      <c r="H274" s="358" t="s">
        <v>1257</v>
      </c>
      <c r="I274" s="386"/>
      <c r="J274" s="386"/>
      <c r="K274" s="386"/>
      <c r="L274" s="386"/>
      <c r="M274" s="359"/>
      <c r="N274" s="294"/>
      <c r="O274" s="294"/>
      <c r="P274" s="294"/>
      <c r="Q274" s="294"/>
      <c r="R274" s="294"/>
      <c r="S274" s="294"/>
      <c r="T274" s="294"/>
      <c r="U274" s="294"/>
      <c r="V274" s="294"/>
      <c r="W274" s="294"/>
      <c r="X274" s="294"/>
      <c r="Y274" s="294"/>
      <c r="Z274" s="294"/>
      <c r="AA274" s="294"/>
      <c r="AB274" s="294"/>
      <c r="AC274" s="294"/>
      <c r="AD274" s="294"/>
      <c r="AE274" s="294"/>
      <c r="AF274" s="294"/>
    </row>
    <row r="275" spans="2:32" ht="8" customHeight="1">
      <c r="B275" s="262" t="s">
        <v>12</v>
      </c>
      <c r="C275" s="262" t="s">
        <v>12</v>
      </c>
      <c r="D275" s="262" t="s">
        <v>12</v>
      </c>
      <c r="E275" s="291"/>
      <c r="F275" s="291"/>
      <c r="G275" s="291"/>
      <c r="H275" s="291"/>
      <c r="I275" s="291"/>
      <c r="J275" s="291"/>
      <c r="K275" s="291"/>
      <c r="L275" s="291"/>
      <c r="M275" s="291"/>
    </row>
    <row r="276" spans="2:32" ht="16">
      <c r="B276" s="262" t="s">
        <v>12</v>
      </c>
      <c r="C276" s="262" t="s">
        <v>12</v>
      </c>
      <c r="D276" s="262" t="s">
        <v>12</v>
      </c>
      <c r="E276" s="360" t="s">
        <v>531</v>
      </c>
      <c r="F276" s="360"/>
      <c r="G276" s="360"/>
      <c r="H276" s="291"/>
      <c r="I276" s="291"/>
      <c r="J276" s="291"/>
      <c r="K276" s="291"/>
      <c r="L276" s="291"/>
      <c r="M276" s="291"/>
    </row>
    <row r="277" spans="2:32" s="79" customFormat="1">
      <c r="B277" s="265"/>
      <c r="C277" s="265"/>
      <c r="D277" s="265"/>
      <c r="E277" s="402" t="s">
        <v>923</v>
      </c>
      <c r="F277" s="403"/>
      <c r="G277" s="325"/>
      <c r="H277" s="402" t="s">
        <v>922</v>
      </c>
      <c r="I277" s="409"/>
      <c r="J277" s="409"/>
      <c r="K277" s="409"/>
      <c r="L277" s="409"/>
      <c r="M277" s="403"/>
      <c r="N277" s="294"/>
      <c r="O277" s="294"/>
      <c r="P277" s="294"/>
      <c r="Q277" s="294"/>
      <c r="R277" s="294"/>
      <c r="S277" s="294"/>
      <c r="T277" s="294"/>
      <c r="U277" s="294"/>
      <c r="V277" s="294"/>
      <c r="W277" s="294"/>
      <c r="X277" s="294"/>
      <c r="Y277" s="294"/>
      <c r="Z277" s="294"/>
      <c r="AA277" s="294"/>
      <c r="AB277" s="294"/>
      <c r="AC277" s="294"/>
      <c r="AD277" s="294"/>
      <c r="AE277" s="294"/>
      <c r="AF277" s="294"/>
    </row>
    <row r="278" spans="2:32" s="79" customFormat="1">
      <c r="B278" s="265"/>
      <c r="C278" s="265"/>
      <c r="D278" s="265"/>
      <c r="E278" s="365" t="s">
        <v>923</v>
      </c>
      <c r="F278" s="366"/>
      <c r="G278" s="325"/>
      <c r="H278" s="365" t="s">
        <v>924</v>
      </c>
      <c r="I278" s="325"/>
      <c r="J278" s="325"/>
      <c r="K278" s="325"/>
      <c r="L278" s="325"/>
      <c r="M278" s="366"/>
      <c r="N278" s="294"/>
      <c r="O278" s="294"/>
      <c r="P278" s="294"/>
      <c r="Q278" s="294"/>
      <c r="R278" s="294"/>
      <c r="S278" s="294"/>
      <c r="T278" s="294"/>
      <c r="U278" s="294"/>
      <c r="V278" s="294"/>
      <c r="W278" s="294"/>
      <c r="X278" s="294"/>
      <c r="Y278" s="294"/>
      <c r="Z278" s="294"/>
      <c r="AA278" s="294"/>
      <c r="AB278" s="294"/>
      <c r="AC278" s="294"/>
      <c r="AD278" s="294"/>
      <c r="AE278" s="294"/>
      <c r="AF278" s="294"/>
    </row>
    <row r="279" spans="2:32">
      <c r="D279" s="93" t="s">
        <v>24</v>
      </c>
      <c r="E279" s="363" t="s">
        <v>536</v>
      </c>
      <c r="F279" s="364"/>
      <c r="G279" s="291"/>
      <c r="H279" s="363" t="s">
        <v>1315</v>
      </c>
      <c r="I279" s="291"/>
      <c r="J279" s="291"/>
      <c r="K279" s="291"/>
      <c r="L279" s="291"/>
      <c r="M279" s="364"/>
    </row>
    <row r="280" spans="2:32" s="79" customFormat="1">
      <c r="B280" s="265"/>
      <c r="C280" s="265"/>
      <c r="D280" s="265"/>
      <c r="E280" s="365" t="s">
        <v>1316</v>
      </c>
      <c r="F280" s="366"/>
      <c r="G280" s="325"/>
      <c r="H280" s="365" t="s">
        <v>581</v>
      </c>
      <c r="I280" s="325" t="s">
        <v>716</v>
      </c>
      <c r="J280" s="325"/>
      <c r="K280" s="325"/>
      <c r="L280" s="325"/>
      <c r="M280" s="366"/>
      <c r="N280" s="294"/>
      <c r="O280" s="294"/>
      <c r="P280" s="294"/>
      <c r="Q280" s="294"/>
      <c r="R280" s="294"/>
      <c r="S280" s="294"/>
      <c r="T280" s="294"/>
      <c r="U280" s="294"/>
      <c r="V280" s="294"/>
      <c r="W280" s="294"/>
      <c r="X280" s="294"/>
      <c r="Y280" s="294"/>
      <c r="Z280" s="294"/>
      <c r="AA280" s="294"/>
      <c r="AB280" s="294"/>
      <c r="AC280" s="294"/>
      <c r="AD280" s="294"/>
      <c r="AE280" s="294"/>
      <c r="AF280" s="294"/>
    </row>
    <row r="281" spans="2:32">
      <c r="D281" s="93" t="s">
        <v>24</v>
      </c>
      <c r="E281" s="363" t="s">
        <v>534</v>
      </c>
      <c r="F281" s="364"/>
      <c r="G281" s="291"/>
      <c r="H281" s="363" t="s">
        <v>535</v>
      </c>
      <c r="I281" s="291"/>
      <c r="J281" s="291"/>
      <c r="K281" s="291"/>
      <c r="L281" s="291"/>
      <c r="M281" s="364"/>
    </row>
    <row r="282" spans="2:32" s="79" customFormat="1">
      <c r="B282" s="265"/>
      <c r="C282" s="265"/>
      <c r="D282" s="265"/>
      <c r="E282" s="365" t="s">
        <v>702</v>
      </c>
      <c r="F282" s="366"/>
      <c r="G282" s="325"/>
      <c r="H282" s="365" t="s">
        <v>332</v>
      </c>
      <c r="I282" s="325" t="s">
        <v>1087</v>
      </c>
      <c r="J282" s="325" t="s">
        <v>1088</v>
      </c>
      <c r="K282" s="325" t="s">
        <v>1089</v>
      </c>
      <c r="L282" s="325"/>
      <c r="M282" s="366"/>
      <c r="N282" s="294"/>
      <c r="O282" s="294"/>
      <c r="P282" s="294"/>
      <c r="Q282" s="294"/>
      <c r="R282" s="294"/>
      <c r="S282" s="294"/>
      <c r="T282" s="294"/>
      <c r="U282" s="294"/>
      <c r="V282" s="294"/>
      <c r="W282" s="294"/>
      <c r="X282" s="294"/>
      <c r="Y282" s="294"/>
      <c r="Z282" s="294"/>
      <c r="AA282" s="294"/>
      <c r="AB282" s="294"/>
      <c r="AC282" s="294"/>
      <c r="AD282" s="294"/>
      <c r="AE282" s="294"/>
      <c r="AF282" s="294"/>
    </row>
    <row r="283" spans="2:32">
      <c r="D283" s="93" t="s">
        <v>24</v>
      </c>
      <c r="E283" s="363" t="s">
        <v>537</v>
      </c>
      <c r="F283" s="364"/>
      <c r="G283" s="291"/>
      <c r="H283" s="363" t="s">
        <v>1317</v>
      </c>
      <c r="I283" s="291"/>
      <c r="J283" s="291"/>
      <c r="K283" s="291"/>
      <c r="L283" s="291"/>
      <c r="M283" s="364"/>
    </row>
    <row r="284" spans="2:32" s="79" customFormat="1">
      <c r="B284" s="265"/>
      <c r="C284" s="265"/>
      <c r="D284" s="265"/>
      <c r="E284" s="365" t="s">
        <v>1318</v>
      </c>
      <c r="F284" s="366"/>
      <c r="G284" s="325"/>
      <c r="H284" s="365" t="s">
        <v>1319</v>
      </c>
      <c r="I284" s="325"/>
      <c r="J284" s="325"/>
      <c r="K284" s="325"/>
      <c r="L284" s="325"/>
      <c r="M284" s="366"/>
      <c r="N284" s="294"/>
      <c r="O284" s="294"/>
      <c r="P284" s="294"/>
      <c r="Q284" s="294"/>
      <c r="R284" s="294"/>
      <c r="S284" s="294"/>
      <c r="T284" s="294"/>
      <c r="U284" s="294"/>
      <c r="V284" s="294"/>
      <c r="W284" s="294"/>
      <c r="X284" s="294"/>
      <c r="Y284" s="294"/>
      <c r="Z284" s="294"/>
      <c r="AA284" s="294"/>
      <c r="AB284" s="294"/>
      <c r="AC284" s="294"/>
      <c r="AD284" s="294"/>
      <c r="AE284" s="294"/>
      <c r="AF284" s="294"/>
    </row>
    <row r="285" spans="2:32" s="79" customFormat="1">
      <c r="B285" s="265"/>
      <c r="C285" s="265"/>
      <c r="D285" s="265"/>
      <c r="E285" s="365" t="s">
        <v>1320</v>
      </c>
      <c r="F285" s="366"/>
      <c r="G285" s="325"/>
      <c r="H285" s="365" t="s">
        <v>1321</v>
      </c>
      <c r="I285" s="325"/>
      <c r="J285" s="325"/>
      <c r="K285" s="325"/>
      <c r="L285" s="325"/>
      <c r="M285" s="366"/>
      <c r="N285" s="294"/>
      <c r="O285" s="294"/>
      <c r="P285" s="294"/>
      <c r="Q285" s="294"/>
      <c r="R285" s="294"/>
      <c r="S285" s="294"/>
      <c r="T285" s="294"/>
      <c r="U285" s="294"/>
      <c r="V285" s="294"/>
      <c r="W285" s="294"/>
      <c r="X285" s="294"/>
      <c r="Y285" s="294"/>
      <c r="Z285" s="294"/>
      <c r="AA285" s="294"/>
      <c r="AB285" s="294"/>
      <c r="AC285" s="294"/>
      <c r="AD285" s="294"/>
      <c r="AE285" s="294"/>
      <c r="AF285" s="294"/>
    </row>
    <row r="286" spans="2:32" s="79" customFormat="1">
      <c r="B286" s="265"/>
      <c r="C286" s="265"/>
      <c r="D286" s="265"/>
      <c r="E286" s="365" t="s">
        <v>1322</v>
      </c>
      <c r="F286" s="366"/>
      <c r="G286" s="325"/>
      <c r="H286" s="365" t="s">
        <v>1323</v>
      </c>
      <c r="I286" s="325"/>
      <c r="J286" s="325"/>
      <c r="K286" s="325"/>
      <c r="L286" s="325"/>
      <c r="M286" s="366"/>
      <c r="N286" s="294"/>
      <c r="O286" s="294"/>
      <c r="P286" s="294"/>
      <c r="Q286" s="294"/>
      <c r="R286" s="294"/>
      <c r="S286" s="294"/>
      <c r="T286" s="294"/>
      <c r="U286" s="294"/>
      <c r="V286" s="294"/>
      <c r="W286" s="294"/>
      <c r="X286" s="294"/>
      <c r="Y286" s="294"/>
      <c r="Z286" s="294"/>
      <c r="AA286" s="294"/>
      <c r="AB286" s="294"/>
      <c r="AC286" s="294"/>
      <c r="AD286" s="294"/>
      <c r="AE286" s="294"/>
      <c r="AF286" s="294"/>
    </row>
    <row r="287" spans="2:32" s="79" customFormat="1">
      <c r="B287" s="265"/>
      <c r="C287" s="265"/>
      <c r="D287" s="265"/>
      <c r="E287" s="367" t="s">
        <v>1324</v>
      </c>
      <c r="F287" s="368" t="s">
        <v>1325</v>
      </c>
      <c r="G287" s="325"/>
      <c r="H287" s="367" t="s">
        <v>559</v>
      </c>
      <c r="I287" s="388" t="s">
        <v>1326</v>
      </c>
      <c r="J287" s="388"/>
      <c r="K287" s="388"/>
      <c r="L287" s="388"/>
      <c r="M287" s="368"/>
      <c r="N287" s="294"/>
      <c r="O287" s="294"/>
      <c r="P287" s="294"/>
      <c r="Q287" s="294"/>
      <c r="R287" s="294"/>
      <c r="S287" s="294"/>
      <c r="T287" s="294"/>
      <c r="U287" s="294"/>
      <c r="V287" s="294"/>
      <c r="W287" s="294"/>
      <c r="X287" s="294"/>
      <c r="Y287" s="294"/>
      <c r="Z287" s="294"/>
      <c r="AA287" s="294"/>
      <c r="AB287" s="294"/>
      <c r="AC287" s="294"/>
      <c r="AD287" s="294"/>
      <c r="AE287" s="294"/>
      <c r="AF287" s="294"/>
    </row>
    <row r="288" spans="2:32" ht="8" customHeight="1">
      <c r="B288" s="262" t="s">
        <v>12</v>
      </c>
      <c r="C288" s="262" t="s">
        <v>12</v>
      </c>
      <c r="D288" s="262" t="s">
        <v>12</v>
      </c>
      <c r="E288" s="291"/>
      <c r="F288" s="291"/>
      <c r="G288" s="291"/>
      <c r="H288" s="291"/>
      <c r="I288" s="291"/>
      <c r="J288" s="291"/>
      <c r="K288" s="291"/>
      <c r="L288" s="291"/>
      <c r="M288" s="291"/>
    </row>
    <row r="289" spans="2:32" ht="16">
      <c r="B289" s="262" t="s">
        <v>12</v>
      </c>
      <c r="C289" s="262" t="s">
        <v>12</v>
      </c>
      <c r="D289" s="262" t="s">
        <v>12</v>
      </c>
      <c r="E289" s="369" t="s">
        <v>538</v>
      </c>
      <c r="F289" s="369"/>
      <c r="G289" s="369"/>
      <c r="H289" s="291"/>
      <c r="I289" s="291"/>
      <c r="J289" s="291"/>
      <c r="K289" s="291"/>
      <c r="L289" s="291"/>
      <c r="M289" s="291"/>
    </row>
    <row r="290" spans="2:32" s="79" customFormat="1">
      <c r="B290" s="265"/>
      <c r="C290" s="265"/>
      <c r="D290" s="265"/>
      <c r="E290" s="370" t="s">
        <v>1327</v>
      </c>
      <c r="F290" s="371" t="s">
        <v>535</v>
      </c>
      <c r="G290" s="325"/>
      <c r="H290" s="370" t="s">
        <v>534</v>
      </c>
      <c r="I290" s="389"/>
      <c r="J290" s="389"/>
      <c r="K290" s="389"/>
      <c r="L290" s="389"/>
      <c r="M290" s="371"/>
      <c r="N290" s="294"/>
      <c r="O290" s="294"/>
      <c r="P290" s="294"/>
      <c r="Q290" s="294"/>
      <c r="R290" s="294"/>
      <c r="S290" s="294"/>
      <c r="T290" s="294"/>
      <c r="U290" s="294"/>
      <c r="V290" s="294"/>
      <c r="W290" s="294"/>
      <c r="X290" s="294"/>
      <c r="Y290" s="294"/>
      <c r="Z290" s="294"/>
      <c r="AA290" s="294"/>
      <c r="AB290" s="294"/>
      <c r="AC290" s="294"/>
      <c r="AD290" s="294"/>
      <c r="AE290" s="294"/>
      <c r="AF290" s="294"/>
    </row>
    <row r="291" spans="2:32" s="79" customFormat="1">
      <c r="B291" s="265"/>
      <c r="C291" s="265"/>
      <c r="D291" s="265"/>
      <c r="E291" s="372" t="s">
        <v>1328</v>
      </c>
      <c r="F291" s="373" t="s">
        <v>1329</v>
      </c>
      <c r="G291" s="325"/>
      <c r="H291" s="372" t="s">
        <v>1330</v>
      </c>
      <c r="I291" s="325" t="s">
        <v>1331</v>
      </c>
      <c r="J291" s="325"/>
      <c r="K291" s="325"/>
      <c r="L291" s="325"/>
      <c r="M291" s="373"/>
      <c r="N291" s="294"/>
      <c r="O291" s="294"/>
      <c r="P291" s="294"/>
      <c r="Q291" s="294"/>
      <c r="R291" s="294"/>
      <c r="S291" s="294"/>
      <c r="T291" s="294"/>
      <c r="U291" s="294"/>
      <c r="V291" s="294"/>
      <c r="W291" s="294"/>
      <c r="X291" s="294"/>
      <c r="Y291" s="294"/>
      <c r="Z291" s="294"/>
      <c r="AA291" s="294"/>
      <c r="AB291" s="294"/>
      <c r="AC291" s="294"/>
      <c r="AD291" s="294"/>
      <c r="AE291" s="294"/>
      <c r="AF291" s="294"/>
    </row>
    <row r="292" spans="2:32" s="79" customFormat="1">
      <c r="B292" s="265"/>
      <c r="C292" s="265"/>
      <c r="D292" s="265"/>
      <c r="E292" s="372" t="s">
        <v>1332</v>
      </c>
      <c r="F292" s="373" t="s">
        <v>1333</v>
      </c>
      <c r="G292" s="325"/>
      <c r="H292" s="372" t="s">
        <v>1334</v>
      </c>
      <c r="I292" s="325"/>
      <c r="J292" s="325"/>
      <c r="K292" s="325"/>
      <c r="L292" s="325"/>
      <c r="M292" s="373"/>
      <c r="N292" s="294"/>
      <c r="O292" s="294"/>
      <c r="P292" s="294"/>
      <c r="Q292" s="294"/>
      <c r="R292" s="294"/>
      <c r="S292" s="294"/>
      <c r="T292" s="294"/>
      <c r="U292" s="294"/>
      <c r="V292" s="294"/>
      <c r="W292" s="294"/>
      <c r="X292" s="294"/>
      <c r="Y292" s="294"/>
      <c r="Z292" s="294"/>
      <c r="AA292" s="294"/>
      <c r="AB292" s="294"/>
      <c r="AC292" s="294"/>
      <c r="AD292" s="294"/>
      <c r="AE292" s="294"/>
      <c r="AF292" s="294"/>
    </row>
    <row r="293" spans="2:32" s="79" customFormat="1">
      <c r="B293" s="265"/>
      <c r="C293" s="265"/>
      <c r="D293" s="265"/>
      <c r="E293" s="372" t="s">
        <v>1335</v>
      </c>
      <c r="F293" s="373"/>
      <c r="G293" s="325"/>
      <c r="H293" s="372" t="s">
        <v>1336</v>
      </c>
      <c r="I293" s="325" t="s">
        <v>1337</v>
      </c>
      <c r="J293" s="325"/>
      <c r="K293" s="325"/>
      <c r="L293" s="325"/>
      <c r="M293" s="373"/>
      <c r="N293" s="294"/>
      <c r="O293" s="294"/>
      <c r="P293" s="294"/>
      <c r="Q293" s="294"/>
      <c r="R293" s="294"/>
      <c r="S293" s="294"/>
      <c r="T293" s="294"/>
      <c r="U293" s="294"/>
      <c r="V293" s="294"/>
      <c r="W293" s="294"/>
      <c r="X293" s="294"/>
      <c r="Y293" s="294"/>
      <c r="Z293" s="294"/>
      <c r="AA293" s="294"/>
      <c r="AB293" s="294"/>
      <c r="AC293" s="294"/>
      <c r="AD293" s="294"/>
      <c r="AE293" s="294"/>
      <c r="AF293" s="294"/>
    </row>
    <row r="294" spans="2:32" s="79" customFormat="1">
      <c r="B294" s="265"/>
      <c r="C294" s="265"/>
      <c r="D294" s="265"/>
      <c r="E294" s="372" t="s">
        <v>1338</v>
      </c>
      <c r="F294" s="373"/>
      <c r="G294" s="325"/>
      <c r="H294" s="372" t="s">
        <v>1339</v>
      </c>
      <c r="I294" s="325" t="s">
        <v>1337</v>
      </c>
      <c r="J294" s="325"/>
      <c r="K294" s="325"/>
      <c r="L294" s="325"/>
      <c r="M294" s="373"/>
      <c r="N294" s="294"/>
      <c r="O294" s="294"/>
      <c r="P294" s="294"/>
      <c r="Q294" s="294"/>
      <c r="R294" s="294"/>
      <c r="S294" s="294"/>
      <c r="T294" s="294"/>
      <c r="U294" s="294"/>
      <c r="V294" s="294"/>
      <c r="W294" s="294"/>
      <c r="X294" s="294"/>
      <c r="Y294" s="294"/>
      <c r="Z294" s="294"/>
      <c r="AA294" s="294"/>
      <c r="AB294" s="294"/>
      <c r="AC294" s="294"/>
      <c r="AD294" s="294"/>
      <c r="AE294" s="294"/>
      <c r="AF294" s="294"/>
    </row>
    <row r="295" spans="2:32" s="79" customFormat="1">
      <c r="B295" s="265"/>
      <c r="C295" s="265"/>
      <c r="D295" s="265"/>
      <c r="E295" s="372" t="s">
        <v>1337</v>
      </c>
      <c r="F295" s="373"/>
      <c r="G295" s="325"/>
      <c r="H295" s="372" t="s">
        <v>1339</v>
      </c>
      <c r="I295" s="325" t="s">
        <v>1338</v>
      </c>
      <c r="J295" s="325"/>
      <c r="K295" s="325"/>
      <c r="L295" s="325"/>
      <c r="M295" s="373"/>
      <c r="N295" s="294"/>
      <c r="O295" s="294"/>
      <c r="P295" s="294"/>
      <c r="Q295" s="294"/>
      <c r="R295" s="294"/>
      <c r="S295" s="294"/>
      <c r="T295" s="294"/>
      <c r="U295" s="294"/>
      <c r="V295" s="294"/>
      <c r="W295" s="294"/>
      <c r="X295" s="294"/>
      <c r="Y295" s="294"/>
      <c r="Z295" s="294"/>
      <c r="AA295" s="294"/>
      <c r="AB295" s="294"/>
      <c r="AC295" s="294"/>
      <c r="AD295" s="294"/>
      <c r="AE295" s="294"/>
      <c r="AF295" s="294"/>
    </row>
    <row r="296" spans="2:32" s="79" customFormat="1">
      <c r="B296" s="265"/>
      <c r="C296" s="265"/>
      <c r="D296" s="265"/>
      <c r="E296" s="372" t="s">
        <v>1340</v>
      </c>
      <c r="F296" s="373"/>
      <c r="G296" s="325"/>
      <c r="H296" s="372" t="s">
        <v>1341</v>
      </c>
      <c r="I296" s="325"/>
      <c r="J296" s="325"/>
      <c r="K296" s="325"/>
      <c r="L296" s="325"/>
      <c r="M296" s="373"/>
      <c r="N296" s="294"/>
      <c r="O296" s="294"/>
      <c r="P296" s="294"/>
      <c r="Q296" s="294"/>
      <c r="R296" s="294"/>
      <c r="S296" s="294"/>
      <c r="T296" s="294"/>
      <c r="U296" s="294"/>
      <c r="V296" s="294"/>
      <c r="W296" s="294"/>
      <c r="X296" s="294"/>
      <c r="Y296" s="294"/>
      <c r="Z296" s="294"/>
      <c r="AA296" s="294"/>
      <c r="AB296" s="294"/>
      <c r="AC296" s="294"/>
      <c r="AD296" s="294"/>
      <c r="AE296" s="294"/>
      <c r="AF296" s="294"/>
    </row>
    <row r="297" spans="2:32" s="79" customFormat="1">
      <c r="B297" s="265"/>
      <c r="C297" s="265"/>
      <c r="D297" s="265"/>
      <c r="E297" s="372" t="s">
        <v>1072</v>
      </c>
      <c r="F297" s="373"/>
      <c r="G297" s="325"/>
      <c r="H297" s="372" t="s">
        <v>1069</v>
      </c>
      <c r="I297" s="325" t="s">
        <v>1070</v>
      </c>
      <c r="J297" s="325" t="s">
        <v>1071</v>
      </c>
      <c r="K297" s="325" t="s">
        <v>1073</v>
      </c>
      <c r="L297" s="325" t="s">
        <v>1074</v>
      </c>
      <c r="M297" s="373" t="s">
        <v>523</v>
      </c>
      <c r="N297" s="294"/>
      <c r="O297" s="294"/>
      <c r="P297" s="294"/>
      <c r="Q297" s="294"/>
      <c r="R297" s="294"/>
      <c r="S297" s="294"/>
      <c r="T297" s="294"/>
      <c r="U297" s="294"/>
      <c r="V297" s="294"/>
      <c r="W297" s="294"/>
      <c r="X297" s="294"/>
      <c r="Y297" s="294"/>
      <c r="Z297" s="294"/>
      <c r="AA297" s="294"/>
      <c r="AB297" s="294"/>
      <c r="AC297" s="294"/>
      <c r="AD297" s="294"/>
      <c r="AE297" s="294"/>
      <c r="AF297" s="294"/>
    </row>
    <row r="298" spans="2:32" s="79" customFormat="1">
      <c r="B298" s="265"/>
      <c r="C298" s="265"/>
      <c r="D298" s="265"/>
      <c r="E298" s="372" t="s">
        <v>1342</v>
      </c>
      <c r="F298" s="373"/>
      <c r="G298" s="325"/>
      <c r="H298" s="372" t="s">
        <v>1343</v>
      </c>
      <c r="I298" s="325"/>
      <c r="J298" s="325"/>
      <c r="K298" s="325"/>
      <c r="L298" s="325"/>
      <c r="M298" s="373"/>
      <c r="N298" s="294"/>
      <c r="O298" s="294"/>
      <c r="P298" s="294"/>
      <c r="Q298" s="294"/>
      <c r="R298" s="294"/>
      <c r="S298" s="294"/>
      <c r="T298" s="294"/>
      <c r="U298" s="294"/>
      <c r="V298" s="294"/>
      <c r="W298" s="294"/>
      <c r="X298" s="294"/>
      <c r="Y298" s="294"/>
      <c r="Z298" s="294"/>
      <c r="AA298" s="294"/>
      <c r="AB298" s="294"/>
      <c r="AC298" s="294"/>
      <c r="AD298" s="294"/>
      <c r="AE298" s="294"/>
      <c r="AF298" s="294"/>
    </row>
    <row r="299" spans="2:32" s="79" customFormat="1">
      <c r="B299" s="265"/>
      <c r="C299" s="265"/>
      <c r="D299" s="265"/>
      <c r="E299" s="372" t="s">
        <v>1334</v>
      </c>
      <c r="F299" s="373"/>
      <c r="G299" s="325"/>
      <c r="H299" s="372" t="s">
        <v>1333</v>
      </c>
      <c r="I299" s="325"/>
      <c r="J299" s="325"/>
      <c r="K299" s="325"/>
      <c r="L299" s="325"/>
      <c r="M299" s="373"/>
      <c r="N299" s="294"/>
      <c r="O299" s="294"/>
      <c r="P299" s="294"/>
      <c r="Q299" s="294"/>
      <c r="R299" s="294"/>
      <c r="S299" s="294"/>
      <c r="T299" s="294"/>
      <c r="U299" s="294"/>
      <c r="V299" s="294"/>
      <c r="W299" s="294"/>
      <c r="X299" s="294"/>
      <c r="Y299" s="294"/>
      <c r="Z299" s="294"/>
      <c r="AA299" s="294"/>
      <c r="AB299" s="294"/>
      <c r="AC299" s="294"/>
      <c r="AD299" s="294"/>
      <c r="AE299" s="294"/>
      <c r="AF299" s="294"/>
    </row>
    <row r="300" spans="2:32" s="79" customFormat="1">
      <c r="B300" s="265"/>
      <c r="C300" s="265"/>
      <c r="D300" s="265"/>
      <c r="E300" s="372" t="s">
        <v>559</v>
      </c>
      <c r="F300" s="373"/>
      <c r="G300" s="325"/>
      <c r="H300" s="372" t="s">
        <v>1325</v>
      </c>
      <c r="I300" s="325" t="s">
        <v>1326</v>
      </c>
      <c r="J300" s="325"/>
      <c r="K300" s="325"/>
      <c r="L300" s="325"/>
      <c r="M300" s="373"/>
      <c r="N300" s="294"/>
      <c r="O300" s="294"/>
      <c r="P300" s="294"/>
      <c r="Q300" s="294"/>
      <c r="R300" s="294"/>
      <c r="S300" s="294"/>
      <c r="T300" s="294"/>
      <c r="U300" s="294"/>
      <c r="V300" s="294"/>
      <c r="W300" s="294"/>
      <c r="X300" s="294"/>
      <c r="Y300" s="294"/>
      <c r="Z300" s="294"/>
      <c r="AA300" s="294"/>
      <c r="AB300" s="294"/>
      <c r="AC300" s="294"/>
      <c r="AD300" s="294"/>
      <c r="AE300" s="294"/>
      <c r="AF300" s="294"/>
    </row>
    <row r="301" spans="2:32" s="79" customFormat="1">
      <c r="B301" s="265"/>
      <c r="C301" s="265"/>
      <c r="D301" s="265"/>
      <c r="E301" s="372" t="s">
        <v>1326</v>
      </c>
      <c r="F301" s="373"/>
      <c r="G301" s="325"/>
      <c r="H301" s="372" t="s">
        <v>1325</v>
      </c>
      <c r="I301" s="325" t="s">
        <v>559</v>
      </c>
      <c r="J301" s="325"/>
      <c r="K301" s="325"/>
      <c r="L301" s="325"/>
      <c r="M301" s="373"/>
      <c r="N301" s="294"/>
      <c r="O301" s="294"/>
      <c r="P301" s="294"/>
      <c r="Q301" s="294"/>
      <c r="R301" s="294"/>
      <c r="S301" s="294"/>
      <c r="T301" s="294"/>
      <c r="U301" s="294"/>
      <c r="V301" s="294"/>
      <c r="W301" s="294"/>
      <c r="X301" s="294"/>
      <c r="Y301" s="294"/>
      <c r="Z301" s="294"/>
      <c r="AA301" s="294"/>
      <c r="AB301" s="294"/>
      <c r="AC301" s="294"/>
      <c r="AD301" s="294"/>
      <c r="AE301" s="294"/>
      <c r="AF301" s="294"/>
    </row>
    <row r="302" spans="2:32">
      <c r="D302" s="93" t="s">
        <v>24</v>
      </c>
      <c r="E302" s="374" t="s">
        <v>561</v>
      </c>
      <c r="F302" s="375"/>
      <c r="G302" s="291"/>
      <c r="H302" s="374" t="s">
        <v>1344</v>
      </c>
      <c r="I302" s="291"/>
      <c r="J302" s="291"/>
      <c r="K302" s="291"/>
      <c r="L302" s="291"/>
      <c r="M302" s="375"/>
    </row>
    <row r="303" spans="2:32" s="79" customFormat="1">
      <c r="B303" s="265"/>
      <c r="C303" s="265"/>
      <c r="D303" s="265"/>
      <c r="E303" s="379" t="s">
        <v>1345</v>
      </c>
      <c r="F303" s="380"/>
      <c r="G303" s="325"/>
      <c r="H303" s="379" t="s">
        <v>1346</v>
      </c>
      <c r="I303" s="390"/>
      <c r="J303" s="390"/>
      <c r="K303" s="390"/>
      <c r="L303" s="390"/>
      <c r="M303" s="380"/>
      <c r="N303" s="294"/>
      <c r="O303" s="294"/>
      <c r="P303" s="294"/>
      <c r="Q303" s="294"/>
      <c r="R303" s="294"/>
      <c r="S303" s="294"/>
      <c r="T303" s="294"/>
      <c r="U303" s="294"/>
      <c r="V303" s="294"/>
      <c r="W303" s="294"/>
      <c r="X303" s="294"/>
      <c r="Y303" s="294"/>
      <c r="Z303" s="294"/>
      <c r="AA303" s="294"/>
      <c r="AB303" s="294"/>
      <c r="AC303" s="294"/>
      <c r="AD303" s="294"/>
      <c r="AE303" s="294"/>
      <c r="AF303" s="294"/>
    </row>
    <row r="304" spans="2:32">
      <c r="B304" s="262" t="s">
        <v>12</v>
      </c>
      <c r="C304" s="262" t="s">
        <v>12</v>
      </c>
      <c r="D304" s="262" t="s">
        <v>12</v>
      </c>
    </row>
    <row r="305" spans="2:32">
      <c r="B305" s="262" t="s">
        <v>12</v>
      </c>
      <c r="C305" s="262" t="s">
        <v>12</v>
      </c>
      <c r="D305" s="262" t="s">
        <v>12</v>
      </c>
    </row>
    <row r="306" spans="2:32" ht="16">
      <c r="B306" s="262" t="s">
        <v>12</v>
      </c>
      <c r="C306" s="262" t="s">
        <v>12</v>
      </c>
      <c r="D306" s="262" t="s">
        <v>12</v>
      </c>
      <c r="E306" s="381" t="s">
        <v>563</v>
      </c>
      <c r="F306" s="381"/>
      <c r="G306" s="381"/>
      <c r="H306" s="264"/>
      <c r="I306" s="264"/>
      <c r="J306" s="264"/>
      <c r="K306" s="264"/>
      <c r="L306" s="264"/>
      <c r="M306" s="264"/>
    </row>
    <row r="307" spans="2:32" s="79" customFormat="1">
      <c r="B307" s="265"/>
      <c r="C307" s="265"/>
      <c r="D307" s="265"/>
      <c r="E307" s="404" t="s">
        <v>1347</v>
      </c>
      <c r="F307" s="405"/>
      <c r="G307" s="268"/>
      <c r="H307" s="404" t="s">
        <v>1348</v>
      </c>
      <c r="I307" s="410" t="s">
        <v>736</v>
      </c>
      <c r="J307" s="410"/>
      <c r="K307" s="410"/>
      <c r="L307" s="410"/>
      <c r="M307" s="405"/>
      <c r="N307" s="294"/>
      <c r="O307" s="294"/>
      <c r="P307" s="294"/>
      <c r="Q307" s="294"/>
      <c r="R307" s="294"/>
      <c r="S307" s="294"/>
      <c r="T307" s="294"/>
      <c r="U307" s="294"/>
      <c r="V307" s="294"/>
      <c r="W307" s="294"/>
      <c r="X307" s="294"/>
      <c r="Y307" s="294"/>
      <c r="Z307" s="294"/>
      <c r="AA307" s="294"/>
      <c r="AB307" s="294"/>
      <c r="AC307" s="294"/>
      <c r="AD307" s="294"/>
      <c r="AE307" s="294"/>
      <c r="AF307" s="294"/>
    </row>
    <row r="308" spans="2:32" ht="8" customHeight="1">
      <c r="B308" s="262" t="s">
        <v>12</v>
      </c>
      <c r="C308" s="262" t="s">
        <v>12</v>
      </c>
      <c r="D308" s="262" t="s">
        <v>12</v>
      </c>
      <c r="E308" s="264"/>
      <c r="F308" s="264"/>
      <c r="G308" s="264"/>
      <c r="H308" s="264"/>
      <c r="I308" s="264"/>
      <c r="J308" s="264"/>
      <c r="K308" s="264"/>
      <c r="L308" s="264"/>
      <c r="M308" s="264"/>
    </row>
    <row r="309" spans="2:32" ht="16">
      <c r="B309" s="262" t="s">
        <v>12</v>
      </c>
      <c r="C309" s="262" t="s">
        <v>12</v>
      </c>
      <c r="D309" s="262" t="s">
        <v>12</v>
      </c>
      <c r="E309" s="275" t="s">
        <v>564</v>
      </c>
      <c r="F309" s="275"/>
      <c r="G309" s="275"/>
      <c r="H309" s="264"/>
      <c r="I309" s="264"/>
      <c r="J309" s="264"/>
      <c r="K309" s="264"/>
      <c r="L309" s="264"/>
      <c r="M309" s="264"/>
    </row>
    <row r="310" spans="2:32" s="79" customFormat="1">
      <c r="B310" s="265"/>
      <c r="C310" s="265"/>
      <c r="D310" s="265"/>
      <c r="E310" s="276" t="s">
        <v>1349</v>
      </c>
      <c r="F310" s="277" t="s">
        <v>1350</v>
      </c>
      <c r="G310" s="268"/>
      <c r="H310" s="276" t="s">
        <v>1351</v>
      </c>
      <c r="I310" s="296"/>
      <c r="J310" s="296"/>
      <c r="K310" s="296"/>
      <c r="L310" s="296"/>
      <c r="M310" s="277"/>
      <c r="N310" s="294"/>
      <c r="O310" s="294"/>
      <c r="P310" s="294"/>
      <c r="Q310" s="294"/>
      <c r="R310" s="294"/>
      <c r="S310" s="294"/>
      <c r="T310" s="294"/>
      <c r="U310" s="294"/>
      <c r="V310" s="294"/>
      <c r="W310" s="294"/>
      <c r="X310" s="294"/>
      <c r="Y310" s="294"/>
      <c r="Z310" s="294"/>
      <c r="AA310" s="294"/>
      <c r="AB310" s="294"/>
      <c r="AC310" s="294"/>
      <c r="AD310" s="294"/>
      <c r="AE310" s="294"/>
      <c r="AF310" s="294"/>
    </row>
    <row r="311" spans="2:32" s="79" customFormat="1">
      <c r="B311" s="265"/>
      <c r="C311" s="265"/>
      <c r="D311" s="265"/>
      <c r="E311" s="280" t="s">
        <v>1352</v>
      </c>
      <c r="F311" s="281"/>
      <c r="G311" s="268"/>
      <c r="H311" s="280" t="s">
        <v>1353</v>
      </c>
      <c r="I311" s="297"/>
      <c r="J311" s="297"/>
      <c r="K311" s="297"/>
      <c r="L311" s="297"/>
      <c r="M311" s="281"/>
      <c r="N311" s="294"/>
      <c r="O311" s="294"/>
      <c r="P311" s="294"/>
      <c r="Q311" s="294"/>
      <c r="R311" s="294"/>
      <c r="S311" s="294"/>
      <c r="T311" s="294"/>
      <c r="U311" s="294"/>
      <c r="V311" s="294"/>
      <c r="W311" s="294"/>
      <c r="X311" s="294"/>
      <c r="Y311" s="294"/>
      <c r="Z311" s="294"/>
      <c r="AA311" s="294"/>
      <c r="AB311" s="294"/>
      <c r="AC311" s="294"/>
      <c r="AD311" s="294"/>
      <c r="AE311" s="294"/>
      <c r="AF311" s="294"/>
    </row>
    <row r="312" spans="2:32" ht="8" customHeight="1">
      <c r="B312" s="262" t="s">
        <v>12</v>
      </c>
      <c r="C312" s="262" t="s">
        <v>12</v>
      </c>
      <c r="D312" s="262" t="s">
        <v>12</v>
      </c>
      <c r="E312" s="264"/>
      <c r="F312" s="264"/>
      <c r="G312" s="264"/>
      <c r="H312" s="264"/>
      <c r="I312" s="264"/>
      <c r="J312" s="264"/>
      <c r="K312" s="264"/>
      <c r="L312" s="264"/>
      <c r="M312" s="264"/>
    </row>
    <row r="313" spans="2:32" ht="16">
      <c r="B313" s="262" t="s">
        <v>12</v>
      </c>
      <c r="C313" s="262" t="s">
        <v>12</v>
      </c>
      <c r="D313" s="262" t="s">
        <v>12</v>
      </c>
      <c r="E313" s="282" t="s">
        <v>568</v>
      </c>
      <c r="F313" s="282"/>
      <c r="G313" s="282"/>
      <c r="H313" s="264"/>
      <c r="I313" s="264"/>
      <c r="J313" s="264"/>
      <c r="K313" s="264"/>
      <c r="L313" s="264"/>
      <c r="M313" s="264"/>
    </row>
    <row r="314" spans="2:32">
      <c r="D314" s="93" t="s">
        <v>24</v>
      </c>
      <c r="E314" s="406" t="s">
        <v>569</v>
      </c>
      <c r="F314" s="407"/>
      <c r="G314" s="264"/>
      <c r="H314" s="406" t="s">
        <v>1354</v>
      </c>
      <c r="I314" s="411"/>
      <c r="J314" s="411"/>
      <c r="K314" s="411"/>
      <c r="L314" s="411"/>
      <c r="M314" s="407"/>
    </row>
    <row r="315" spans="2:32" ht="8" customHeight="1">
      <c r="B315" s="262" t="s">
        <v>12</v>
      </c>
      <c r="C315" s="262" t="s">
        <v>12</v>
      </c>
      <c r="D315" s="262" t="s">
        <v>12</v>
      </c>
      <c r="E315" s="264"/>
      <c r="F315" s="264"/>
      <c r="G315" s="264"/>
      <c r="H315" s="264"/>
      <c r="I315" s="264"/>
      <c r="J315" s="264"/>
      <c r="K315" s="264"/>
      <c r="L315" s="264"/>
      <c r="M315" s="264"/>
    </row>
    <row r="316" spans="2:32" ht="16">
      <c r="B316" s="262" t="s">
        <v>12</v>
      </c>
      <c r="C316" s="262" t="s">
        <v>12</v>
      </c>
      <c r="D316" s="262" t="s">
        <v>12</v>
      </c>
      <c r="E316" s="300" t="s">
        <v>570</v>
      </c>
      <c r="F316" s="300"/>
      <c r="G316" s="300"/>
      <c r="H316" s="264"/>
      <c r="I316" s="264"/>
      <c r="J316" s="264"/>
      <c r="K316" s="264"/>
      <c r="L316" s="264"/>
      <c r="M316" s="264"/>
    </row>
    <row r="317" spans="2:32" ht="8" customHeight="1">
      <c r="B317" s="262" t="s">
        <v>12</v>
      </c>
      <c r="C317" s="262" t="s">
        <v>12</v>
      </c>
      <c r="D317" s="262" t="s">
        <v>12</v>
      </c>
      <c r="E317" s="264"/>
      <c r="F317" s="264"/>
      <c r="G317" s="264"/>
      <c r="H317" s="264"/>
      <c r="I317" s="264"/>
      <c r="J317" s="264"/>
      <c r="K317" s="264"/>
      <c r="L317" s="264"/>
      <c r="M317" s="264"/>
    </row>
    <row r="318" spans="2:32" ht="16">
      <c r="B318" s="262" t="s">
        <v>12</v>
      </c>
      <c r="C318" s="262" t="s">
        <v>12</v>
      </c>
      <c r="D318" s="262" t="s">
        <v>12</v>
      </c>
      <c r="E318" s="309" t="s">
        <v>572</v>
      </c>
      <c r="F318" s="309"/>
      <c r="G318" s="309"/>
      <c r="H318" s="264"/>
      <c r="I318" s="264"/>
      <c r="J318" s="264"/>
      <c r="K318" s="264"/>
      <c r="L318" s="264"/>
      <c r="M318" s="264"/>
    </row>
    <row r="319" spans="2:32" s="79" customFormat="1">
      <c r="B319" s="265"/>
      <c r="C319" s="265"/>
      <c r="D319" s="265"/>
      <c r="E319" s="395" t="s">
        <v>1083</v>
      </c>
      <c r="F319" s="396"/>
      <c r="G319" s="268"/>
      <c r="H319" s="395" t="s">
        <v>1082</v>
      </c>
      <c r="I319" s="399"/>
      <c r="J319" s="399"/>
      <c r="K319" s="399"/>
      <c r="L319" s="399"/>
      <c r="M319" s="396"/>
      <c r="N319" s="294"/>
      <c r="O319" s="294"/>
      <c r="P319" s="294"/>
      <c r="Q319" s="294"/>
      <c r="R319" s="294"/>
      <c r="S319" s="294"/>
      <c r="T319" s="294"/>
      <c r="U319" s="294"/>
      <c r="V319" s="294"/>
      <c r="W319" s="294"/>
      <c r="X319" s="294"/>
      <c r="Y319" s="294"/>
      <c r="Z319" s="294"/>
      <c r="AA319" s="294"/>
      <c r="AB319" s="294"/>
      <c r="AC319" s="294"/>
      <c r="AD319" s="294"/>
      <c r="AE319" s="294"/>
      <c r="AF319" s="294"/>
    </row>
    <row r="320" spans="2:32" s="79" customFormat="1">
      <c r="B320" s="265"/>
      <c r="C320" s="265"/>
      <c r="D320" s="265"/>
      <c r="E320" s="314" t="s">
        <v>1355</v>
      </c>
      <c r="F320" s="315"/>
      <c r="G320" s="268"/>
      <c r="H320" s="314" t="s">
        <v>1356</v>
      </c>
      <c r="I320" s="268"/>
      <c r="J320" s="268"/>
      <c r="K320" s="268"/>
      <c r="L320" s="268"/>
      <c r="M320" s="315"/>
      <c r="N320" s="294"/>
      <c r="O320" s="294"/>
      <c r="P320" s="294"/>
      <c r="Q320" s="294"/>
      <c r="R320" s="294"/>
      <c r="S320" s="294"/>
      <c r="T320" s="294"/>
      <c r="U320" s="294"/>
      <c r="V320" s="294"/>
      <c r="W320" s="294"/>
      <c r="X320" s="294"/>
      <c r="Y320" s="294"/>
      <c r="Z320" s="294"/>
      <c r="AA320" s="294"/>
      <c r="AB320" s="294"/>
      <c r="AC320" s="294"/>
      <c r="AD320" s="294"/>
      <c r="AE320" s="294"/>
      <c r="AF320" s="294"/>
    </row>
    <row r="321" spans="2:32" s="79" customFormat="1">
      <c r="B321" s="265"/>
      <c r="C321" s="265"/>
      <c r="D321" s="265"/>
      <c r="E321" s="320" t="s">
        <v>1357</v>
      </c>
      <c r="F321" s="321"/>
      <c r="G321" s="268"/>
      <c r="H321" s="320" t="s">
        <v>821</v>
      </c>
      <c r="I321" s="347"/>
      <c r="J321" s="347"/>
      <c r="K321" s="347"/>
      <c r="L321" s="347"/>
      <c r="M321" s="321"/>
      <c r="N321" s="294"/>
      <c r="O321" s="294"/>
      <c r="P321" s="294"/>
      <c r="Q321" s="294"/>
      <c r="R321" s="294"/>
      <c r="S321" s="294"/>
      <c r="T321" s="294"/>
      <c r="U321" s="294"/>
      <c r="V321" s="294"/>
      <c r="W321" s="294"/>
      <c r="X321" s="294"/>
      <c r="Y321" s="294"/>
      <c r="Z321" s="294"/>
      <c r="AA321" s="294"/>
      <c r="AB321" s="294"/>
      <c r="AC321" s="294"/>
      <c r="AD321" s="294"/>
      <c r="AE321" s="294"/>
      <c r="AF321" s="294"/>
    </row>
    <row r="322" spans="2:32">
      <c r="B322" s="262" t="s">
        <v>12</v>
      </c>
      <c r="C322" s="262" t="s">
        <v>12</v>
      </c>
      <c r="D322" s="262" t="s">
        <v>12</v>
      </c>
    </row>
    <row r="323" spans="2:32">
      <c r="B323" s="262" t="s">
        <v>12</v>
      </c>
      <c r="C323" s="262" t="s">
        <v>12</v>
      </c>
      <c r="D323" s="262" t="s">
        <v>12</v>
      </c>
    </row>
    <row r="324" spans="2:32" ht="16">
      <c r="B324" s="262" t="s">
        <v>12</v>
      </c>
      <c r="C324" s="262" t="s">
        <v>12</v>
      </c>
      <c r="D324" s="262" t="s">
        <v>12</v>
      </c>
      <c r="E324" s="412" t="s">
        <v>573</v>
      </c>
      <c r="F324" s="412"/>
      <c r="G324" s="412"/>
      <c r="H324" s="291"/>
      <c r="I324" s="291"/>
      <c r="J324" s="291"/>
      <c r="K324" s="291"/>
      <c r="L324" s="291"/>
      <c r="M324" s="291"/>
    </row>
    <row r="325" spans="2:32" s="79" customFormat="1">
      <c r="B325" s="265"/>
      <c r="C325" s="265"/>
      <c r="D325" s="265"/>
      <c r="E325" s="323" t="s">
        <v>1208</v>
      </c>
      <c r="F325" s="324"/>
      <c r="G325" s="325"/>
      <c r="H325" s="323" t="s">
        <v>1207</v>
      </c>
      <c r="I325" s="348" t="s">
        <v>1209</v>
      </c>
      <c r="J325" s="348" t="s">
        <v>1210</v>
      </c>
      <c r="K325" s="348"/>
      <c r="L325" s="348"/>
      <c r="M325" s="324"/>
      <c r="N325" s="294"/>
      <c r="O325" s="294"/>
      <c r="P325" s="294"/>
      <c r="Q325" s="294"/>
      <c r="R325" s="294"/>
      <c r="S325" s="294"/>
      <c r="T325" s="294"/>
      <c r="U325" s="294"/>
      <c r="V325" s="294"/>
      <c r="W325" s="294"/>
      <c r="X325" s="294"/>
      <c r="Y325" s="294"/>
      <c r="Z325" s="294"/>
      <c r="AA325" s="294"/>
      <c r="AB325" s="294"/>
      <c r="AC325" s="294"/>
      <c r="AD325" s="294"/>
      <c r="AE325" s="294"/>
      <c r="AF325" s="294"/>
    </row>
    <row r="326" spans="2:32" s="79" customFormat="1">
      <c r="B326" s="265"/>
      <c r="C326" s="265"/>
      <c r="D326" s="265"/>
      <c r="E326" s="326" t="s">
        <v>1358</v>
      </c>
      <c r="F326" s="327"/>
      <c r="G326" s="325"/>
      <c r="H326" s="326" t="s">
        <v>1359</v>
      </c>
      <c r="I326" s="325"/>
      <c r="J326" s="325"/>
      <c r="K326" s="325"/>
      <c r="L326" s="325"/>
      <c r="M326" s="327"/>
      <c r="N326" s="294"/>
      <c r="O326" s="294"/>
      <c r="P326" s="294"/>
      <c r="Q326" s="294"/>
      <c r="R326" s="294"/>
      <c r="S326" s="294"/>
      <c r="T326" s="294"/>
      <c r="U326" s="294"/>
      <c r="V326" s="294"/>
      <c r="W326" s="294"/>
      <c r="X326" s="294"/>
      <c r="Y326" s="294"/>
      <c r="Z326" s="294"/>
      <c r="AA326" s="294"/>
      <c r="AB326" s="294"/>
      <c r="AC326" s="294"/>
      <c r="AD326" s="294"/>
      <c r="AE326" s="294"/>
      <c r="AF326" s="294"/>
    </row>
    <row r="327" spans="2:32" s="79" customFormat="1">
      <c r="B327" s="265"/>
      <c r="C327" s="265"/>
      <c r="D327" s="265"/>
      <c r="E327" s="326" t="s">
        <v>1360</v>
      </c>
      <c r="F327" s="327"/>
      <c r="G327" s="325"/>
      <c r="H327" s="326" t="s">
        <v>1361</v>
      </c>
      <c r="I327" s="325"/>
      <c r="J327" s="325"/>
      <c r="K327" s="325"/>
      <c r="L327" s="325"/>
      <c r="M327" s="327"/>
      <c r="N327" s="294"/>
      <c r="O327" s="294"/>
      <c r="P327" s="294"/>
      <c r="Q327" s="294"/>
      <c r="R327" s="294"/>
      <c r="S327" s="294"/>
      <c r="T327" s="294"/>
      <c r="U327" s="294"/>
      <c r="V327" s="294"/>
      <c r="W327" s="294"/>
      <c r="X327" s="294"/>
      <c r="Y327" s="294"/>
      <c r="Z327" s="294"/>
      <c r="AA327" s="294"/>
      <c r="AB327" s="294"/>
      <c r="AC327" s="294"/>
      <c r="AD327" s="294"/>
      <c r="AE327" s="294"/>
      <c r="AF327" s="294"/>
    </row>
    <row r="328" spans="2:32" s="79" customFormat="1">
      <c r="B328" s="265"/>
      <c r="C328" s="265"/>
      <c r="D328" s="265"/>
      <c r="E328" s="326" t="s">
        <v>1028</v>
      </c>
      <c r="F328" s="327"/>
      <c r="G328" s="325"/>
      <c r="H328" s="326" t="s">
        <v>1362</v>
      </c>
      <c r="I328" s="325" t="s">
        <v>1026</v>
      </c>
      <c r="J328" s="325"/>
      <c r="K328" s="325"/>
      <c r="L328" s="325"/>
      <c r="M328" s="327"/>
      <c r="N328" s="294"/>
      <c r="O328" s="294"/>
      <c r="P328" s="294"/>
      <c r="Q328" s="294"/>
      <c r="R328" s="294"/>
      <c r="S328" s="294"/>
      <c r="T328" s="294"/>
      <c r="U328" s="294"/>
      <c r="V328" s="294"/>
      <c r="W328" s="294"/>
      <c r="X328" s="294"/>
      <c r="Y328" s="294"/>
      <c r="Z328" s="294"/>
      <c r="AA328" s="294"/>
      <c r="AB328" s="294"/>
      <c r="AC328" s="294"/>
      <c r="AD328" s="294"/>
      <c r="AE328" s="294"/>
      <c r="AF328" s="294"/>
    </row>
    <row r="329" spans="2:32" s="79" customFormat="1">
      <c r="B329" s="265"/>
      <c r="C329" s="265"/>
      <c r="D329" s="265"/>
      <c r="E329" s="326" t="s">
        <v>1363</v>
      </c>
      <c r="F329" s="327" t="s">
        <v>1364</v>
      </c>
      <c r="G329" s="325"/>
      <c r="H329" s="326" t="s">
        <v>1365</v>
      </c>
      <c r="I329" s="325"/>
      <c r="J329" s="325"/>
      <c r="K329" s="325"/>
      <c r="L329" s="325"/>
      <c r="M329" s="327"/>
      <c r="N329" s="294"/>
      <c r="O329" s="294"/>
      <c r="P329" s="294"/>
      <c r="Q329" s="294"/>
      <c r="R329" s="294"/>
      <c r="S329" s="294"/>
      <c r="T329" s="294"/>
      <c r="U329" s="294"/>
      <c r="V329" s="294"/>
      <c r="W329" s="294"/>
      <c r="X329" s="294"/>
      <c r="Y329" s="294"/>
      <c r="Z329" s="294"/>
      <c r="AA329" s="294"/>
      <c r="AB329" s="294"/>
      <c r="AC329" s="294"/>
      <c r="AD329" s="294"/>
      <c r="AE329" s="294"/>
      <c r="AF329" s="294"/>
    </row>
    <row r="330" spans="2:32" s="79" customFormat="1">
      <c r="B330" s="265"/>
      <c r="C330" s="265"/>
      <c r="D330" s="265"/>
      <c r="E330" s="326" t="s">
        <v>949</v>
      </c>
      <c r="F330" s="327"/>
      <c r="G330" s="325"/>
      <c r="H330" s="326" t="s">
        <v>309</v>
      </c>
      <c r="I330" s="325" t="s">
        <v>948</v>
      </c>
      <c r="J330" s="325"/>
      <c r="K330" s="325"/>
      <c r="L330" s="325"/>
      <c r="M330" s="327"/>
      <c r="N330" s="294"/>
      <c r="O330" s="294"/>
      <c r="P330" s="294"/>
      <c r="Q330" s="294"/>
      <c r="R330" s="294"/>
      <c r="S330" s="294"/>
      <c r="T330" s="294"/>
      <c r="U330" s="294"/>
      <c r="V330" s="294"/>
      <c r="W330" s="294"/>
      <c r="X330" s="294"/>
      <c r="Y330" s="294"/>
      <c r="Z330" s="294"/>
      <c r="AA330" s="294"/>
      <c r="AB330" s="294"/>
      <c r="AC330" s="294"/>
      <c r="AD330" s="294"/>
      <c r="AE330" s="294"/>
      <c r="AF330" s="294"/>
    </row>
    <row r="331" spans="2:32" s="79" customFormat="1">
      <c r="B331" s="265"/>
      <c r="C331" s="265"/>
      <c r="D331" s="265"/>
      <c r="E331" s="326" t="s">
        <v>1366</v>
      </c>
      <c r="F331" s="327" t="s">
        <v>1367</v>
      </c>
      <c r="G331" s="325"/>
      <c r="H331" s="326" t="s">
        <v>1368</v>
      </c>
      <c r="I331" s="325"/>
      <c r="J331" s="325"/>
      <c r="K331" s="325"/>
      <c r="L331" s="325"/>
      <c r="M331" s="327"/>
      <c r="N331" s="294"/>
      <c r="O331" s="294"/>
      <c r="P331" s="294"/>
      <c r="Q331" s="294"/>
      <c r="R331" s="294"/>
      <c r="S331" s="294"/>
      <c r="T331" s="294"/>
      <c r="U331" s="294"/>
      <c r="V331" s="294"/>
      <c r="W331" s="294"/>
      <c r="X331" s="294"/>
      <c r="Y331" s="294"/>
      <c r="Z331" s="294"/>
      <c r="AA331" s="294"/>
      <c r="AB331" s="294"/>
      <c r="AC331" s="294"/>
      <c r="AD331" s="294"/>
      <c r="AE331" s="294"/>
      <c r="AF331" s="294"/>
    </row>
    <row r="332" spans="2:32" s="79" customFormat="1">
      <c r="B332" s="265"/>
      <c r="C332" s="265"/>
      <c r="D332" s="265"/>
      <c r="E332" s="326" t="s">
        <v>1369</v>
      </c>
      <c r="F332" s="327" t="s">
        <v>1370</v>
      </c>
      <c r="G332" s="325"/>
      <c r="H332" s="326" t="s">
        <v>1371</v>
      </c>
      <c r="I332" s="325"/>
      <c r="J332" s="325"/>
      <c r="K332" s="325"/>
      <c r="L332" s="325"/>
      <c r="M332" s="327"/>
      <c r="N332" s="294"/>
      <c r="O332" s="294"/>
      <c r="P332" s="294"/>
      <c r="Q332" s="294"/>
      <c r="R332" s="294"/>
      <c r="S332" s="294"/>
      <c r="T332" s="294"/>
      <c r="U332" s="294"/>
      <c r="V332" s="294"/>
      <c r="W332" s="294"/>
      <c r="X332" s="294"/>
      <c r="Y332" s="294"/>
      <c r="Z332" s="294"/>
      <c r="AA332" s="294"/>
      <c r="AB332" s="294"/>
      <c r="AC332" s="294"/>
      <c r="AD332" s="294"/>
      <c r="AE332" s="294"/>
      <c r="AF332" s="294"/>
    </row>
    <row r="333" spans="2:32">
      <c r="D333" s="93" t="s">
        <v>24</v>
      </c>
      <c r="E333" s="328" t="s">
        <v>1372</v>
      </c>
      <c r="F333" s="329" t="s">
        <v>578</v>
      </c>
      <c r="G333" s="291"/>
      <c r="H333" s="328" t="s">
        <v>1373</v>
      </c>
      <c r="I333" s="291"/>
      <c r="J333" s="291"/>
      <c r="K333" s="291"/>
      <c r="L333" s="291"/>
      <c r="M333" s="329"/>
    </row>
    <row r="334" spans="2:32" s="79" customFormat="1">
      <c r="B334" s="265"/>
      <c r="C334" s="265"/>
      <c r="D334" s="265"/>
      <c r="E334" s="326" t="s">
        <v>1374</v>
      </c>
      <c r="F334" s="327" t="s">
        <v>581</v>
      </c>
      <c r="G334" s="325"/>
      <c r="H334" s="326" t="s">
        <v>1316</v>
      </c>
      <c r="I334" s="325" t="s">
        <v>716</v>
      </c>
      <c r="J334" s="325"/>
      <c r="K334" s="325"/>
      <c r="L334" s="325"/>
      <c r="M334" s="327"/>
      <c r="N334" s="294"/>
      <c r="O334" s="294"/>
      <c r="P334" s="294"/>
      <c r="Q334" s="294"/>
      <c r="R334" s="294"/>
      <c r="S334" s="294"/>
      <c r="T334" s="294"/>
      <c r="U334" s="294"/>
      <c r="V334" s="294"/>
      <c r="W334" s="294"/>
      <c r="X334" s="294"/>
      <c r="Y334" s="294"/>
      <c r="Z334" s="294"/>
      <c r="AA334" s="294"/>
      <c r="AB334" s="294"/>
      <c r="AC334" s="294"/>
      <c r="AD334" s="294"/>
      <c r="AE334" s="294"/>
      <c r="AF334" s="294"/>
    </row>
    <row r="335" spans="2:32" s="79" customFormat="1">
      <c r="B335" s="265"/>
      <c r="C335" s="265"/>
      <c r="D335" s="265"/>
      <c r="E335" s="326" t="s">
        <v>1375</v>
      </c>
      <c r="F335" s="327" t="s">
        <v>1376</v>
      </c>
      <c r="G335" s="325"/>
      <c r="H335" s="326" t="s">
        <v>1377</v>
      </c>
      <c r="I335" s="325"/>
      <c r="J335" s="325"/>
      <c r="K335" s="325"/>
      <c r="L335" s="325"/>
      <c r="M335" s="327"/>
      <c r="N335" s="294"/>
      <c r="O335" s="294"/>
      <c r="P335" s="294"/>
      <c r="Q335" s="294"/>
      <c r="R335" s="294"/>
      <c r="S335" s="294"/>
      <c r="T335" s="294"/>
      <c r="U335" s="294"/>
      <c r="V335" s="294"/>
      <c r="W335" s="294"/>
      <c r="X335" s="294"/>
      <c r="Y335" s="294"/>
      <c r="Z335" s="294"/>
      <c r="AA335" s="294"/>
      <c r="AB335" s="294"/>
      <c r="AC335" s="294"/>
      <c r="AD335" s="294"/>
      <c r="AE335" s="294"/>
      <c r="AF335" s="294"/>
    </row>
    <row r="336" spans="2:32" s="79" customFormat="1">
      <c r="B336" s="265"/>
      <c r="C336" s="265"/>
      <c r="D336" s="265"/>
      <c r="E336" s="326" t="s">
        <v>1378</v>
      </c>
      <c r="F336" s="327" t="s">
        <v>1379</v>
      </c>
      <c r="G336" s="325"/>
      <c r="H336" s="326" t="s">
        <v>1380</v>
      </c>
      <c r="I336" s="325"/>
      <c r="J336" s="325"/>
      <c r="K336" s="325"/>
      <c r="L336" s="325"/>
      <c r="M336" s="327"/>
      <c r="N336" s="294"/>
      <c r="O336" s="294"/>
      <c r="P336" s="294"/>
      <c r="Q336" s="294"/>
      <c r="R336" s="294"/>
      <c r="S336" s="294"/>
      <c r="T336" s="294"/>
      <c r="U336" s="294"/>
      <c r="V336" s="294"/>
      <c r="W336" s="294"/>
      <c r="X336" s="294"/>
      <c r="Y336" s="294"/>
      <c r="Z336" s="294"/>
      <c r="AA336" s="294"/>
      <c r="AB336" s="294"/>
      <c r="AC336" s="294"/>
      <c r="AD336" s="294"/>
      <c r="AE336" s="294"/>
      <c r="AF336" s="294"/>
    </row>
    <row r="337" spans="2:32" s="79" customFormat="1">
      <c r="B337" s="265"/>
      <c r="C337" s="265"/>
      <c r="D337" s="265"/>
      <c r="E337" s="326" t="s">
        <v>1381</v>
      </c>
      <c r="F337" s="327" t="s">
        <v>1381</v>
      </c>
      <c r="G337" s="325"/>
      <c r="H337" s="326" t="s">
        <v>642</v>
      </c>
      <c r="I337" s="325"/>
      <c r="J337" s="325"/>
      <c r="K337" s="325"/>
      <c r="L337" s="325"/>
      <c r="M337" s="327"/>
      <c r="N337" s="294"/>
      <c r="O337" s="294"/>
      <c r="P337" s="294"/>
      <c r="Q337" s="294"/>
      <c r="R337" s="294"/>
      <c r="S337" s="294"/>
      <c r="T337" s="294"/>
      <c r="U337" s="294"/>
      <c r="V337" s="294"/>
      <c r="W337" s="294"/>
      <c r="X337" s="294"/>
      <c r="Y337" s="294"/>
      <c r="Z337" s="294"/>
      <c r="AA337" s="294"/>
      <c r="AB337" s="294"/>
      <c r="AC337" s="294"/>
      <c r="AD337" s="294"/>
      <c r="AE337" s="294"/>
      <c r="AF337" s="294"/>
    </row>
    <row r="338" spans="2:32">
      <c r="D338" s="93" t="s">
        <v>24</v>
      </c>
      <c r="E338" s="328" t="s">
        <v>1382</v>
      </c>
      <c r="F338" s="329" t="s">
        <v>248</v>
      </c>
      <c r="G338" s="291"/>
      <c r="H338" s="328" t="s">
        <v>1383</v>
      </c>
      <c r="I338" s="291"/>
      <c r="J338" s="291"/>
      <c r="K338" s="291"/>
      <c r="L338" s="291"/>
      <c r="M338" s="329"/>
    </row>
    <row r="339" spans="2:32" s="79" customFormat="1">
      <c r="B339" s="265"/>
      <c r="C339" s="265"/>
      <c r="D339" s="265"/>
      <c r="E339" s="326" t="s">
        <v>1384</v>
      </c>
      <c r="F339" s="327" t="s">
        <v>1323</v>
      </c>
      <c r="G339" s="325"/>
      <c r="H339" s="326" t="s">
        <v>1322</v>
      </c>
      <c r="I339" s="325"/>
      <c r="J339" s="325"/>
      <c r="K339" s="325"/>
      <c r="L339" s="325"/>
      <c r="M339" s="327"/>
      <c r="N339" s="294"/>
      <c r="O339" s="294"/>
      <c r="P339" s="294"/>
      <c r="Q339" s="294"/>
      <c r="R339" s="294"/>
      <c r="S339" s="294"/>
      <c r="T339" s="294"/>
      <c r="U339" s="294"/>
      <c r="V339" s="294"/>
      <c r="W339" s="294"/>
      <c r="X339" s="294"/>
      <c r="Y339" s="294"/>
      <c r="Z339" s="294"/>
      <c r="AA339" s="294"/>
      <c r="AB339" s="294"/>
      <c r="AC339" s="294"/>
      <c r="AD339" s="294"/>
      <c r="AE339" s="294"/>
      <c r="AF339" s="294"/>
    </row>
    <row r="340" spans="2:32" s="79" customFormat="1">
      <c r="B340" s="265"/>
      <c r="C340" s="265"/>
      <c r="D340" s="265"/>
      <c r="E340" s="326" t="s">
        <v>1385</v>
      </c>
      <c r="F340" s="327" t="s">
        <v>1386</v>
      </c>
      <c r="G340" s="325"/>
      <c r="H340" s="326" t="s">
        <v>974</v>
      </c>
      <c r="I340" s="325" t="s">
        <v>1387</v>
      </c>
      <c r="J340" s="325" t="s">
        <v>976</v>
      </c>
      <c r="K340" s="325"/>
      <c r="L340" s="325"/>
      <c r="M340" s="327"/>
      <c r="N340" s="294"/>
      <c r="O340" s="294"/>
      <c r="P340" s="294"/>
      <c r="Q340" s="294"/>
      <c r="R340" s="294"/>
      <c r="S340" s="294"/>
      <c r="T340" s="294"/>
      <c r="U340" s="294"/>
      <c r="V340" s="294"/>
      <c r="W340" s="294"/>
      <c r="X340" s="294"/>
      <c r="Y340" s="294"/>
      <c r="Z340" s="294"/>
      <c r="AA340" s="294"/>
      <c r="AB340" s="294"/>
      <c r="AC340" s="294"/>
      <c r="AD340" s="294"/>
      <c r="AE340" s="294"/>
      <c r="AF340" s="294"/>
    </row>
    <row r="341" spans="2:32" s="79" customFormat="1">
      <c r="B341" s="265"/>
      <c r="C341" s="265"/>
      <c r="D341" s="265"/>
      <c r="E341" s="326" t="s">
        <v>1388</v>
      </c>
      <c r="F341" s="327" t="s">
        <v>1389</v>
      </c>
      <c r="G341" s="325"/>
      <c r="H341" s="326" t="s">
        <v>1390</v>
      </c>
      <c r="I341" s="325"/>
      <c r="J341" s="325"/>
      <c r="K341" s="325"/>
      <c r="L341" s="325"/>
      <c r="M341" s="327"/>
      <c r="N341" s="294"/>
      <c r="O341" s="294"/>
      <c r="P341" s="294"/>
      <c r="Q341" s="294"/>
      <c r="R341" s="294"/>
      <c r="S341" s="294"/>
      <c r="T341" s="294"/>
      <c r="U341" s="294"/>
      <c r="V341" s="294"/>
      <c r="W341" s="294"/>
      <c r="X341" s="294"/>
      <c r="Y341" s="294"/>
      <c r="Z341" s="294"/>
      <c r="AA341" s="294"/>
      <c r="AB341" s="294"/>
      <c r="AC341" s="294"/>
      <c r="AD341" s="294"/>
      <c r="AE341" s="294"/>
      <c r="AF341" s="294"/>
    </row>
    <row r="342" spans="2:32" s="79" customFormat="1">
      <c r="B342" s="265"/>
      <c r="C342" s="265"/>
      <c r="D342" s="265"/>
      <c r="E342" s="326" t="s">
        <v>1391</v>
      </c>
      <c r="F342" s="327" t="s">
        <v>1392</v>
      </c>
      <c r="G342" s="325"/>
      <c r="H342" s="326" t="s">
        <v>1393</v>
      </c>
      <c r="I342" s="325"/>
      <c r="J342" s="325"/>
      <c r="K342" s="325"/>
      <c r="L342" s="325"/>
      <c r="M342" s="327"/>
      <c r="N342" s="294"/>
      <c r="O342" s="294"/>
      <c r="P342" s="294"/>
      <c r="Q342" s="294"/>
      <c r="R342" s="294"/>
      <c r="S342" s="294"/>
      <c r="T342" s="294"/>
      <c r="U342" s="294"/>
      <c r="V342" s="294"/>
      <c r="W342" s="294"/>
      <c r="X342" s="294"/>
      <c r="Y342" s="294"/>
      <c r="Z342" s="294"/>
      <c r="AA342" s="294"/>
      <c r="AB342" s="294"/>
      <c r="AC342" s="294"/>
      <c r="AD342" s="294"/>
      <c r="AE342" s="294"/>
      <c r="AF342" s="294"/>
    </row>
    <row r="343" spans="2:32" s="79" customFormat="1">
      <c r="B343" s="265"/>
      <c r="C343" s="265"/>
      <c r="D343" s="265"/>
      <c r="E343" s="326" t="s">
        <v>1394</v>
      </c>
      <c r="F343" s="327"/>
      <c r="G343" s="325"/>
      <c r="H343" s="326" t="s">
        <v>255</v>
      </c>
      <c r="I343" s="325"/>
      <c r="J343" s="325"/>
      <c r="K343" s="325"/>
      <c r="L343" s="325"/>
      <c r="M343" s="327"/>
      <c r="N343" s="294"/>
      <c r="O343" s="294"/>
      <c r="P343" s="294"/>
      <c r="Q343" s="294"/>
      <c r="R343" s="294"/>
      <c r="S343" s="294"/>
      <c r="T343" s="294"/>
      <c r="U343" s="294"/>
      <c r="V343" s="294"/>
      <c r="W343" s="294"/>
      <c r="X343" s="294"/>
      <c r="Y343" s="294"/>
      <c r="Z343" s="294"/>
      <c r="AA343" s="294"/>
      <c r="AB343" s="294"/>
      <c r="AC343" s="294"/>
      <c r="AD343" s="294"/>
      <c r="AE343" s="294"/>
      <c r="AF343" s="294"/>
    </row>
    <row r="344" spans="2:32">
      <c r="D344" s="93" t="s">
        <v>24</v>
      </c>
      <c r="E344" s="328" t="s">
        <v>586</v>
      </c>
      <c r="F344" s="329"/>
      <c r="G344" s="291"/>
      <c r="H344" s="328" t="s">
        <v>1395</v>
      </c>
      <c r="I344" s="291"/>
      <c r="J344" s="291"/>
      <c r="K344" s="291"/>
      <c r="L344" s="291"/>
      <c r="M344" s="329"/>
    </row>
    <row r="345" spans="2:32" s="79" customFormat="1">
      <c r="B345" s="265"/>
      <c r="C345" s="265"/>
      <c r="D345" s="265"/>
      <c r="E345" s="326" t="s">
        <v>1396</v>
      </c>
      <c r="F345" s="327"/>
      <c r="G345" s="325"/>
      <c r="H345" s="326" t="s">
        <v>738</v>
      </c>
      <c r="I345" s="325" t="s">
        <v>924</v>
      </c>
      <c r="J345" s="325"/>
      <c r="K345" s="325"/>
      <c r="L345" s="325"/>
      <c r="M345" s="327"/>
      <c r="N345" s="294"/>
      <c r="O345" s="294"/>
      <c r="P345" s="294"/>
      <c r="Q345" s="294"/>
      <c r="R345" s="294"/>
      <c r="S345" s="294"/>
      <c r="T345" s="294"/>
      <c r="U345" s="294"/>
      <c r="V345" s="294"/>
      <c r="W345" s="294"/>
      <c r="X345" s="294"/>
      <c r="Y345" s="294"/>
      <c r="Z345" s="294"/>
      <c r="AA345" s="294"/>
      <c r="AB345" s="294"/>
      <c r="AC345" s="294"/>
      <c r="AD345" s="294"/>
      <c r="AE345" s="294"/>
      <c r="AF345" s="294"/>
    </row>
    <row r="346" spans="2:32" s="79" customFormat="1">
      <c r="B346" s="265"/>
      <c r="C346" s="265"/>
      <c r="D346" s="265"/>
      <c r="E346" s="326" t="s">
        <v>1397</v>
      </c>
      <c r="F346" s="327"/>
      <c r="G346" s="325"/>
      <c r="H346" s="326" t="s">
        <v>1398</v>
      </c>
      <c r="I346" s="325"/>
      <c r="J346" s="325"/>
      <c r="K346" s="325"/>
      <c r="L346" s="325"/>
      <c r="M346" s="327"/>
      <c r="N346" s="294"/>
      <c r="O346" s="294"/>
      <c r="P346" s="294"/>
      <c r="Q346" s="294"/>
      <c r="R346" s="294"/>
      <c r="S346" s="294"/>
      <c r="T346" s="294"/>
      <c r="U346" s="294"/>
      <c r="V346" s="294"/>
      <c r="W346" s="294"/>
      <c r="X346" s="294"/>
      <c r="Y346" s="294"/>
      <c r="Z346" s="294"/>
      <c r="AA346" s="294"/>
      <c r="AB346" s="294"/>
      <c r="AC346" s="294"/>
      <c r="AD346" s="294"/>
      <c r="AE346" s="294"/>
      <c r="AF346" s="294"/>
    </row>
    <row r="347" spans="2:32" s="79" customFormat="1">
      <c r="B347" s="265"/>
      <c r="C347" s="265"/>
      <c r="D347" s="265"/>
      <c r="E347" s="326" t="s">
        <v>1377</v>
      </c>
      <c r="F347" s="327"/>
      <c r="G347" s="325"/>
      <c r="H347" s="326" t="s">
        <v>1376</v>
      </c>
      <c r="I347" s="325"/>
      <c r="J347" s="325"/>
      <c r="K347" s="325"/>
      <c r="L347" s="325"/>
      <c r="M347" s="327"/>
      <c r="N347" s="294"/>
      <c r="O347" s="294"/>
      <c r="P347" s="294"/>
      <c r="Q347" s="294"/>
      <c r="R347" s="294"/>
      <c r="S347" s="294"/>
      <c r="T347" s="294"/>
      <c r="U347" s="294"/>
      <c r="V347" s="294"/>
      <c r="W347" s="294"/>
      <c r="X347" s="294"/>
      <c r="Y347" s="294"/>
      <c r="Z347" s="294"/>
      <c r="AA347" s="294"/>
      <c r="AB347" s="294"/>
      <c r="AC347" s="294"/>
      <c r="AD347" s="294"/>
      <c r="AE347" s="294"/>
      <c r="AF347" s="294"/>
    </row>
    <row r="348" spans="2:32" s="79" customFormat="1">
      <c r="B348" s="265"/>
      <c r="C348" s="265"/>
      <c r="D348" s="265"/>
      <c r="E348" s="326" t="s">
        <v>1317</v>
      </c>
      <c r="F348" s="327"/>
      <c r="G348" s="325"/>
      <c r="H348" s="326" t="s">
        <v>537</v>
      </c>
      <c r="I348" s="325"/>
      <c r="J348" s="325"/>
      <c r="K348" s="325"/>
      <c r="L348" s="325"/>
      <c r="M348" s="327"/>
      <c r="N348" s="294"/>
      <c r="O348" s="294"/>
      <c r="P348" s="294"/>
      <c r="Q348" s="294"/>
      <c r="R348" s="294"/>
      <c r="S348" s="294"/>
      <c r="T348" s="294"/>
      <c r="U348" s="294"/>
      <c r="V348" s="294"/>
      <c r="W348" s="294"/>
      <c r="X348" s="294"/>
      <c r="Y348" s="294"/>
      <c r="Z348" s="294"/>
      <c r="AA348" s="294"/>
      <c r="AB348" s="294"/>
      <c r="AC348" s="294"/>
      <c r="AD348" s="294"/>
      <c r="AE348" s="294"/>
      <c r="AF348" s="294"/>
    </row>
    <row r="349" spans="2:32" s="79" customFormat="1">
      <c r="B349" s="265"/>
      <c r="C349" s="265"/>
      <c r="D349" s="265"/>
      <c r="E349" s="326" t="s">
        <v>1399</v>
      </c>
      <c r="F349" s="327"/>
      <c r="G349" s="325"/>
      <c r="H349" s="326" t="s">
        <v>1400</v>
      </c>
      <c r="I349" s="325"/>
      <c r="J349" s="325"/>
      <c r="K349" s="325"/>
      <c r="L349" s="325"/>
      <c r="M349" s="327"/>
      <c r="N349" s="294"/>
      <c r="O349" s="294"/>
      <c r="P349" s="294"/>
      <c r="Q349" s="294"/>
      <c r="R349" s="294"/>
      <c r="S349" s="294"/>
      <c r="T349" s="294"/>
      <c r="U349" s="294"/>
      <c r="V349" s="294"/>
      <c r="W349" s="294"/>
      <c r="X349" s="294"/>
      <c r="Y349" s="294"/>
      <c r="Z349" s="294"/>
      <c r="AA349" s="294"/>
      <c r="AB349" s="294"/>
      <c r="AC349" s="294"/>
      <c r="AD349" s="294"/>
      <c r="AE349" s="294"/>
      <c r="AF349" s="294"/>
    </row>
    <row r="350" spans="2:32" s="79" customFormat="1">
      <c r="B350" s="265"/>
      <c r="C350" s="265"/>
      <c r="D350" s="265"/>
      <c r="E350" s="326" t="s">
        <v>1393</v>
      </c>
      <c r="F350" s="327"/>
      <c r="G350" s="325"/>
      <c r="H350" s="326" t="s">
        <v>1401</v>
      </c>
      <c r="I350" s="325"/>
      <c r="J350" s="325"/>
      <c r="K350" s="325"/>
      <c r="L350" s="325"/>
      <c r="M350" s="327"/>
      <c r="N350" s="294"/>
      <c r="O350" s="294"/>
      <c r="P350" s="294"/>
      <c r="Q350" s="294"/>
      <c r="R350" s="294"/>
      <c r="S350" s="294"/>
      <c r="T350" s="294"/>
      <c r="U350" s="294"/>
      <c r="V350" s="294"/>
      <c r="W350" s="294"/>
      <c r="X350" s="294"/>
      <c r="Y350" s="294"/>
      <c r="Z350" s="294"/>
      <c r="AA350" s="294"/>
      <c r="AB350" s="294"/>
      <c r="AC350" s="294"/>
      <c r="AD350" s="294"/>
      <c r="AE350" s="294"/>
      <c r="AF350" s="294"/>
    </row>
    <row r="351" spans="2:32" s="79" customFormat="1">
      <c r="B351" s="265"/>
      <c r="C351" s="265"/>
      <c r="D351" s="265"/>
      <c r="E351" s="326" t="s">
        <v>1402</v>
      </c>
      <c r="F351" s="327" t="s">
        <v>1403</v>
      </c>
      <c r="G351" s="325"/>
      <c r="H351" s="326" t="s">
        <v>880</v>
      </c>
      <c r="I351" s="325"/>
      <c r="J351" s="325"/>
      <c r="K351" s="325"/>
      <c r="L351" s="325"/>
      <c r="M351" s="327"/>
      <c r="N351" s="294"/>
      <c r="O351" s="294"/>
      <c r="P351" s="294"/>
      <c r="Q351" s="294"/>
      <c r="R351" s="294"/>
      <c r="S351" s="294"/>
      <c r="T351" s="294"/>
      <c r="U351" s="294"/>
      <c r="V351" s="294"/>
      <c r="W351" s="294"/>
      <c r="X351" s="294"/>
      <c r="Y351" s="294"/>
      <c r="Z351" s="294"/>
      <c r="AA351" s="294"/>
      <c r="AB351" s="294"/>
      <c r="AC351" s="294"/>
      <c r="AD351" s="294"/>
      <c r="AE351" s="294"/>
      <c r="AF351" s="294"/>
    </row>
    <row r="352" spans="2:32" s="79" customFormat="1">
      <c r="B352" s="265"/>
      <c r="C352" s="265"/>
      <c r="D352" s="265"/>
      <c r="E352" s="326" t="s">
        <v>1061</v>
      </c>
      <c r="F352" s="327"/>
      <c r="G352" s="325"/>
      <c r="H352" s="326" t="s">
        <v>263</v>
      </c>
      <c r="I352" s="325" t="s">
        <v>1062</v>
      </c>
      <c r="J352" s="325"/>
      <c r="K352" s="325"/>
      <c r="L352" s="325"/>
      <c r="M352" s="327"/>
      <c r="N352" s="294"/>
      <c r="O352" s="294"/>
      <c r="P352" s="294"/>
      <c r="Q352" s="294"/>
      <c r="R352" s="294"/>
      <c r="S352" s="294"/>
      <c r="T352" s="294"/>
      <c r="U352" s="294"/>
      <c r="V352" s="294"/>
      <c r="W352" s="294"/>
      <c r="X352" s="294"/>
      <c r="Y352" s="294"/>
      <c r="Z352" s="294"/>
      <c r="AA352" s="294"/>
      <c r="AB352" s="294"/>
      <c r="AC352" s="294"/>
      <c r="AD352" s="294"/>
      <c r="AE352" s="294"/>
      <c r="AF352" s="294"/>
    </row>
    <row r="353" spans="2:32" s="79" customFormat="1">
      <c r="B353" s="265"/>
      <c r="C353" s="265"/>
      <c r="D353" s="265"/>
      <c r="E353" s="326" t="s">
        <v>1404</v>
      </c>
      <c r="F353" s="327"/>
      <c r="G353" s="325"/>
      <c r="H353" s="326" t="s">
        <v>1405</v>
      </c>
      <c r="I353" s="325"/>
      <c r="J353" s="325"/>
      <c r="K353" s="325"/>
      <c r="L353" s="325"/>
      <c r="M353" s="327"/>
      <c r="N353" s="294"/>
      <c r="O353" s="294"/>
      <c r="P353" s="294"/>
      <c r="Q353" s="294"/>
      <c r="R353" s="294"/>
      <c r="S353" s="294"/>
      <c r="T353" s="294"/>
      <c r="U353" s="294"/>
      <c r="V353" s="294"/>
      <c r="W353" s="294"/>
      <c r="X353" s="294"/>
      <c r="Y353" s="294"/>
      <c r="Z353" s="294"/>
      <c r="AA353" s="294"/>
      <c r="AB353" s="294"/>
      <c r="AC353" s="294"/>
      <c r="AD353" s="294"/>
      <c r="AE353" s="294"/>
      <c r="AF353" s="294"/>
    </row>
    <row r="354" spans="2:32" s="79" customFormat="1">
      <c r="B354" s="265"/>
      <c r="C354" s="265"/>
      <c r="D354" s="265"/>
      <c r="E354" s="326" t="s">
        <v>1406</v>
      </c>
      <c r="F354" s="327"/>
      <c r="G354" s="325"/>
      <c r="H354" s="326" t="s">
        <v>1407</v>
      </c>
      <c r="I354" s="325"/>
      <c r="J354" s="325"/>
      <c r="K354" s="325"/>
      <c r="L354" s="325"/>
      <c r="M354" s="327"/>
      <c r="N354" s="294"/>
      <c r="O354" s="294"/>
      <c r="P354" s="294"/>
      <c r="Q354" s="294"/>
      <c r="R354" s="294"/>
      <c r="S354" s="294"/>
      <c r="T354" s="294"/>
      <c r="U354" s="294"/>
      <c r="V354" s="294"/>
      <c r="W354" s="294"/>
      <c r="X354" s="294"/>
      <c r="Y354" s="294"/>
      <c r="Z354" s="294"/>
      <c r="AA354" s="294"/>
      <c r="AB354" s="294"/>
      <c r="AC354" s="294"/>
      <c r="AD354" s="294"/>
      <c r="AE354" s="294"/>
      <c r="AF354" s="294"/>
    </row>
    <row r="355" spans="2:32">
      <c r="D355" s="93" t="s">
        <v>24</v>
      </c>
      <c r="E355" s="328" t="s">
        <v>380</v>
      </c>
      <c r="F355" s="329"/>
      <c r="G355" s="291"/>
      <c r="H355" s="328" t="s">
        <v>1255</v>
      </c>
      <c r="I355" s="291"/>
      <c r="J355" s="291"/>
      <c r="K355" s="291"/>
      <c r="L355" s="291"/>
      <c r="M355" s="329"/>
    </row>
    <row r="356" spans="2:32" s="79" customFormat="1">
      <c r="B356" s="265"/>
      <c r="C356" s="265"/>
      <c r="D356" s="265"/>
      <c r="E356" s="326" t="s">
        <v>1408</v>
      </c>
      <c r="F356" s="327"/>
      <c r="G356" s="325"/>
      <c r="H356" s="326" t="s">
        <v>1409</v>
      </c>
      <c r="I356" s="325"/>
      <c r="J356" s="325"/>
      <c r="K356" s="325"/>
      <c r="L356" s="325"/>
      <c r="M356" s="327"/>
      <c r="N356" s="294"/>
      <c r="O356" s="294"/>
      <c r="P356" s="294"/>
      <c r="Q356" s="294"/>
      <c r="R356" s="294"/>
      <c r="S356" s="294"/>
      <c r="T356" s="294"/>
      <c r="U356" s="294"/>
      <c r="V356" s="294"/>
      <c r="W356" s="294"/>
      <c r="X356" s="294"/>
      <c r="Y356" s="294"/>
      <c r="Z356" s="294"/>
      <c r="AA356" s="294"/>
      <c r="AB356" s="294"/>
      <c r="AC356" s="294"/>
      <c r="AD356" s="294"/>
      <c r="AE356" s="294"/>
      <c r="AF356" s="294"/>
    </row>
    <row r="357" spans="2:32" s="79" customFormat="1">
      <c r="B357" s="265"/>
      <c r="C357" s="265"/>
      <c r="D357" s="265"/>
      <c r="E357" s="326" t="s">
        <v>1410</v>
      </c>
      <c r="F357" s="327" t="s">
        <v>1303</v>
      </c>
      <c r="G357" s="325"/>
      <c r="H357" s="326" t="s">
        <v>1302</v>
      </c>
      <c r="I357" s="325"/>
      <c r="J357" s="325"/>
      <c r="K357" s="325"/>
      <c r="L357" s="325"/>
      <c r="M357" s="327"/>
      <c r="N357" s="294"/>
      <c r="O357" s="294"/>
      <c r="P357" s="294"/>
      <c r="Q357" s="294"/>
      <c r="R357" s="294"/>
      <c r="S357" s="294"/>
      <c r="T357" s="294"/>
      <c r="U357" s="294"/>
      <c r="V357" s="294"/>
      <c r="W357" s="294"/>
      <c r="X357" s="294"/>
      <c r="Y357" s="294"/>
      <c r="Z357" s="294"/>
      <c r="AA357" s="294"/>
      <c r="AB357" s="294"/>
      <c r="AC357" s="294"/>
      <c r="AD357" s="294"/>
      <c r="AE357" s="294"/>
      <c r="AF357" s="294"/>
    </row>
    <row r="358" spans="2:32" s="79" customFormat="1">
      <c r="B358" s="265"/>
      <c r="C358" s="265"/>
      <c r="D358" s="265"/>
      <c r="E358" s="326" t="s">
        <v>1411</v>
      </c>
      <c r="F358" s="327"/>
      <c r="G358" s="325"/>
      <c r="H358" s="326" t="s">
        <v>1412</v>
      </c>
      <c r="I358" s="325"/>
      <c r="J358" s="325"/>
      <c r="K358" s="325"/>
      <c r="L358" s="325"/>
      <c r="M358" s="327"/>
      <c r="N358" s="294"/>
      <c r="O358" s="294"/>
      <c r="P358" s="294"/>
      <c r="Q358" s="294"/>
      <c r="R358" s="294"/>
      <c r="S358" s="294"/>
      <c r="T358" s="294"/>
      <c r="U358" s="294"/>
      <c r="V358" s="294"/>
      <c r="W358" s="294"/>
      <c r="X358" s="294"/>
      <c r="Y358" s="294"/>
      <c r="Z358" s="294"/>
      <c r="AA358" s="294"/>
      <c r="AB358" s="294"/>
      <c r="AC358" s="294"/>
      <c r="AD358" s="294"/>
      <c r="AE358" s="294"/>
      <c r="AF358" s="294"/>
    </row>
    <row r="359" spans="2:32">
      <c r="D359" s="93" t="s">
        <v>24</v>
      </c>
      <c r="E359" s="328" t="s">
        <v>594</v>
      </c>
      <c r="F359" s="329"/>
      <c r="G359" s="291"/>
      <c r="H359" s="328" t="s">
        <v>1413</v>
      </c>
      <c r="I359" s="291"/>
      <c r="J359" s="291"/>
      <c r="K359" s="291"/>
      <c r="L359" s="291"/>
      <c r="M359" s="329"/>
    </row>
    <row r="360" spans="2:32">
      <c r="D360" s="93" t="s">
        <v>24</v>
      </c>
      <c r="E360" s="328" t="s">
        <v>1414</v>
      </c>
      <c r="F360" s="329" t="s">
        <v>609</v>
      </c>
      <c r="G360" s="291"/>
      <c r="H360" s="328" t="s">
        <v>979</v>
      </c>
      <c r="I360" s="291"/>
      <c r="J360" s="291"/>
      <c r="K360" s="291"/>
      <c r="L360" s="291"/>
      <c r="M360" s="329"/>
    </row>
    <row r="361" spans="2:32" s="79" customFormat="1">
      <c r="B361" s="265"/>
      <c r="C361" s="265"/>
      <c r="D361" s="265"/>
      <c r="E361" s="330" t="s">
        <v>1233</v>
      </c>
      <c r="F361" s="331"/>
      <c r="G361" s="325"/>
      <c r="H361" s="330" t="s">
        <v>458</v>
      </c>
      <c r="I361" s="349" t="s">
        <v>479</v>
      </c>
      <c r="J361" s="349"/>
      <c r="K361" s="349"/>
      <c r="L361" s="349"/>
      <c r="M361" s="331"/>
      <c r="N361" s="294"/>
      <c r="O361" s="294"/>
      <c r="P361" s="294"/>
      <c r="Q361" s="294"/>
      <c r="R361" s="294"/>
      <c r="S361" s="294"/>
      <c r="T361" s="294"/>
      <c r="U361" s="294"/>
      <c r="V361" s="294"/>
      <c r="W361" s="294"/>
      <c r="X361" s="294"/>
      <c r="Y361" s="294"/>
      <c r="Z361" s="294"/>
      <c r="AA361" s="294"/>
      <c r="AB361" s="294"/>
      <c r="AC361" s="294"/>
      <c r="AD361" s="294"/>
      <c r="AE361" s="294"/>
      <c r="AF361" s="294"/>
    </row>
    <row r="362" spans="2:32" ht="8" customHeight="1">
      <c r="B362" s="262" t="s">
        <v>12</v>
      </c>
      <c r="C362" s="262" t="s">
        <v>12</v>
      </c>
      <c r="D362" s="262" t="s">
        <v>12</v>
      </c>
      <c r="E362" s="291"/>
      <c r="F362" s="291"/>
      <c r="G362" s="291"/>
      <c r="H362" s="291"/>
      <c r="I362" s="291"/>
      <c r="J362" s="291"/>
      <c r="K362" s="291"/>
      <c r="L362" s="291"/>
      <c r="M362" s="291"/>
    </row>
    <row r="363" spans="2:32" ht="16">
      <c r="B363" s="262" t="s">
        <v>12</v>
      </c>
      <c r="C363" s="262" t="s">
        <v>12</v>
      </c>
      <c r="D363" s="262" t="s">
        <v>12</v>
      </c>
      <c r="E363" s="332" t="s">
        <v>613</v>
      </c>
      <c r="F363" s="332"/>
      <c r="G363" s="332"/>
      <c r="H363" s="291"/>
      <c r="I363" s="291"/>
      <c r="J363" s="291"/>
      <c r="K363" s="291"/>
      <c r="L363" s="291"/>
      <c r="M363" s="291"/>
    </row>
    <row r="364" spans="2:32">
      <c r="D364" s="93" t="s">
        <v>24</v>
      </c>
      <c r="E364" s="413" t="s">
        <v>614</v>
      </c>
      <c r="F364" s="414"/>
      <c r="G364" s="291"/>
      <c r="H364" s="413" t="s">
        <v>474</v>
      </c>
      <c r="I364" s="416" t="s">
        <v>1249</v>
      </c>
      <c r="J364" s="416"/>
      <c r="K364" s="416"/>
      <c r="L364" s="416"/>
      <c r="M364" s="414"/>
    </row>
    <row r="365" spans="2:32" s="79" customFormat="1">
      <c r="B365" s="265"/>
      <c r="C365" s="265"/>
      <c r="D365" s="265"/>
      <c r="E365" s="335" t="s">
        <v>1063</v>
      </c>
      <c r="F365" s="336"/>
      <c r="G365" s="325"/>
      <c r="H365" s="335" t="s">
        <v>661</v>
      </c>
      <c r="I365" s="325" t="s">
        <v>1064</v>
      </c>
      <c r="J365" s="325" t="s">
        <v>314</v>
      </c>
      <c r="K365" s="325" t="s">
        <v>1065</v>
      </c>
      <c r="L365" s="325"/>
      <c r="M365" s="336"/>
      <c r="N365" s="294"/>
      <c r="O365" s="294"/>
      <c r="P365" s="294"/>
      <c r="Q365" s="294"/>
      <c r="R365" s="294"/>
      <c r="S365" s="294"/>
      <c r="T365" s="294"/>
      <c r="U365" s="294"/>
      <c r="V365" s="294"/>
      <c r="W365" s="294"/>
      <c r="X365" s="294"/>
      <c r="Y365" s="294"/>
      <c r="Z365" s="294"/>
      <c r="AA365" s="294"/>
      <c r="AB365" s="294"/>
      <c r="AC365" s="294"/>
      <c r="AD365" s="294"/>
      <c r="AE365" s="294"/>
      <c r="AF365" s="294"/>
    </row>
    <row r="366" spans="2:32" s="79" customFormat="1">
      <c r="B366" s="265"/>
      <c r="C366" s="265"/>
      <c r="D366" s="265"/>
      <c r="E366" s="335" t="s">
        <v>1064</v>
      </c>
      <c r="F366" s="336"/>
      <c r="G366" s="325"/>
      <c r="H366" s="335" t="s">
        <v>1063</v>
      </c>
      <c r="I366" s="325" t="s">
        <v>661</v>
      </c>
      <c r="J366" s="325" t="s">
        <v>314</v>
      </c>
      <c r="K366" s="325" t="s">
        <v>1065</v>
      </c>
      <c r="L366" s="325"/>
      <c r="M366" s="336"/>
      <c r="N366" s="294"/>
      <c r="O366" s="294"/>
      <c r="P366" s="294"/>
      <c r="Q366" s="294"/>
      <c r="R366" s="294"/>
      <c r="S366" s="294"/>
      <c r="T366" s="294"/>
      <c r="U366" s="294"/>
      <c r="V366" s="294"/>
      <c r="W366" s="294"/>
      <c r="X366" s="294"/>
      <c r="Y366" s="294"/>
      <c r="Z366" s="294"/>
      <c r="AA366" s="294"/>
      <c r="AB366" s="294"/>
      <c r="AC366" s="294"/>
      <c r="AD366" s="294"/>
      <c r="AE366" s="294"/>
      <c r="AF366" s="294"/>
    </row>
    <row r="367" spans="2:32" s="79" customFormat="1">
      <c r="B367" s="265"/>
      <c r="C367" s="265"/>
      <c r="D367" s="265"/>
      <c r="E367" s="335" t="s">
        <v>1088</v>
      </c>
      <c r="F367" s="336"/>
      <c r="G367" s="325"/>
      <c r="H367" s="335" t="s">
        <v>332</v>
      </c>
      <c r="I367" s="325" t="s">
        <v>1087</v>
      </c>
      <c r="J367" s="325" t="s">
        <v>702</v>
      </c>
      <c r="K367" s="325" t="s">
        <v>1089</v>
      </c>
      <c r="L367" s="325"/>
      <c r="M367" s="336"/>
      <c r="N367" s="294"/>
      <c r="O367" s="294"/>
      <c r="P367" s="294"/>
      <c r="Q367" s="294"/>
      <c r="R367" s="294"/>
      <c r="S367" s="294"/>
      <c r="T367" s="294"/>
      <c r="U367" s="294"/>
      <c r="V367" s="294"/>
      <c r="W367" s="294"/>
      <c r="X367" s="294"/>
      <c r="Y367" s="294"/>
      <c r="Z367" s="294"/>
      <c r="AA367" s="294"/>
      <c r="AB367" s="294"/>
      <c r="AC367" s="294"/>
      <c r="AD367" s="294"/>
      <c r="AE367" s="294"/>
      <c r="AF367" s="294"/>
    </row>
    <row r="368" spans="2:32" s="79" customFormat="1">
      <c r="B368" s="265"/>
      <c r="C368" s="265"/>
      <c r="D368" s="265"/>
      <c r="E368" s="335" t="s">
        <v>1019</v>
      </c>
      <c r="F368" s="336"/>
      <c r="G368" s="325"/>
      <c r="H368" s="335" t="s">
        <v>1018</v>
      </c>
      <c r="I368" s="325"/>
      <c r="J368" s="325"/>
      <c r="K368" s="325"/>
      <c r="L368" s="325"/>
      <c r="M368" s="336"/>
      <c r="N368" s="294"/>
      <c r="O368" s="294"/>
      <c r="P368" s="294"/>
      <c r="Q368" s="294"/>
      <c r="R368" s="294"/>
      <c r="S368" s="294"/>
      <c r="T368" s="294"/>
      <c r="U368" s="294"/>
      <c r="V368" s="294"/>
      <c r="W368" s="294"/>
      <c r="X368" s="294"/>
      <c r="Y368" s="294"/>
      <c r="Z368" s="294"/>
      <c r="AA368" s="294"/>
      <c r="AB368" s="294"/>
      <c r="AC368" s="294"/>
      <c r="AD368" s="294"/>
      <c r="AE368" s="294"/>
      <c r="AF368" s="294"/>
    </row>
    <row r="369" spans="2:32" s="79" customFormat="1">
      <c r="B369" s="265"/>
      <c r="C369" s="265"/>
      <c r="D369" s="265"/>
      <c r="E369" s="335" t="s">
        <v>950</v>
      </c>
      <c r="F369" s="336"/>
      <c r="G369" s="325"/>
      <c r="H369" s="335" t="s">
        <v>1415</v>
      </c>
      <c r="I369" s="325" t="s">
        <v>1416</v>
      </c>
      <c r="J369" s="325"/>
      <c r="K369" s="325"/>
      <c r="L369" s="325"/>
      <c r="M369" s="336"/>
      <c r="N369" s="294"/>
      <c r="O369" s="294"/>
      <c r="P369" s="294"/>
      <c r="Q369" s="294"/>
      <c r="R369" s="294"/>
      <c r="S369" s="294"/>
      <c r="T369" s="294"/>
      <c r="U369" s="294"/>
      <c r="V369" s="294"/>
      <c r="W369" s="294"/>
      <c r="X369" s="294"/>
      <c r="Y369" s="294"/>
      <c r="Z369" s="294"/>
      <c r="AA369" s="294"/>
      <c r="AB369" s="294"/>
      <c r="AC369" s="294"/>
      <c r="AD369" s="294"/>
      <c r="AE369" s="294"/>
      <c r="AF369" s="294"/>
    </row>
    <row r="370" spans="2:32" s="79" customFormat="1">
      <c r="B370" s="265"/>
      <c r="C370" s="265"/>
      <c r="D370" s="265"/>
      <c r="E370" s="335" t="s">
        <v>1415</v>
      </c>
      <c r="F370" s="336"/>
      <c r="G370" s="325"/>
      <c r="H370" s="335" t="s">
        <v>244</v>
      </c>
      <c r="I370" s="325" t="s">
        <v>1417</v>
      </c>
      <c r="J370" s="325"/>
      <c r="K370" s="325"/>
      <c r="L370" s="325"/>
      <c r="M370" s="336"/>
      <c r="N370" s="294"/>
      <c r="O370" s="294"/>
      <c r="P370" s="294"/>
      <c r="Q370" s="294"/>
      <c r="R370" s="294"/>
      <c r="S370" s="294"/>
      <c r="T370" s="294"/>
      <c r="U370" s="294"/>
      <c r="V370" s="294"/>
      <c r="W370" s="294"/>
      <c r="X370" s="294"/>
      <c r="Y370" s="294"/>
      <c r="Z370" s="294"/>
      <c r="AA370" s="294"/>
      <c r="AB370" s="294"/>
      <c r="AC370" s="294"/>
      <c r="AD370" s="294"/>
      <c r="AE370" s="294"/>
      <c r="AF370" s="294"/>
    </row>
    <row r="371" spans="2:32" s="79" customFormat="1">
      <c r="B371" s="265"/>
      <c r="C371" s="265"/>
      <c r="D371" s="265"/>
      <c r="E371" s="335" t="s">
        <v>1418</v>
      </c>
      <c r="F371" s="336"/>
      <c r="G371" s="325"/>
      <c r="H371" s="335" t="s">
        <v>1419</v>
      </c>
      <c r="I371" s="325"/>
      <c r="J371" s="325"/>
      <c r="K371" s="325"/>
      <c r="L371" s="325"/>
      <c r="M371" s="336"/>
      <c r="N371" s="294"/>
      <c r="O371" s="294"/>
      <c r="P371" s="294"/>
      <c r="Q371" s="294"/>
      <c r="R371" s="294"/>
      <c r="S371" s="294"/>
      <c r="T371" s="294"/>
      <c r="U371" s="294"/>
      <c r="V371" s="294"/>
      <c r="W371" s="294"/>
      <c r="X371" s="294"/>
      <c r="Y371" s="294"/>
      <c r="Z371" s="294"/>
      <c r="AA371" s="294"/>
      <c r="AB371" s="294"/>
      <c r="AC371" s="294"/>
      <c r="AD371" s="294"/>
      <c r="AE371" s="294"/>
      <c r="AF371" s="294"/>
    </row>
    <row r="372" spans="2:32" s="79" customFormat="1">
      <c r="B372" s="265"/>
      <c r="C372" s="265"/>
      <c r="D372" s="265"/>
      <c r="E372" s="335" t="s">
        <v>1420</v>
      </c>
      <c r="F372" s="336" t="s">
        <v>1373</v>
      </c>
      <c r="G372" s="325"/>
      <c r="H372" s="335" t="s">
        <v>578</v>
      </c>
      <c r="I372" s="325"/>
      <c r="J372" s="325"/>
      <c r="K372" s="325"/>
      <c r="L372" s="325"/>
      <c r="M372" s="336"/>
      <c r="N372" s="294"/>
      <c r="O372" s="294"/>
      <c r="P372" s="294"/>
      <c r="Q372" s="294"/>
      <c r="R372" s="294"/>
      <c r="S372" s="294"/>
      <c r="T372" s="294"/>
      <c r="U372" s="294"/>
      <c r="V372" s="294"/>
      <c r="W372" s="294"/>
      <c r="X372" s="294"/>
      <c r="Y372" s="294"/>
      <c r="Z372" s="294"/>
      <c r="AA372" s="294"/>
      <c r="AB372" s="294"/>
      <c r="AC372" s="294"/>
      <c r="AD372" s="294"/>
      <c r="AE372" s="294"/>
      <c r="AF372" s="294"/>
    </row>
    <row r="373" spans="2:32" s="79" customFormat="1">
      <c r="B373" s="265"/>
      <c r="C373" s="265"/>
      <c r="D373" s="265"/>
      <c r="E373" s="335" t="s">
        <v>1421</v>
      </c>
      <c r="F373" s="336" t="s">
        <v>1422</v>
      </c>
      <c r="G373" s="325"/>
      <c r="H373" s="335" t="s">
        <v>1423</v>
      </c>
      <c r="I373" s="325" t="s">
        <v>1424</v>
      </c>
      <c r="J373" s="325"/>
      <c r="K373" s="325"/>
      <c r="L373" s="325"/>
      <c r="M373" s="336"/>
      <c r="N373" s="294"/>
      <c r="O373" s="294"/>
      <c r="P373" s="294"/>
      <c r="Q373" s="294"/>
      <c r="R373" s="294"/>
      <c r="S373" s="294"/>
      <c r="T373" s="294"/>
      <c r="U373" s="294"/>
      <c r="V373" s="294"/>
      <c r="W373" s="294"/>
      <c r="X373" s="294"/>
      <c r="Y373" s="294"/>
      <c r="Z373" s="294"/>
      <c r="AA373" s="294"/>
      <c r="AB373" s="294"/>
      <c r="AC373" s="294"/>
      <c r="AD373" s="294"/>
      <c r="AE373" s="294"/>
      <c r="AF373" s="294"/>
    </row>
    <row r="374" spans="2:32">
      <c r="D374" s="93" t="s">
        <v>24</v>
      </c>
      <c r="E374" s="415" t="s">
        <v>1425</v>
      </c>
      <c r="F374" s="408" t="s">
        <v>1426</v>
      </c>
      <c r="G374" s="291"/>
      <c r="H374" s="415" t="s">
        <v>1427</v>
      </c>
      <c r="I374" s="291"/>
      <c r="J374" s="291"/>
      <c r="K374" s="291"/>
      <c r="L374" s="291"/>
      <c r="M374" s="408"/>
    </row>
    <row r="375" spans="2:32" s="79" customFormat="1">
      <c r="B375" s="265"/>
      <c r="C375" s="265"/>
      <c r="D375" s="265"/>
      <c r="E375" s="335" t="s">
        <v>1428</v>
      </c>
      <c r="F375" s="336" t="s">
        <v>1429</v>
      </c>
      <c r="G375" s="325"/>
      <c r="H375" s="335" t="s">
        <v>1430</v>
      </c>
      <c r="I375" s="325"/>
      <c r="J375" s="325"/>
      <c r="K375" s="325"/>
      <c r="L375" s="325"/>
      <c r="M375" s="336"/>
      <c r="N375" s="294"/>
      <c r="O375" s="294"/>
      <c r="P375" s="294"/>
      <c r="Q375" s="294"/>
      <c r="R375" s="294"/>
      <c r="S375" s="294"/>
      <c r="T375" s="294"/>
      <c r="U375" s="294"/>
      <c r="V375" s="294"/>
      <c r="W375" s="294"/>
      <c r="X375" s="294"/>
      <c r="Y375" s="294"/>
      <c r="Z375" s="294"/>
      <c r="AA375" s="294"/>
      <c r="AB375" s="294"/>
      <c r="AC375" s="294"/>
      <c r="AD375" s="294"/>
      <c r="AE375" s="294"/>
      <c r="AF375" s="294"/>
    </row>
    <row r="376" spans="2:32" s="79" customFormat="1">
      <c r="B376" s="265"/>
      <c r="C376" s="265"/>
      <c r="D376" s="265"/>
      <c r="E376" s="335" t="s">
        <v>1431</v>
      </c>
      <c r="F376" s="336" t="s">
        <v>1432</v>
      </c>
      <c r="G376" s="325"/>
      <c r="H376" s="335" t="s">
        <v>1433</v>
      </c>
      <c r="I376" s="325"/>
      <c r="J376" s="325"/>
      <c r="K376" s="325"/>
      <c r="L376" s="325"/>
      <c r="M376" s="336"/>
      <c r="N376" s="294"/>
      <c r="O376" s="294"/>
      <c r="P376" s="294"/>
      <c r="Q376" s="294"/>
      <c r="R376" s="294"/>
      <c r="S376" s="294"/>
      <c r="T376" s="294"/>
      <c r="U376" s="294"/>
      <c r="V376" s="294"/>
      <c r="W376" s="294"/>
      <c r="X376" s="294"/>
      <c r="Y376" s="294"/>
      <c r="Z376" s="294"/>
      <c r="AA376" s="294"/>
      <c r="AB376" s="294"/>
      <c r="AC376" s="294"/>
      <c r="AD376" s="294"/>
      <c r="AE376" s="294"/>
      <c r="AF376" s="294"/>
    </row>
    <row r="377" spans="2:32" s="79" customFormat="1">
      <c r="B377" s="265"/>
      <c r="C377" s="265"/>
      <c r="D377" s="265"/>
      <c r="E377" s="335" t="s">
        <v>1434</v>
      </c>
      <c r="F377" s="336" t="s">
        <v>1435</v>
      </c>
      <c r="G377" s="325"/>
      <c r="H377" s="335" t="s">
        <v>1436</v>
      </c>
      <c r="I377" s="325"/>
      <c r="J377" s="325"/>
      <c r="K377" s="325"/>
      <c r="L377" s="325"/>
      <c r="M377" s="336"/>
      <c r="N377" s="294"/>
      <c r="O377" s="294"/>
      <c r="P377" s="294"/>
      <c r="Q377" s="294"/>
      <c r="R377" s="294"/>
      <c r="S377" s="294"/>
      <c r="T377" s="294"/>
      <c r="U377" s="294"/>
      <c r="V377" s="294"/>
      <c r="W377" s="294"/>
      <c r="X377" s="294"/>
      <c r="Y377" s="294"/>
      <c r="Z377" s="294"/>
      <c r="AA377" s="294"/>
      <c r="AB377" s="294"/>
      <c r="AC377" s="294"/>
      <c r="AD377" s="294"/>
      <c r="AE377" s="294"/>
      <c r="AF377" s="294"/>
    </row>
    <row r="378" spans="2:32" s="79" customFormat="1">
      <c r="B378" s="265"/>
      <c r="C378" s="265"/>
      <c r="D378" s="265"/>
      <c r="E378" s="335" t="s">
        <v>1437</v>
      </c>
      <c r="F378" s="336"/>
      <c r="G378" s="325"/>
      <c r="H378" s="335" t="s">
        <v>1438</v>
      </c>
      <c r="I378" s="325"/>
      <c r="J378" s="325"/>
      <c r="K378" s="325"/>
      <c r="L378" s="325"/>
      <c r="M378" s="336"/>
      <c r="N378" s="294"/>
      <c r="O378" s="294"/>
      <c r="P378" s="294"/>
      <c r="Q378" s="294"/>
      <c r="R378" s="294"/>
      <c r="S378" s="294"/>
      <c r="T378" s="294"/>
      <c r="U378" s="294"/>
      <c r="V378" s="294"/>
      <c r="W378" s="294"/>
      <c r="X378" s="294"/>
      <c r="Y378" s="294"/>
      <c r="Z378" s="294"/>
      <c r="AA378" s="294"/>
      <c r="AB378" s="294"/>
      <c r="AC378" s="294"/>
      <c r="AD378" s="294"/>
      <c r="AE378" s="294"/>
      <c r="AF378" s="294"/>
    </row>
    <row r="379" spans="2:32">
      <c r="D379" s="93" t="s">
        <v>24</v>
      </c>
      <c r="E379" s="415" t="s">
        <v>1439</v>
      </c>
      <c r="F379" s="408" t="s">
        <v>625</v>
      </c>
      <c r="G379" s="291"/>
      <c r="H379" s="415" t="s">
        <v>909</v>
      </c>
      <c r="I379" s="291" t="s">
        <v>910</v>
      </c>
      <c r="J379" s="291"/>
      <c r="K379" s="291"/>
      <c r="L379" s="291"/>
      <c r="M379" s="408"/>
    </row>
    <row r="380" spans="2:32" s="79" customFormat="1">
      <c r="B380" s="265"/>
      <c r="C380" s="265"/>
      <c r="D380" s="265"/>
      <c r="E380" s="335" t="s">
        <v>1440</v>
      </c>
      <c r="F380" s="336"/>
      <c r="G380" s="325"/>
      <c r="H380" s="335" t="s">
        <v>1441</v>
      </c>
      <c r="I380" s="325"/>
      <c r="J380" s="325"/>
      <c r="K380" s="325"/>
      <c r="L380" s="325"/>
      <c r="M380" s="336"/>
      <c r="N380" s="294"/>
      <c r="O380" s="294"/>
      <c r="P380" s="294"/>
      <c r="Q380" s="294"/>
      <c r="R380" s="294"/>
      <c r="S380" s="294"/>
      <c r="T380" s="294"/>
      <c r="U380" s="294"/>
      <c r="V380" s="294"/>
      <c r="W380" s="294"/>
      <c r="X380" s="294"/>
      <c r="Y380" s="294"/>
      <c r="Z380" s="294"/>
      <c r="AA380" s="294"/>
      <c r="AB380" s="294"/>
      <c r="AC380" s="294"/>
      <c r="AD380" s="294"/>
      <c r="AE380" s="294"/>
      <c r="AF380" s="294"/>
    </row>
    <row r="381" spans="2:32" s="79" customFormat="1">
      <c r="B381" s="265"/>
      <c r="C381" s="265"/>
      <c r="D381" s="265"/>
      <c r="E381" s="335" t="s">
        <v>1176</v>
      </c>
      <c r="F381" s="336"/>
      <c r="G381" s="325"/>
      <c r="H381" s="335" t="s">
        <v>1175</v>
      </c>
      <c r="I381" s="325"/>
      <c r="J381" s="325"/>
      <c r="K381" s="325"/>
      <c r="L381" s="325"/>
      <c r="M381" s="336"/>
      <c r="N381" s="294"/>
      <c r="O381" s="294"/>
      <c r="P381" s="294"/>
      <c r="Q381" s="294"/>
      <c r="R381" s="294"/>
      <c r="S381" s="294"/>
      <c r="T381" s="294"/>
      <c r="U381" s="294"/>
      <c r="V381" s="294"/>
      <c r="W381" s="294"/>
      <c r="X381" s="294"/>
      <c r="Y381" s="294"/>
      <c r="Z381" s="294"/>
      <c r="AA381" s="294"/>
      <c r="AB381" s="294"/>
      <c r="AC381" s="294"/>
      <c r="AD381" s="294"/>
      <c r="AE381" s="294"/>
      <c r="AF381" s="294"/>
    </row>
    <row r="382" spans="2:32">
      <c r="D382" s="93" t="s">
        <v>24</v>
      </c>
      <c r="E382" s="415" t="s">
        <v>642</v>
      </c>
      <c r="F382" s="408"/>
      <c r="G382" s="291"/>
      <c r="H382" s="415" t="s">
        <v>1381</v>
      </c>
      <c r="I382" s="291"/>
      <c r="J382" s="291"/>
      <c r="K382" s="291"/>
      <c r="L382" s="291"/>
      <c r="M382" s="408"/>
    </row>
    <row r="383" spans="2:32" s="79" customFormat="1">
      <c r="B383" s="265"/>
      <c r="C383" s="265"/>
      <c r="D383" s="265"/>
      <c r="E383" s="340" t="s">
        <v>1142</v>
      </c>
      <c r="F383" s="341"/>
      <c r="G383" s="325"/>
      <c r="H383" s="340" t="s">
        <v>375</v>
      </c>
      <c r="I383" s="351" t="s">
        <v>1141</v>
      </c>
      <c r="J383" s="351"/>
      <c r="K383" s="351"/>
      <c r="L383" s="351"/>
      <c r="M383" s="341"/>
      <c r="N383" s="294"/>
      <c r="O383" s="294"/>
      <c r="P383" s="294"/>
      <c r="Q383" s="294"/>
      <c r="R383" s="294"/>
      <c r="S383" s="294"/>
      <c r="T383" s="294"/>
      <c r="U383" s="294"/>
      <c r="V383" s="294"/>
      <c r="W383" s="294"/>
      <c r="X383" s="294"/>
      <c r="Y383" s="294"/>
      <c r="Z383" s="294"/>
      <c r="AA383" s="294"/>
      <c r="AB383" s="294"/>
      <c r="AC383" s="294"/>
      <c r="AD383" s="294"/>
      <c r="AE383" s="294"/>
      <c r="AF383" s="294"/>
    </row>
    <row r="384" spans="2:32" ht="8" customHeight="1">
      <c r="B384" s="262" t="s">
        <v>12</v>
      </c>
      <c r="C384" s="262" t="s">
        <v>12</v>
      </c>
      <c r="D384" s="262" t="s">
        <v>12</v>
      </c>
      <c r="E384" s="291"/>
      <c r="F384" s="291"/>
      <c r="G384" s="291"/>
      <c r="H384" s="291"/>
      <c r="I384" s="291"/>
      <c r="J384" s="291"/>
      <c r="K384" s="291"/>
      <c r="L384" s="291"/>
      <c r="M384" s="291"/>
    </row>
    <row r="385" spans="2:32" ht="16">
      <c r="B385" s="262" t="s">
        <v>12</v>
      </c>
      <c r="C385" s="262" t="s">
        <v>12</v>
      </c>
      <c r="D385" s="262" t="s">
        <v>12</v>
      </c>
      <c r="E385" s="342" t="s">
        <v>653</v>
      </c>
      <c r="F385" s="342"/>
      <c r="G385" s="342"/>
      <c r="H385" s="291"/>
      <c r="I385" s="291"/>
      <c r="J385" s="291"/>
      <c r="K385" s="291"/>
      <c r="L385" s="291"/>
      <c r="M385" s="291"/>
    </row>
    <row r="386" spans="2:32" s="79" customFormat="1">
      <c r="B386" s="265"/>
      <c r="C386" s="265"/>
      <c r="D386" s="265"/>
      <c r="E386" s="352" t="s">
        <v>1100</v>
      </c>
      <c r="F386" s="353"/>
      <c r="G386" s="325"/>
      <c r="H386" s="352" t="s">
        <v>1099</v>
      </c>
      <c r="I386" s="385"/>
      <c r="J386" s="385"/>
      <c r="K386" s="385"/>
      <c r="L386" s="385"/>
      <c r="M386" s="353"/>
      <c r="N386" s="294"/>
      <c r="O386" s="294"/>
      <c r="P386" s="294"/>
      <c r="Q386" s="294"/>
      <c r="R386" s="294"/>
      <c r="S386" s="294"/>
      <c r="T386" s="294"/>
      <c r="U386" s="294"/>
      <c r="V386" s="294"/>
      <c r="W386" s="294"/>
      <c r="X386" s="294"/>
      <c r="Y386" s="294"/>
      <c r="Z386" s="294"/>
      <c r="AA386" s="294"/>
      <c r="AB386" s="294"/>
      <c r="AC386" s="294"/>
      <c r="AD386" s="294"/>
      <c r="AE386" s="294"/>
      <c r="AF386" s="294"/>
    </row>
    <row r="387" spans="2:32" s="79" customFormat="1">
      <c r="B387" s="265"/>
      <c r="C387" s="265"/>
      <c r="D387" s="265"/>
      <c r="E387" s="354" t="s">
        <v>1442</v>
      </c>
      <c r="F387" s="355"/>
      <c r="G387" s="325"/>
      <c r="H387" s="354" t="s">
        <v>1443</v>
      </c>
      <c r="I387" s="325"/>
      <c r="J387" s="325"/>
      <c r="K387" s="325"/>
      <c r="L387" s="325"/>
      <c r="M387" s="355"/>
      <c r="N387" s="294"/>
      <c r="O387" s="294"/>
      <c r="P387" s="294"/>
      <c r="Q387" s="294"/>
      <c r="R387" s="294"/>
      <c r="S387" s="294"/>
      <c r="T387" s="294"/>
      <c r="U387" s="294"/>
      <c r="V387" s="294"/>
      <c r="W387" s="294"/>
      <c r="X387" s="294"/>
      <c r="Y387" s="294"/>
      <c r="Z387" s="294"/>
      <c r="AA387" s="294"/>
      <c r="AB387" s="294"/>
      <c r="AC387" s="294"/>
      <c r="AD387" s="294"/>
      <c r="AE387" s="294"/>
      <c r="AF387" s="294"/>
    </row>
    <row r="388" spans="2:32">
      <c r="D388" s="93" t="s">
        <v>24</v>
      </c>
      <c r="E388" s="356" t="s">
        <v>661</v>
      </c>
      <c r="F388" s="357"/>
      <c r="G388" s="291"/>
      <c r="H388" s="356" t="s">
        <v>1064</v>
      </c>
      <c r="I388" s="291" t="s">
        <v>1063</v>
      </c>
      <c r="J388" s="291" t="s">
        <v>314</v>
      </c>
      <c r="K388" s="291" t="s">
        <v>1065</v>
      </c>
      <c r="L388" s="291"/>
      <c r="M388" s="357"/>
    </row>
    <row r="389" spans="2:32" s="79" customFormat="1">
      <c r="B389" s="265"/>
      <c r="C389" s="265"/>
      <c r="D389" s="265"/>
      <c r="E389" s="354" t="s">
        <v>1444</v>
      </c>
      <c r="F389" s="355" t="s">
        <v>953</v>
      </c>
      <c r="G389" s="325"/>
      <c r="H389" s="354" t="s">
        <v>952</v>
      </c>
      <c r="I389" s="325"/>
      <c r="J389" s="325"/>
      <c r="K389" s="325"/>
      <c r="L389" s="325"/>
      <c r="M389" s="355"/>
      <c r="N389" s="294"/>
      <c r="O389" s="294"/>
      <c r="P389" s="294"/>
      <c r="Q389" s="294"/>
      <c r="R389" s="294"/>
      <c r="S389" s="294"/>
      <c r="T389" s="294"/>
      <c r="U389" s="294"/>
      <c r="V389" s="294"/>
      <c r="W389" s="294"/>
      <c r="X389" s="294"/>
      <c r="Y389" s="294"/>
      <c r="Z389" s="294"/>
      <c r="AA389" s="294"/>
      <c r="AB389" s="294"/>
      <c r="AC389" s="294"/>
      <c r="AD389" s="294"/>
      <c r="AE389" s="294"/>
      <c r="AF389" s="294"/>
    </row>
    <row r="390" spans="2:32" s="79" customFormat="1">
      <c r="B390" s="265"/>
      <c r="C390" s="265"/>
      <c r="D390" s="265"/>
      <c r="E390" s="354" t="s">
        <v>1445</v>
      </c>
      <c r="F390" s="355" t="s">
        <v>1446</v>
      </c>
      <c r="G390" s="325"/>
      <c r="H390" s="354" t="s">
        <v>1447</v>
      </c>
      <c r="I390" s="325"/>
      <c r="J390" s="325"/>
      <c r="K390" s="325"/>
      <c r="L390" s="325"/>
      <c r="M390" s="355"/>
      <c r="N390" s="294"/>
      <c r="O390" s="294"/>
      <c r="P390" s="294"/>
      <c r="Q390" s="294"/>
      <c r="R390" s="294"/>
      <c r="S390" s="294"/>
      <c r="T390" s="294"/>
      <c r="U390" s="294"/>
      <c r="V390" s="294"/>
      <c r="W390" s="294"/>
      <c r="X390" s="294"/>
      <c r="Y390" s="294"/>
      <c r="Z390" s="294"/>
      <c r="AA390" s="294"/>
      <c r="AB390" s="294"/>
      <c r="AC390" s="294"/>
      <c r="AD390" s="294"/>
      <c r="AE390" s="294"/>
      <c r="AF390" s="294"/>
    </row>
    <row r="391" spans="2:32" s="79" customFormat="1">
      <c r="B391" s="265"/>
      <c r="C391" s="265"/>
      <c r="D391" s="265"/>
      <c r="E391" s="354" t="s">
        <v>1448</v>
      </c>
      <c r="F391" s="355" t="s">
        <v>1424</v>
      </c>
      <c r="G391" s="325"/>
      <c r="H391" s="354" t="s">
        <v>1422</v>
      </c>
      <c r="I391" s="325" t="s">
        <v>1423</v>
      </c>
      <c r="J391" s="325"/>
      <c r="K391" s="325"/>
      <c r="L391" s="325"/>
      <c r="M391" s="355"/>
      <c r="N391" s="294"/>
      <c r="O391" s="294"/>
      <c r="P391" s="294"/>
      <c r="Q391" s="294"/>
      <c r="R391" s="294"/>
      <c r="S391" s="294"/>
      <c r="T391" s="294"/>
      <c r="U391" s="294"/>
      <c r="V391" s="294"/>
      <c r="W391" s="294"/>
      <c r="X391" s="294"/>
      <c r="Y391" s="294"/>
      <c r="Z391" s="294"/>
      <c r="AA391" s="294"/>
      <c r="AB391" s="294"/>
      <c r="AC391" s="294"/>
      <c r="AD391" s="294"/>
      <c r="AE391" s="294"/>
      <c r="AF391" s="294"/>
    </row>
    <row r="392" spans="2:32" s="79" customFormat="1">
      <c r="B392" s="265"/>
      <c r="C392" s="265"/>
      <c r="D392" s="265"/>
      <c r="E392" s="354" t="s">
        <v>1449</v>
      </c>
      <c r="F392" s="355"/>
      <c r="G392" s="325"/>
      <c r="H392" s="354" t="s">
        <v>1450</v>
      </c>
      <c r="I392" s="325" t="s">
        <v>758</v>
      </c>
      <c r="J392" s="325"/>
      <c r="K392" s="325"/>
      <c r="L392" s="325"/>
      <c r="M392" s="355"/>
      <c r="N392" s="294"/>
      <c r="O392" s="294"/>
      <c r="P392" s="294"/>
      <c r="Q392" s="294"/>
      <c r="R392" s="294"/>
      <c r="S392" s="294"/>
      <c r="T392" s="294"/>
      <c r="U392" s="294"/>
      <c r="V392" s="294"/>
      <c r="W392" s="294"/>
      <c r="X392" s="294"/>
      <c r="Y392" s="294"/>
      <c r="Z392" s="294"/>
      <c r="AA392" s="294"/>
      <c r="AB392" s="294"/>
      <c r="AC392" s="294"/>
      <c r="AD392" s="294"/>
      <c r="AE392" s="294"/>
      <c r="AF392" s="294"/>
    </row>
    <row r="393" spans="2:32" s="79" customFormat="1">
      <c r="B393" s="265"/>
      <c r="C393" s="265"/>
      <c r="D393" s="265"/>
      <c r="E393" s="354" t="s">
        <v>1451</v>
      </c>
      <c r="F393" s="355" t="s">
        <v>1016</v>
      </c>
      <c r="G393" s="325"/>
      <c r="H393" s="354" t="s">
        <v>1015</v>
      </c>
      <c r="I393" s="325" t="s">
        <v>465</v>
      </c>
      <c r="J393" s="325"/>
      <c r="K393" s="325"/>
      <c r="L393" s="325"/>
      <c r="M393" s="355"/>
      <c r="N393" s="294"/>
      <c r="O393" s="294"/>
      <c r="P393" s="294"/>
      <c r="Q393" s="294"/>
      <c r="R393" s="294"/>
      <c r="S393" s="294"/>
      <c r="T393" s="294"/>
      <c r="U393" s="294"/>
      <c r="V393" s="294"/>
      <c r="W393" s="294"/>
      <c r="X393" s="294"/>
      <c r="Y393" s="294"/>
      <c r="Z393" s="294"/>
      <c r="AA393" s="294"/>
      <c r="AB393" s="294"/>
      <c r="AC393" s="294"/>
      <c r="AD393" s="294"/>
      <c r="AE393" s="294"/>
      <c r="AF393" s="294"/>
    </row>
    <row r="394" spans="2:32" s="79" customFormat="1">
      <c r="B394" s="265"/>
      <c r="C394" s="265"/>
      <c r="D394" s="265"/>
      <c r="E394" s="354" t="s">
        <v>1452</v>
      </c>
      <c r="F394" s="355" t="s">
        <v>1423</v>
      </c>
      <c r="G394" s="325"/>
      <c r="H394" s="354" t="s">
        <v>1422</v>
      </c>
      <c r="I394" s="325" t="s">
        <v>1424</v>
      </c>
      <c r="J394" s="325"/>
      <c r="K394" s="325"/>
      <c r="L394" s="325"/>
      <c r="M394" s="355"/>
      <c r="N394" s="294"/>
      <c r="O394" s="294"/>
      <c r="P394" s="294"/>
      <c r="Q394" s="294"/>
      <c r="R394" s="294"/>
      <c r="S394" s="294"/>
      <c r="T394" s="294"/>
      <c r="U394" s="294"/>
      <c r="V394" s="294"/>
      <c r="W394" s="294"/>
      <c r="X394" s="294"/>
      <c r="Y394" s="294"/>
      <c r="Z394" s="294"/>
      <c r="AA394" s="294"/>
      <c r="AB394" s="294"/>
      <c r="AC394" s="294"/>
      <c r="AD394" s="294"/>
      <c r="AE394" s="294"/>
      <c r="AF394" s="294"/>
    </row>
    <row r="395" spans="2:32" s="79" customFormat="1">
      <c r="B395" s="265"/>
      <c r="C395" s="265"/>
      <c r="D395" s="265"/>
      <c r="E395" s="354" t="s">
        <v>1365</v>
      </c>
      <c r="F395" s="355"/>
      <c r="G395" s="325"/>
      <c r="H395" s="354" t="s">
        <v>1364</v>
      </c>
      <c r="I395" s="325"/>
      <c r="J395" s="325"/>
      <c r="K395" s="325"/>
      <c r="L395" s="325"/>
      <c r="M395" s="355"/>
      <c r="N395" s="294"/>
      <c r="O395" s="294"/>
      <c r="P395" s="294"/>
      <c r="Q395" s="294"/>
      <c r="R395" s="294"/>
      <c r="S395" s="294"/>
      <c r="T395" s="294"/>
      <c r="U395" s="294"/>
      <c r="V395" s="294"/>
      <c r="W395" s="294"/>
      <c r="X395" s="294"/>
      <c r="Y395" s="294"/>
      <c r="Z395" s="294"/>
      <c r="AA395" s="294"/>
      <c r="AB395" s="294"/>
      <c r="AC395" s="294"/>
      <c r="AD395" s="294"/>
      <c r="AE395" s="294"/>
      <c r="AF395" s="294"/>
    </row>
    <row r="396" spans="2:32" s="79" customFormat="1">
      <c r="B396" s="265"/>
      <c r="C396" s="265"/>
      <c r="D396" s="265"/>
      <c r="E396" s="354" t="s">
        <v>678</v>
      </c>
      <c r="F396" s="355"/>
      <c r="G396" s="325"/>
      <c r="H396" s="354" t="s">
        <v>1191</v>
      </c>
      <c r="I396" s="325"/>
      <c r="J396" s="325"/>
      <c r="K396" s="325"/>
      <c r="L396" s="325"/>
      <c r="M396" s="355"/>
      <c r="N396" s="294"/>
      <c r="O396" s="294"/>
      <c r="P396" s="294"/>
      <c r="Q396" s="294"/>
      <c r="R396" s="294"/>
      <c r="S396" s="294"/>
      <c r="T396" s="294"/>
      <c r="U396" s="294"/>
      <c r="V396" s="294"/>
      <c r="W396" s="294"/>
      <c r="X396" s="294"/>
      <c r="Y396" s="294"/>
      <c r="Z396" s="294"/>
      <c r="AA396" s="294"/>
      <c r="AB396" s="294"/>
      <c r="AC396" s="294"/>
      <c r="AD396" s="294"/>
      <c r="AE396" s="294"/>
      <c r="AF396" s="294"/>
    </row>
    <row r="397" spans="2:32" s="79" customFormat="1">
      <c r="B397" s="265"/>
      <c r="C397" s="265"/>
      <c r="D397" s="265"/>
      <c r="E397" s="354" t="s">
        <v>960</v>
      </c>
      <c r="F397" s="355"/>
      <c r="G397" s="325"/>
      <c r="H397" s="354" t="s">
        <v>959</v>
      </c>
      <c r="I397" s="325" t="s">
        <v>958</v>
      </c>
      <c r="J397" s="325" t="s">
        <v>961</v>
      </c>
      <c r="K397" s="325" t="s">
        <v>962</v>
      </c>
      <c r="L397" s="325" t="s">
        <v>963</v>
      </c>
      <c r="M397" s="355"/>
      <c r="N397" s="294"/>
      <c r="O397" s="294"/>
      <c r="P397" s="294"/>
      <c r="Q397" s="294"/>
      <c r="R397" s="294"/>
      <c r="S397" s="294"/>
      <c r="T397" s="294"/>
      <c r="U397" s="294"/>
      <c r="V397" s="294"/>
      <c r="W397" s="294"/>
      <c r="X397" s="294"/>
      <c r="Y397" s="294"/>
      <c r="Z397" s="294"/>
      <c r="AA397" s="294"/>
      <c r="AB397" s="294"/>
      <c r="AC397" s="294"/>
      <c r="AD397" s="294"/>
      <c r="AE397" s="294"/>
      <c r="AF397" s="294"/>
    </row>
    <row r="398" spans="2:32" s="79" customFormat="1">
      <c r="B398" s="265"/>
      <c r="C398" s="265"/>
      <c r="D398" s="265"/>
      <c r="E398" s="354" t="s">
        <v>1453</v>
      </c>
      <c r="F398" s="355"/>
      <c r="G398" s="325"/>
      <c r="H398" s="354" t="s">
        <v>1454</v>
      </c>
      <c r="I398" s="325"/>
      <c r="J398" s="325"/>
      <c r="K398" s="325"/>
      <c r="L398" s="325"/>
      <c r="M398" s="355"/>
      <c r="N398" s="294"/>
      <c r="O398" s="294"/>
      <c r="P398" s="294"/>
      <c r="Q398" s="294"/>
      <c r="R398" s="294"/>
      <c r="S398" s="294"/>
      <c r="T398" s="294"/>
      <c r="U398" s="294"/>
      <c r="V398" s="294"/>
      <c r="W398" s="294"/>
      <c r="X398" s="294"/>
      <c r="Y398" s="294"/>
      <c r="Z398" s="294"/>
      <c r="AA398" s="294"/>
      <c r="AB398" s="294"/>
      <c r="AC398" s="294"/>
      <c r="AD398" s="294"/>
      <c r="AE398" s="294"/>
      <c r="AF398" s="294"/>
    </row>
    <row r="399" spans="2:32" s="79" customFormat="1">
      <c r="B399" s="265"/>
      <c r="C399" s="265"/>
      <c r="D399" s="265"/>
      <c r="E399" s="354" t="s">
        <v>1455</v>
      </c>
      <c r="F399" s="355"/>
      <c r="G399" s="325"/>
      <c r="H399" s="354" t="s">
        <v>960</v>
      </c>
      <c r="I399" s="325" t="s">
        <v>959</v>
      </c>
      <c r="J399" s="325" t="s">
        <v>1456</v>
      </c>
      <c r="K399" s="325" t="s">
        <v>962</v>
      </c>
      <c r="L399" s="325" t="s">
        <v>963</v>
      </c>
      <c r="M399" s="355"/>
      <c r="N399" s="294"/>
      <c r="O399" s="294"/>
      <c r="P399" s="294"/>
      <c r="Q399" s="294"/>
      <c r="R399" s="294"/>
      <c r="S399" s="294"/>
      <c r="T399" s="294"/>
      <c r="U399" s="294"/>
      <c r="V399" s="294"/>
      <c r="W399" s="294"/>
      <c r="X399" s="294"/>
      <c r="Y399" s="294"/>
      <c r="Z399" s="294"/>
      <c r="AA399" s="294"/>
      <c r="AB399" s="294"/>
      <c r="AC399" s="294"/>
      <c r="AD399" s="294"/>
      <c r="AE399" s="294"/>
      <c r="AF399" s="294"/>
    </row>
    <row r="400" spans="2:32" s="79" customFormat="1">
      <c r="B400" s="265"/>
      <c r="C400" s="265"/>
      <c r="D400" s="265"/>
      <c r="E400" s="354" t="s">
        <v>1457</v>
      </c>
      <c r="F400" s="355"/>
      <c r="G400" s="325"/>
      <c r="H400" s="354" t="s">
        <v>1241</v>
      </c>
      <c r="I400" s="325"/>
      <c r="J400" s="325"/>
      <c r="K400" s="325"/>
      <c r="L400" s="325"/>
      <c r="M400" s="355"/>
      <c r="N400" s="294"/>
      <c r="O400" s="294"/>
      <c r="P400" s="294"/>
      <c r="Q400" s="294"/>
      <c r="R400" s="294"/>
      <c r="S400" s="294"/>
      <c r="T400" s="294"/>
      <c r="U400" s="294"/>
      <c r="V400" s="294"/>
      <c r="W400" s="294"/>
      <c r="X400" s="294"/>
      <c r="Y400" s="294"/>
      <c r="Z400" s="294"/>
      <c r="AA400" s="294"/>
      <c r="AB400" s="294"/>
      <c r="AC400" s="294"/>
      <c r="AD400" s="294"/>
      <c r="AE400" s="294"/>
      <c r="AF400" s="294"/>
    </row>
    <row r="401" spans="2:32" s="79" customFormat="1">
      <c r="B401" s="265"/>
      <c r="C401" s="265"/>
      <c r="D401" s="265"/>
      <c r="E401" s="354" t="s">
        <v>1249</v>
      </c>
      <c r="F401" s="355"/>
      <c r="G401" s="325"/>
      <c r="H401" s="354" t="s">
        <v>474</v>
      </c>
      <c r="I401" s="325" t="s">
        <v>614</v>
      </c>
      <c r="J401" s="325"/>
      <c r="K401" s="325"/>
      <c r="L401" s="325"/>
      <c r="M401" s="355"/>
      <c r="N401" s="294"/>
      <c r="O401" s="294"/>
      <c r="P401" s="294"/>
      <c r="Q401" s="294"/>
      <c r="R401" s="294"/>
      <c r="S401" s="294"/>
      <c r="T401" s="294"/>
      <c r="U401" s="294"/>
      <c r="V401" s="294"/>
      <c r="W401" s="294"/>
      <c r="X401" s="294"/>
      <c r="Y401" s="294"/>
      <c r="Z401" s="294"/>
      <c r="AA401" s="294"/>
      <c r="AB401" s="294"/>
      <c r="AC401" s="294"/>
      <c r="AD401" s="294"/>
      <c r="AE401" s="294"/>
      <c r="AF401" s="294"/>
    </row>
    <row r="402" spans="2:32" s="79" customFormat="1">
      <c r="B402" s="265"/>
      <c r="C402" s="265"/>
      <c r="D402" s="265"/>
      <c r="E402" s="354" t="s">
        <v>833</v>
      </c>
      <c r="F402" s="355"/>
      <c r="G402" s="325"/>
      <c r="H402" s="354" t="s">
        <v>1458</v>
      </c>
      <c r="I402" s="325"/>
      <c r="J402" s="325"/>
      <c r="K402" s="325"/>
      <c r="L402" s="325"/>
      <c r="M402" s="355"/>
      <c r="N402" s="294"/>
      <c r="O402" s="294"/>
      <c r="P402" s="294"/>
      <c r="Q402" s="294"/>
      <c r="R402" s="294"/>
      <c r="S402" s="294"/>
      <c r="T402" s="294"/>
      <c r="U402" s="294"/>
      <c r="V402" s="294"/>
      <c r="W402" s="294"/>
      <c r="X402" s="294"/>
      <c r="Y402" s="294"/>
      <c r="Z402" s="294"/>
      <c r="AA402" s="294"/>
      <c r="AB402" s="294"/>
      <c r="AC402" s="294"/>
      <c r="AD402" s="294"/>
      <c r="AE402" s="294"/>
      <c r="AF402" s="294"/>
    </row>
    <row r="403" spans="2:32" s="79" customFormat="1">
      <c r="B403" s="265"/>
      <c r="C403" s="265"/>
      <c r="D403" s="265"/>
      <c r="E403" s="354" t="s">
        <v>1459</v>
      </c>
      <c r="F403" s="355"/>
      <c r="G403" s="325"/>
      <c r="H403" s="354" t="s">
        <v>1460</v>
      </c>
      <c r="I403" s="325"/>
      <c r="J403" s="325"/>
      <c r="K403" s="325"/>
      <c r="L403" s="325"/>
      <c r="M403" s="355"/>
      <c r="N403" s="294"/>
      <c r="O403" s="294"/>
      <c r="P403" s="294"/>
      <c r="Q403" s="294"/>
      <c r="R403" s="294"/>
      <c r="S403" s="294"/>
      <c r="T403" s="294"/>
      <c r="U403" s="294"/>
      <c r="V403" s="294"/>
      <c r="W403" s="294"/>
      <c r="X403" s="294"/>
      <c r="Y403" s="294"/>
      <c r="Z403" s="294"/>
      <c r="AA403" s="294"/>
      <c r="AB403" s="294"/>
      <c r="AC403" s="294"/>
      <c r="AD403" s="294"/>
      <c r="AE403" s="294"/>
      <c r="AF403" s="294"/>
    </row>
    <row r="404" spans="2:32" s="79" customFormat="1">
      <c r="B404" s="265"/>
      <c r="C404" s="265"/>
      <c r="D404" s="265"/>
      <c r="E404" s="354" t="s">
        <v>1461</v>
      </c>
      <c r="F404" s="355"/>
      <c r="G404" s="325"/>
      <c r="H404" s="354" t="s">
        <v>1462</v>
      </c>
      <c r="I404" s="325"/>
      <c r="J404" s="325"/>
      <c r="K404" s="325"/>
      <c r="L404" s="325"/>
      <c r="M404" s="355"/>
      <c r="N404" s="294"/>
      <c r="O404" s="294"/>
      <c r="P404" s="294"/>
      <c r="Q404" s="294"/>
      <c r="R404" s="294"/>
      <c r="S404" s="294"/>
      <c r="T404" s="294"/>
      <c r="U404" s="294"/>
      <c r="V404" s="294"/>
      <c r="W404" s="294"/>
      <c r="X404" s="294"/>
      <c r="Y404" s="294"/>
      <c r="Z404" s="294"/>
      <c r="AA404" s="294"/>
      <c r="AB404" s="294"/>
      <c r="AC404" s="294"/>
      <c r="AD404" s="294"/>
      <c r="AE404" s="294"/>
      <c r="AF404" s="294"/>
    </row>
    <row r="405" spans="2:32" s="79" customFormat="1">
      <c r="B405" s="265"/>
      <c r="C405" s="265"/>
      <c r="D405" s="265"/>
      <c r="E405" s="354" t="s">
        <v>1330</v>
      </c>
      <c r="F405" s="355"/>
      <c r="G405" s="325"/>
      <c r="H405" s="354" t="s">
        <v>1329</v>
      </c>
      <c r="I405" s="325" t="s">
        <v>1331</v>
      </c>
      <c r="J405" s="325"/>
      <c r="K405" s="325"/>
      <c r="L405" s="325"/>
      <c r="M405" s="355"/>
      <c r="N405" s="294"/>
      <c r="O405" s="294"/>
      <c r="P405" s="294"/>
      <c r="Q405" s="294"/>
      <c r="R405" s="294"/>
      <c r="S405" s="294"/>
      <c r="T405" s="294"/>
      <c r="U405" s="294"/>
      <c r="V405" s="294"/>
      <c r="W405" s="294"/>
      <c r="X405" s="294"/>
      <c r="Y405" s="294"/>
      <c r="Z405" s="294"/>
      <c r="AA405" s="294"/>
      <c r="AB405" s="294"/>
      <c r="AC405" s="294"/>
      <c r="AD405" s="294"/>
      <c r="AE405" s="294"/>
      <c r="AF405" s="294"/>
    </row>
    <row r="406" spans="2:32">
      <c r="D406" s="93" t="s">
        <v>24</v>
      </c>
      <c r="E406" s="356" t="s">
        <v>700</v>
      </c>
      <c r="F406" s="357"/>
      <c r="G406" s="291"/>
      <c r="H406" s="356" t="s">
        <v>1463</v>
      </c>
      <c r="I406" s="291"/>
      <c r="J406" s="291"/>
      <c r="K406" s="291"/>
      <c r="L406" s="291"/>
      <c r="M406" s="357"/>
    </row>
    <row r="407" spans="2:32" s="79" customFormat="1">
      <c r="B407" s="265"/>
      <c r="C407" s="265"/>
      <c r="D407" s="265"/>
      <c r="E407" s="354" t="s">
        <v>1299</v>
      </c>
      <c r="F407" s="355"/>
      <c r="G407" s="325"/>
      <c r="H407" s="354" t="s">
        <v>1298</v>
      </c>
      <c r="I407" s="325"/>
      <c r="J407" s="325"/>
      <c r="K407" s="325"/>
      <c r="L407" s="325"/>
      <c r="M407" s="355"/>
      <c r="N407" s="294"/>
      <c r="O407" s="294"/>
      <c r="P407" s="294"/>
      <c r="Q407" s="294"/>
      <c r="R407" s="294"/>
      <c r="S407" s="294"/>
      <c r="T407" s="294"/>
      <c r="U407" s="294"/>
      <c r="V407" s="294"/>
      <c r="W407" s="294"/>
      <c r="X407" s="294"/>
      <c r="Y407" s="294"/>
      <c r="Z407" s="294"/>
      <c r="AA407" s="294"/>
      <c r="AB407" s="294"/>
      <c r="AC407" s="294"/>
      <c r="AD407" s="294"/>
      <c r="AE407" s="294"/>
      <c r="AF407" s="294"/>
    </row>
    <row r="408" spans="2:32" s="79" customFormat="1">
      <c r="B408" s="265"/>
      <c r="C408" s="265"/>
      <c r="D408" s="265"/>
      <c r="E408" s="354" t="s">
        <v>1118</v>
      </c>
      <c r="F408" s="355"/>
      <c r="G408" s="325"/>
      <c r="H408" s="354" t="s">
        <v>1117</v>
      </c>
      <c r="I408" s="325"/>
      <c r="J408" s="325"/>
      <c r="K408" s="325"/>
      <c r="L408" s="325"/>
      <c r="M408" s="355"/>
      <c r="N408" s="294"/>
      <c r="O408" s="294"/>
      <c r="P408" s="294"/>
      <c r="Q408" s="294"/>
      <c r="R408" s="294"/>
      <c r="S408" s="294"/>
      <c r="T408" s="294"/>
      <c r="U408" s="294"/>
      <c r="V408" s="294"/>
      <c r="W408" s="294"/>
      <c r="X408" s="294"/>
      <c r="Y408" s="294"/>
      <c r="Z408" s="294"/>
      <c r="AA408" s="294"/>
      <c r="AB408" s="294"/>
      <c r="AC408" s="294"/>
      <c r="AD408" s="294"/>
      <c r="AE408" s="294"/>
      <c r="AF408" s="294"/>
    </row>
    <row r="409" spans="2:32" s="79" customFormat="1">
      <c r="B409" s="265"/>
      <c r="C409" s="265"/>
      <c r="D409" s="265"/>
      <c r="E409" s="354" t="s">
        <v>1209</v>
      </c>
      <c r="F409" s="355"/>
      <c r="G409" s="325"/>
      <c r="H409" s="354" t="s">
        <v>1207</v>
      </c>
      <c r="I409" s="325" t="s">
        <v>1208</v>
      </c>
      <c r="J409" s="325" t="s">
        <v>1464</v>
      </c>
      <c r="K409" s="325"/>
      <c r="L409" s="325"/>
      <c r="M409" s="355"/>
      <c r="N409" s="294"/>
      <c r="O409" s="294"/>
      <c r="P409" s="294"/>
      <c r="Q409" s="294"/>
      <c r="R409" s="294"/>
      <c r="S409" s="294"/>
      <c r="T409" s="294"/>
      <c r="U409" s="294"/>
      <c r="V409" s="294"/>
      <c r="W409" s="294"/>
      <c r="X409" s="294"/>
      <c r="Y409" s="294"/>
      <c r="Z409" s="294"/>
      <c r="AA409" s="294"/>
      <c r="AB409" s="294"/>
      <c r="AC409" s="294"/>
      <c r="AD409" s="294"/>
      <c r="AE409" s="294"/>
      <c r="AF409" s="294"/>
    </row>
    <row r="410" spans="2:32" s="79" customFormat="1">
      <c r="B410" s="265"/>
      <c r="C410" s="265"/>
      <c r="D410" s="265"/>
      <c r="E410" s="354" t="s">
        <v>1351</v>
      </c>
      <c r="F410" s="355"/>
      <c r="G410" s="325"/>
      <c r="H410" s="354" t="s">
        <v>1350</v>
      </c>
      <c r="I410" s="325"/>
      <c r="J410" s="325"/>
      <c r="K410" s="325"/>
      <c r="L410" s="325"/>
      <c r="M410" s="355"/>
      <c r="N410" s="294"/>
      <c r="O410" s="294"/>
      <c r="P410" s="294"/>
      <c r="Q410" s="294"/>
      <c r="R410" s="294"/>
      <c r="S410" s="294"/>
      <c r="T410" s="294"/>
      <c r="U410" s="294"/>
      <c r="V410" s="294"/>
      <c r="W410" s="294"/>
      <c r="X410" s="294"/>
      <c r="Y410" s="294"/>
      <c r="Z410" s="294"/>
      <c r="AA410" s="294"/>
      <c r="AB410" s="294"/>
      <c r="AC410" s="294"/>
      <c r="AD410" s="294"/>
      <c r="AE410" s="294"/>
      <c r="AF410" s="294"/>
    </row>
    <row r="411" spans="2:32" s="79" customFormat="1">
      <c r="B411" s="265"/>
      <c r="C411" s="265"/>
      <c r="D411" s="265"/>
      <c r="E411" s="354" t="s">
        <v>997</v>
      </c>
      <c r="F411" s="355"/>
      <c r="G411" s="325"/>
      <c r="H411" s="354" t="s">
        <v>996</v>
      </c>
      <c r="I411" s="325"/>
      <c r="J411" s="325"/>
      <c r="K411" s="325"/>
      <c r="L411" s="325"/>
      <c r="M411" s="355"/>
      <c r="N411" s="294"/>
      <c r="O411" s="294"/>
      <c r="P411" s="294"/>
      <c r="Q411" s="294"/>
      <c r="R411" s="294"/>
      <c r="S411" s="294"/>
      <c r="T411" s="294"/>
      <c r="U411" s="294"/>
      <c r="V411" s="294"/>
      <c r="W411" s="294"/>
      <c r="X411" s="294"/>
      <c r="Y411" s="294"/>
      <c r="Z411" s="294"/>
      <c r="AA411" s="294"/>
      <c r="AB411" s="294"/>
      <c r="AC411" s="294"/>
      <c r="AD411" s="294"/>
      <c r="AE411" s="294"/>
      <c r="AF411" s="294"/>
    </row>
    <row r="412" spans="2:32">
      <c r="D412" s="93" t="s">
        <v>24</v>
      </c>
      <c r="E412" s="356" t="s">
        <v>710</v>
      </c>
      <c r="F412" s="357"/>
      <c r="G412" s="291"/>
      <c r="H412" s="356" t="s">
        <v>1465</v>
      </c>
      <c r="I412" s="291"/>
      <c r="J412" s="291"/>
      <c r="K412" s="291"/>
      <c r="L412" s="291"/>
      <c r="M412" s="357"/>
    </row>
    <row r="413" spans="2:32" s="79" customFormat="1">
      <c r="B413" s="265"/>
      <c r="C413" s="265"/>
      <c r="D413" s="265"/>
      <c r="E413" s="354" t="s">
        <v>1380</v>
      </c>
      <c r="F413" s="355"/>
      <c r="G413" s="325"/>
      <c r="H413" s="354" t="s">
        <v>1379</v>
      </c>
      <c r="I413" s="325"/>
      <c r="J413" s="325"/>
      <c r="K413" s="325"/>
      <c r="L413" s="325"/>
      <c r="M413" s="355"/>
      <c r="N413" s="294"/>
      <c r="O413" s="294"/>
      <c r="P413" s="294"/>
      <c r="Q413" s="294"/>
      <c r="R413" s="294"/>
      <c r="S413" s="294"/>
      <c r="T413" s="294"/>
      <c r="U413" s="294"/>
      <c r="V413" s="294"/>
      <c r="W413" s="294"/>
      <c r="X413" s="294"/>
      <c r="Y413" s="294"/>
      <c r="Z413" s="294"/>
      <c r="AA413" s="294"/>
      <c r="AB413" s="294"/>
      <c r="AC413" s="294"/>
      <c r="AD413" s="294"/>
      <c r="AE413" s="294"/>
      <c r="AF413" s="294"/>
    </row>
    <row r="414" spans="2:32" s="79" customFormat="1">
      <c r="B414" s="265"/>
      <c r="C414" s="265"/>
      <c r="D414" s="265"/>
      <c r="E414" s="354" t="s">
        <v>1466</v>
      </c>
      <c r="F414" s="355"/>
      <c r="G414" s="325"/>
      <c r="H414" s="354" t="s">
        <v>1467</v>
      </c>
      <c r="I414" s="325"/>
      <c r="J414" s="325"/>
      <c r="K414" s="325"/>
      <c r="L414" s="325"/>
      <c r="M414" s="355"/>
      <c r="N414" s="294"/>
      <c r="O414" s="294"/>
      <c r="P414" s="294"/>
      <c r="Q414" s="294"/>
      <c r="R414" s="294"/>
      <c r="S414" s="294"/>
      <c r="T414" s="294"/>
      <c r="U414" s="294"/>
      <c r="V414" s="294"/>
      <c r="W414" s="294"/>
      <c r="X414" s="294"/>
      <c r="Y414" s="294"/>
      <c r="Z414" s="294"/>
      <c r="AA414" s="294"/>
      <c r="AB414" s="294"/>
      <c r="AC414" s="294"/>
      <c r="AD414" s="294"/>
      <c r="AE414" s="294"/>
      <c r="AF414" s="294"/>
    </row>
    <row r="415" spans="2:32">
      <c r="D415" s="93" t="s">
        <v>24</v>
      </c>
      <c r="E415" s="356" t="s">
        <v>1468</v>
      </c>
      <c r="F415" s="357"/>
      <c r="G415" s="291"/>
      <c r="H415" s="356" t="s">
        <v>1469</v>
      </c>
      <c r="I415" s="291"/>
      <c r="J415" s="291"/>
      <c r="K415" s="291"/>
      <c r="L415" s="291"/>
      <c r="M415" s="357"/>
    </row>
    <row r="416" spans="2:32">
      <c r="D416" s="93" t="s">
        <v>24</v>
      </c>
      <c r="E416" s="356" t="s">
        <v>715</v>
      </c>
      <c r="F416" s="357"/>
      <c r="G416" s="291"/>
      <c r="H416" s="356" t="s">
        <v>1470</v>
      </c>
      <c r="I416" s="291"/>
      <c r="J416" s="291"/>
      <c r="K416" s="291"/>
      <c r="L416" s="291"/>
      <c r="M416" s="357"/>
    </row>
    <row r="417" spans="2:32">
      <c r="D417" s="93" t="s">
        <v>24</v>
      </c>
      <c r="E417" s="356" t="s">
        <v>716</v>
      </c>
      <c r="F417" s="357"/>
      <c r="G417" s="291"/>
      <c r="H417" s="356" t="s">
        <v>1316</v>
      </c>
      <c r="I417" s="291" t="s">
        <v>581</v>
      </c>
      <c r="J417" s="291"/>
      <c r="K417" s="291"/>
      <c r="L417" s="291"/>
      <c r="M417" s="357"/>
    </row>
    <row r="418" spans="2:32" s="79" customFormat="1">
      <c r="B418" s="265"/>
      <c r="C418" s="265"/>
      <c r="D418" s="265"/>
      <c r="E418" s="358" t="s">
        <v>1471</v>
      </c>
      <c r="F418" s="359" t="s">
        <v>1419</v>
      </c>
      <c r="G418" s="325"/>
      <c r="H418" s="358" t="s">
        <v>1418</v>
      </c>
      <c r="I418" s="386"/>
      <c r="J418" s="386"/>
      <c r="K418" s="386"/>
      <c r="L418" s="386"/>
      <c r="M418" s="359"/>
      <c r="N418" s="294"/>
      <c r="O418" s="294"/>
      <c r="P418" s="294"/>
      <c r="Q418" s="294"/>
      <c r="R418" s="294"/>
      <c r="S418" s="294"/>
      <c r="T418" s="294"/>
      <c r="U418" s="294"/>
      <c r="V418" s="294"/>
      <c r="W418" s="294"/>
      <c r="X418" s="294"/>
      <c r="Y418" s="294"/>
      <c r="Z418" s="294"/>
      <c r="AA418" s="294"/>
      <c r="AB418" s="294"/>
      <c r="AC418" s="294"/>
      <c r="AD418" s="294"/>
      <c r="AE418" s="294"/>
      <c r="AF418" s="294"/>
    </row>
    <row r="419" spans="2:32" ht="8" customHeight="1">
      <c r="B419" s="262" t="s">
        <v>12</v>
      </c>
      <c r="C419" s="262" t="s">
        <v>12</v>
      </c>
      <c r="D419" s="262" t="s">
        <v>12</v>
      </c>
      <c r="E419" s="291"/>
      <c r="F419" s="291"/>
      <c r="G419" s="291"/>
      <c r="H419" s="291"/>
      <c r="I419" s="291"/>
      <c r="J419" s="291"/>
      <c r="K419" s="291"/>
      <c r="L419" s="291"/>
      <c r="M419" s="291"/>
    </row>
    <row r="420" spans="2:32" ht="16">
      <c r="B420" s="262" t="s">
        <v>12</v>
      </c>
      <c r="C420" s="262" t="s">
        <v>12</v>
      </c>
      <c r="D420" s="262" t="s">
        <v>12</v>
      </c>
      <c r="E420" s="360" t="s">
        <v>720</v>
      </c>
      <c r="F420" s="360"/>
      <c r="G420" s="360"/>
      <c r="H420" s="291"/>
      <c r="I420" s="291"/>
      <c r="J420" s="291"/>
      <c r="K420" s="291"/>
      <c r="L420" s="291"/>
      <c r="M420" s="291"/>
    </row>
    <row r="421" spans="2:32" s="79" customFormat="1">
      <c r="B421" s="265"/>
      <c r="C421" s="265"/>
      <c r="D421" s="265"/>
      <c r="E421" s="402" t="s">
        <v>1472</v>
      </c>
      <c r="F421" s="403"/>
      <c r="G421" s="325"/>
      <c r="H421" s="402" t="s">
        <v>1069</v>
      </c>
      <c r="I421" s="409" t="s">
        <v>1473</v>
      </c>
      <c r="J421" s="409" t="s">
        <v>1071</v>
      </c>
      <c r="K421" s="409" t="s">
        <v>1072</v>
      </c>
      <c r="L421" s="409" t="s">
        <v>1074</v>
      </c>
      <c r="M421" s="403" t="s">
        <v>523</v>
      </c>
      <c r="N421" s="294"/>
      <c r="O421" s="294"/>
      <c r="P421" s="294"/>
      <c r="Q421" s="294"/>
      <c r="R421" s="294"/>
      <c r="S421" s="294"/>
      <c r="T421" s="294"/>
      <c r="U421" s="294"/>
      <c r="V421" s="294"/>
      <c r="W421" s="294"/>
      <c r="X421" s="294"/>
      <c r="Y421" s="294"/>
      <c r="Z421" s="294"/>
      <c r="AA421" s="294"/>
      <c r="AB421" s="294"/>
      <c r="AC421" s="294"/>
      <c r="AD421" s="294"/>
      <c r="AE421" s="294"/>
      <c r="AF421" s="294"/>
    </row>
    <row r="422" spans="2:32" s="79" customFormat="1">
      <c r="B422" s="265"/>
      <c r="C422" s="265"/>
      <c r="D422" s="265"/>
      <c r="E422" s="365" t="s">
        <v>1074</v>
      </c>
      <c r="F422" s="366"/>
      <c r="G422" s="325"/>
      <c r="H422" s="365" t="s">
        <v>1069</v>
      </c>
      <c r="I422" s="325" t="s">
        <v>1473</v>
      </c>
      <c r="J422" s="325" t="s">
        <v>1071</v>
      </c>
      <c r="K422" s="325" t="s">
        <v>1072</v>
      </c>
      <c r="L422" s="325" t="s">
        <v>1472</v>
      </c>
      <c r="M422" s="366" t="s">
        <v>523</v>
      </c>
      <c r="N422" s="294"/>
      <c r="O422" s="294"/>
      <c r="P422" s="294"/>
      <c r="Q422" s="294"/>
      <c r="R422" s="294"/>
      <c r="S422" s="294"/>
      <c r="T422" s="294"/>
      <c r="U422" s="294"/>
      <c r="V422" s="294"/>
      <c r="W422" s="294"/>
      <c r="X422" s="294"/>
      <c r="Y422" s="294"/>
      <c r="Z422" s="294"/>
      <c r="AA422" s="294"/>
      <c r="AB422" s="294"/>
      <c r="AC422" s="294"/>
      <c r="AD422" s="294"/>
      <c r="AE422" s="294"/>
      <c r="AF422" s="294"/>
    </row>
    <row r="423" spans="2:32" s="79" customFormat="1">
      <c r="B423" s="265"/>
      <c r="C423" s="265"/>
      <c r="D423" s="265"/>
      <c r="E423" s="365" t="s">
        <v>1474</v>
      </c>
      <c r="F423" s="366"/>
      <c r="G423" s="325"/>
      <c r="H423" s="365" t="s">
        <v>1205</v>
      </c>
      <c r="I423" s="325" t="s">
        <v>1475</v>
      </c>
      <c r="J423" s="325"/>
      <c r="K423" s="325"/>
      <c r="L423" s="325"/>
      <c r="M423" s="366"/>
      <c r="N423" s="294"/>
      <c r="O423" s="294"/>
      <c r="P423" s="294"/>
      <c r="Q423" s="294"/>
      <c r="R423" s="294"/>
      <c r="S423" s="294"/>
      <c r="T423" s="294"/>
      <c r="U423" s="294"/>
      <c r="V423" s="294"/>
      <c r="W423" s="294"/>
      <c r="X423" s="294"/>
      <c r="Y423" s="294"/>
      <c r="Z423" s="294"/>
      <c r="AA423" s="294"/>
      <c r="AB423" s="294"/>
      <c r="AC423" s="294"/>
      <c r="AD423" s="294"/>
      <c r="AE423" s="294"/>
      <c r="AF423" s="294"/>
    </row>
    <row r="424" spans="2:32" s="79" customFormat="1">
      <c r="B424" s="265"/>
      <c r="C424" s="265"/>
      <c r="D424" s="265"/>
      <c r="E424" s="365" t="s">
        <v>1465</v>
      </c>
      <c r="F424" s="366"/>
      <c r="G424" s="325"/>
      <c r="H424" s="365" t="s">
        <v>710</v>
      </c>
      <c r="I424" s="325"/>
      <c r="J424" s="325"/>
      <c r="K424" s="325"/>
      <c r="L424" s="325"/>
      <c r="M424" s="366"/>
      <c r="N424" s="294"/>
      <c r="O424" s="294"/>
      <c r="P424" s="294"/>
      <c r="Q424" s="294"/>
      <c r="R424" s="294"/>
      <c r="S424" s="294"/>
      <c r="T424" s="294"/>
      <c r="U424" s="294"/>
      <c r="V424" s="294"/>
      <c r="W424" s="294"/>
      <c r="X424" s="294"/>
      <c r="Y424" s="294"/>
      <c r="Z424" s="294"/>
      <c r="AA424" s="294"/>
      <c r="AB424" s="294"/>
      <c r="AC424" s="294"/>
      <c r="AD424" s="294"/>
      <c r="AE424" s="294"/>
      <c r="AF424" s="294"/>
    </row>
    <row r="425" spans="2:32" s="79" customFormat="1">
      <c r="B425" s="265"/>
      <c r="C425" s="265"/>
      <c r="D425" s="265"/>
      <c r="E425" s="365" t="s">
        <v>1413</v>
      </c>
      <c r="F425" s="366"/>
      <c r="G425" s="325"/>
      <c r="H425" s="365" t="s">
        <v>594</v>
      </c>
      <c r="I425" s="325"/>
      <c r="J425" s="325"/>
      <c r="K425" s="325"/>
      <c r="L425" s="325"/>
      <c r="M425" s="366"/>
      <c r="N425" s="294"/>
      <c r="O425" s="294"/>
      <c r="P425" s="294"/>
      <c r="Q425" s="294"/>
      <c r="R425" s="294"/>
      <c r="S425" s="294"/>
      <c r="T425" s="294"/>
      <c r="U425" s="294"/>
      <c r="V425" s="294"/>
      <c r="W425" s="294"/>
      <c r="X425" s="294"/>
      <c r="Y425" s="294"/>
      <c r="Z425" s="294"/>
      <c r="AA425" s="294"/>
      <c r="AB425" s="294"/>
      <c r="AC425" s="294"/>
      <c r="AD425" s="294"/>
      <c r="AE425" s="294"/>
      <c r="AF425" s="294"/>
    </row>
    <row r="426" spans="2:32" s="79" customFormat="1">
      <c r="B426" s="265"/>
      <c r="C426" s="265"/>
      <c r="D426" s="265"/>
      <c r="E426" s="365" t="s">
        <v>736</v>
      </c>
      <c r="F426" s="366"/>
      <c r="G426" s="325"/>
      <c r="H426" s="365" t="s">
        <v>1348</v>
      </c>
      <c r="I426" s="325" t="s">
        <v>1347</v>
      </c>
      <c r="J426" s="325"/>
      <c r="K426" s="325"/>
      <c r="L426" s="325"/>
      <c r="M426" s="366"/>
      <c r="N426" s="294"/>
      <c r="O426" s="294"/>
      <c r="P426" s="294"/>
      <c r="Q426" s="294"/>
      <c r="R426" s="294"/>
      <c r="S426" s="294"/>
      <c r="T426" s="294"/>
      <c r="U426" s="294"/>
      <c r="V426" s="294"/>
      <c r="W426" s="294"/>
      <c r="X426" s="294"/>
      <c r="Y426" s="294"/>
      <c r="Z426" s="294"/>
      <c r="AA426" s="294"/>
      <c r="AB426" s="294"/>
      <c r="AC426" s="294"/>
      <c r="AD426" s="294"/>
      <c r="AE426" s="294"/>
      <c r="AF426" s="294"/>
    </row>
    <row r="427" spans="2:32" s="79" customFormat="1">
      <c r="B427" s="265"/>
      <c r="C427" s="265"/>
      <c r="D427" s="265"/>
      <c r="E427" s="365" t="s">
        <v>1476</v>
      </c>
      <c r="F427" s="366" t="s">
        <v>1007</v>
      </c>
      <c r="G427" s="325"/>
      <c r="H427" s="365" t="s">
        <v>1037</v>
      </c>
      <c r="I427" s="325" t="s">
        <v>1477</v>
      </c>
      <c r="J427" s="325"/>
      <c r="K427" s="325"/>
      <c r="L427" s="325"/>
      <c r="M427" s="366"/>
      <c r="N427" s="294"/>
      <c r="O427" s="294"/>
      <c r="P427" s="294"/>
      <c r="Q427" s="294"/>
      <c r="R427" s="294"/>
      <c r="S427" s="294"/>
      <c r="T427" s="294"/>
      <c r="U427" s="294"/>
      <c r="V427" s="294"/>
      <c r="W427" s="294"/>
      <c r="X427" s="294"/>
      <c r="Y427" s="294"/>
      <c r="Z427" s="294"/>
      <c r="AA427" s="294"/>
      <c r="AB427" s="294"/>
      <c r="AC427" s="294"/>
      <c r="AD427" s="294"/>
      <c r="AE427" s="294"/>
      <c r="AF427" s="294"/>
    </row>
    <row r="428" spans="2:32" s="79" customFormat="1">
      <c r="B428" s="265"/>
      <c r="C428" s="265"/>
      <c r="D428" s="265"/>
      <c r="E428" s="365" t="s">
        <v>1478</v>
      </c>
      <c r="F428" s="366" t="s">
        <v>1331</v>
      </c>
      <c r="G428" s="325"/>
      <c r="H428" s="365" t="s">
        <v>1329</v>
      </c>
      <c r="I428" s="325" t="s">
        <v>1330</v>
      </c>
      <c r="J428" s="325"/>
      <c r="K428" s="325"/>
      <c r="L428" s="325"/>
      <c r="M428" s="366"/>
      <c r="N428" s="294"/>
      <c r="O428" s="294"/>
      <c r="P428" s="294"/>
      <c r="Q428" s="294"/>
      <c r="R428" s="294"/>
      <c r="S428" s="294"/>
      <c r="T428" s="294"/>
      <c r="U428" s="294"/>
      <c r="V428" s="294"/>
      <c r="W428" s="294"/>
      <c r="X428" s="294"/>
      <c r="Y428" s="294"/>
      <c r="Z428" s="294"/>
      <c r="AA428" s="294"/>
      <c r="AB428" s="294"/>
      <c r="AC428" s="294"/>
      <c r="AD428" s="294"/>
      <c r="AE428" s="294"/>
      <c r="AF428" s="294"/>
    </row>
    <row r="429" spans="2:32">
      <c r="D429" s="93" t="s">
        <v>24</v>
      </c>
      <c r="E429" s="363" t="s">
        <v>1479</v>
      </c>
      <c r="F429" s="364" t="s">
        <v>723</v>
      </c>
      <c r="G429" s="291"/>
      <c r="H429" s="363" t="s">
        <v>1480</v>
      </c>
      <c r="I429" s="291"/>
      <c r="J429" s="291"/>
      <c r="K429" s="291"/>
      <c r="L429" s="291"/>
      <c r="M429" s="364"/>
    </row>
    <row r="430" spans="2:32" s="79" customFormat="1">
      <c r="B430" s="265"/>
      <c r="C430" s="265"/>
      <c r="D430" s="265"/>
      <c r="E430" s="365" t="s">
        <v>1481</v>
      </c>
      <c r="F430" s="366" t="s">
        <v>821</v>
      </c>
      <c r="G430" s="325"/>
      <c r="H430" s="365" t="s">
        <v>1357</v>
      </c>
      <c r="I430" s="325"/>
      <c r="J430" s="325"/>
      <c r="K430" s="325"/>
      <c r="L430" s="325"/>
      <c r="M430" s="366"/>
      <c r="N430" s="294"/>
      <c r="O430" s="294"/>
      <c r="P430" s="294"/>
      <c r="Q430" s="294"/>
      <c r="R430" s="294"/>
      <c r="S430" s="294"/>
      <c r="T430" s="294"/>
      <c r="U430" s="294"/>
      <c r="V430" s="294"/>
      <c r="W430" s="294"/>
      <c r="X430" s="294"/>
      <c r="Y430" s="294"/>
      <c r="Z430" s="294"/>
      <c r="AA430" s="294"/>
      <c r="AB430" s="294"/>
      <c r="AC430" s="294"/>
      <c r="AD430" s="294"/>
      <c r="AE430" s="294"/>
      <c r="AF430" s="294"/>
    </row>
    <row r="431" spans="2:32" s="79" customFormat="1">
      <c r="B431" s="265"/>
      <c r="C431" s="265"/>
      <c r="D431" s="265"/>
      <c r="E431" s="365" t="s">
        <v>1482</v>
      </c>
      <c r="F431" s="366" t="s">
        <v>1356</v>
      </c>
      <c r="G431" s="325"/>
      <c r="H431" s="365" t="s">
        <v>1355</v>
      </c>
      <c r="I431" s="325"/>
      <c r="J431" s="325"/>
      <c r="K431" s="325"/>
      <c r="L431" s="325"/>
      <c r="M431" s="366"/>
      <c r="N431" s="294"/>
      <c r="O431" s="294"/>
      <c r="P431" s="294"/>
      <c r="Q431" s="294"/>
      <c r="R431" s="294"/>
      <c r="S431" s="294"/>
      <c r="T431" s="294"/>
      <c r="U431" s="294"/>
      <c r="V431" s="294"/>
      <c r="W431" s="294"/>
      <c r="X431" s="294"/>
      <c r="Y431" s="294"/>
      <c r="Z431" s="294"/>
      <c r="AA431" s="294"/>
      <c r="AB431" s="294"/>
      <c r="AC431" s="294"/>
      <c r="AD431" s="294"/>
      <c r="AE431" s="294"/>
      <c r="AF431" s="294"/>
    </row>
    <row r="432" spans="2:32" s="79" customFormat="1">
      <c r="B432" s="265"/>
      <c r="C432" s="265"/>
      <c r="D432" s="265"/>
      <c r="E432" s="365" t="s">
        <v>1483</v>
      </c>
      <c r="F432" s="366" t="s">
        <v>1361</v>
      </c>
      <c r="G432" s="325"/>
      <c r="H432" s="365" t="s">
        <v>1360</v>
      </c>
      <c r="I432" s="325"/>
      <c r="J432" s="325"/>
      <c r="K432" s="325"/>
      <c r="L432" s="325"/>
      <c r="M432" s="366"/>
      <c r="N432" s="294"/>
      <c r="O432" s="294"/>
      <c r="P432" s="294"/>
      <c r="Q432" s="294"/>
      <c r="R432" s="294"/>
      <c r="S432" s="294"/>
      <c r="T432" s="294"/>
      <c r="U432" s="294"/>
      <c r="V432" s="294"/>
      <c r="W432" s="294"/>
      <c r="X432" s="294"/>
      <c r="Y432" s="294"/>
      <c r="Z432" s="294"/>
      <c r="AA432" s="294"/>
      <c r="AB432" s="294"/>
      <c r="AC432" s="294"/>
      <c r="AD432" s="294"/>
      <c r="AE432" s="294"/>
      <c r="AF432" s="294"/>
    </row>
    <row r="433" spans="2:32" s="79" customFormat="1">
      <c r="B433" s="265"/>
      <c r="C433" s="265"/>
      <c r="D433" s="265"/>
      <c r="E433" s="365" t="s">
        <v>1484</v>
      </c>
      <c r="F433" s="366" t="s">
        <v>1485</v>
      </c>
      <c r="G433" s="325"/>
      <c r="H433" s="365" t="s">
        <v>1486</v>
      </c>
      <c r="I433" s="325"/>
      <c r="J433" s="325"/>
      <c r="K433" s="325"/>
      <c r="L433" s="325"/>
      <c r="M433" s="366"/>
      <c r="N433" s="294"/>
      <c r="O433" s="294"/>
      <c r="P433" s="294"/>
      <c r="Q433" s="294"/>
      <c r="R433" s="294"/>
      <c r="S433" s="294"/>
      <c r="T433" s="294"/>
      <c r="U433" s="294"/>
      <c r="V433" s="294"/>
      <c r="W433" s="294"/>
      <c r="X433" s="294"/>
      <c r="Y433" s="294"/>
      <c r="Z433" s="294"/>
      <c r="AA433" s="294"/>
      <c r="AB433" s="294"/>
      <c r="AC433" s="294"/>
      <c r="AD433" s="294"/>
      <c r="AE433" s="294"/>
      <c r="AF433" s="294"/>
    </row>
    <row r="434" spans="2:32">
      <c r="D434" s="93" t="s">
        <v>24</v>
      </c>
      <c r="E434" s="363" t="s">
        <v>728</v>
      </c>
      <c r="F434" s="364"/>
      <c r="G434" s="291"/>
      <c r="H434" s="363" t="s">
        <v>1487</v>
      </c>
      <c r="I434" s="291"/>
      <c r="J434" s="291"/>
      <c r="K434" s="291"/>
      <c r="L434" s="291"/>
      <c r="M434" s="364"/>
      <c r="O434" s="292"/>
      <c r="P434" s="292"/>
      <c r="Q434" s="292"/>
    </row>
    <row r="435" spans="2:32" s="79" customFormat="1">
      <c r="B435" s="265"/>
      <c r="C435" s="265"/>
      <c r="D435" s="265"/>
      <c r="E435" s="367" t="s">
        <v>1488</v>
      </c>
      <c r="F435" s="368"/>
      <c r="G435" s="325"/>
      <c r="H435" s="367" t="s">
        <v>222</v>
      </c>
      <c r="I435" s="388"/>
      <c r="J435" s="388"/>
      <c r="K435" s="388"/>
      <c r="L435" s="388"/>
      <c r="M435" s="368"/>
      <c r="N435" s="294"/>
      <c r="O435" s="294"/>
      <c r="P435" s="294"/>
      <c r="Q435" s="294"/>
      <c r="R435" s="294"/>
      <c r="S435" s="294"/>
      <c r="T435" s="294"/>
      <c r="U435" s="294"/>
      <c r="V435" s="294"/>
      <c r="W435" s="294"/>
      <c r="X435" s="294"/>
      <c r="Y435" s="294"/>
      <c r="Z435" s="294"/>
      <c r="AA435" s="294"/>
      <c r="AB435" s="294"/>
      <c r="AC435" s="294"/>
      <c r="AD435" s="294"/>
      <c r="AE435" s="294"/>
      <c r="AF435" s="294"/>
    </row>
    <row r="436" spans="2:32" ht="8" customHeight="1">
      <c r="B436" s="262" t="s">
        <v>12</v>
      </c>
      <c r="C436" s="262" t="s">
        <v>12</v>
      </c>
      <c r="D436" s="262" t="s">
        <v>12</v>
      </c>
      <c r="E436" s="291"/>
      <c r="F436" s="291"/>
      <c r="G436" s="291"/>
      <c r="H436" s="291"/>
      <c r="I436" s="291"/>
      <c r="J436" s="291"/>
      <c r="K436" s="291"/>
      <c r="L436" s="291"/>
      <c r="M436" s="291"/>
    </row>
    <row r="437" spans="2:32" ht="16">
      <c r="B437" s="262" t="s">
        <v>12</v>
      </c>
      <c r="C437" s="262" t="s">
        <v>12</v>
      </c>
      <c r="D437" s="262" t="s">
        <v>12</v>
      </c>
      <c r="E437" s="369" t="s">
        <v>739</v>
      </c>
      <c r="F437" s="369"/>
      <c r="G437" s="369"/>
      <c r="H437" s="291"/>
      <c r="I437" s="291"/>
      <c r="J437" s="291"/>
      <c r="K437" s="291"/>
      <c r="L437" s="291"/>
      <c r="M437" s="291"/>
    </row>
    <row r="438" spans="2:32" s="79" customFormat="1">
      <c r="B438" s="265"/>
      <c r="C438" s="265"/>
      <c r="D438" s="265"/>
      <c r="E438" s="370" t="s">
        <v>1489</v>
      </c>
      <c r="F438" s="371"/>
      <c r="G438" s="325"/>
      <c r="H438" s="370" t="s">
        <v>1490</v>
      </c>
      <c r="I438" s="389"/>
      <c r="J438" s="389"/>
      <c r="K438" s="389"/>
      <c r="L438" s="389"/>
      <c r="M438" s="371"/>
      <c r="N438" s="294"/>
      <c r="O438" s="294"/>
      <c r="P438" s="294"/>
      <c r="Q438" s="294"/>
      <c r="R438" s="294"/>
      <c r="S438" s="294"/>
      <c r="T438" s="294"/>
      <c r="U438" s="294"/>
      <c r="V438" s="294"/>
      <c r="W438" s="294"/>
      <c r="X438" s="294"/>
      <c r="Y438" s="294"/>
      <c r="Z438" s="294"/>
      <c r="AA438" s="294"/>
      <c r="AB438" s="294"/>
      <c r="AC438" s="294"/>
      <c r="AD438" s="294"/>
      <c r="AE438" s="294"/>
      <c r="AF438" s="294"/>
    </row>
    <row r="439" spans="2:32" s="79" customFormat="1">
      <c r="B439" s="265"/>
      <c r="C439" s="265"/>
      <c r="D439" s="265"/>
      <c r="E439" s="372" t="s">
        <v>1491</v>
      </c>
      <c r="F439" s="373" t="s">
        <v>1492</v>
      </c>
      <c r="G439" s="325"/>
      <c r="H439" s="372" t="s">
        <v>1493</v>
      </c>
      <c r="I439" s="325"/>
      <c r="J439" s="325"/>
      <c r="K439" s="325"/>
      <c r="L439" s="325"/>
      <c r="M439" s="373"/>
      <c r="N439" s="294"/>
      <c r="O439" s="294"/>
      <c r="P439" s="294"/>
      <c r="Q439" s="294"/>
      <c r="R439" s="294"/>
      <c r="S439" s="294"/>
      <c r="T439" s="294"/>
      <c r="U439" s="294"/>
      <c r="V439" s="294"/>
      <c r="W439" s="294"/>
      <c r="X439" s="294"/>
      <c r="Y439" s="294"/>
      <c r="Z439" s="294"/>
      <c r="AA439" s="294"/>
      <c r="AB439" s="294"/>
      <c r="AC439" s="294"/>
      <c r="AD439" s="294"/>
      <c r="AE439" s="294"/>
      <c r="AF439" s="294"/>
    </row>
    <row r="440" spans="2:32" s="79" customFormat="1">
      <c r="B440" s="265"/>
      <c r="C440" s="265"/>
      <c r="D440" s="265"/>
      <c r="E440" s="372" t="s">
        <v>1058</v>
      </c>
      <c r="F440" s="373"/>
      <c r="G440" s="325"/>
      <c r="H440" s="372" t="s">
        <v>1057</v>
      </c>
      <c r="I440" s="325"/>
      <c r="J440" s="325"/>
      <c r="K440" s="325"/>
      <c r="L440" s="325"/>
      <c r="M440" s="373"/>
      <c r="N440" s="294"/>
      <c r="O440" s="294"/>
      <c r="P440" s="294"/>
      <c r="Q440" s="294"/>
      <c r="R440" s="294"/>
      <c r="S440" s="294"/>
      <c r="T440" s="294"/>
      <c r="U440" s="294"/>
      <c r="V440" s="294"/>
      <c r="W440" s="294"/>
      <c r="X440" s="294"/>
      <c r="Y440" s="294"/>
      <c r="Z440" s="294"/>
      <c r="AA440" s="294"/>
      <c r="AB440" s="294"/>
      <c r="AC440" s="294"/>
      <c r="AD440" s="294"/>
      <c r="AE440" s="294"/>
      <c r="AF440" s="294"/>
    </row>
    <row r="441" spans="2:32" s="79" customFormat="1">
      <c r="B441" s="265"/>
      <c r="C441" s="265"/>
      <c r="D441" s="265"/>
      <c r="E441" s="372" t="s">
        <v>1494</v>
      </c>
      <c r="F441" s="373"/>
      <c r="G441" s="325"/>
      <c r="H441" s="372" t="s">
        <v>1495</v>
      </c>
      <c r="I441" s="325"/>
      <c r="J441" s="325"/>
      <c r="K441" s="325"/>
      <c r="L441" s="325"/>
      <c r="M441" s="373"/>
      <c r="N441" s="294"/>
      <c r="O441" s="294"/>
      <c r="P441" s="294"/>
      <c r="Q441" s="294"/>
      <c r="R441" s="294"/>
      <c r="S441" s="294"/>
      <c r="T441" s="294"/>
      <c r="U441" s="294"/>
      <c r="V441" s="294"/>
      <c r="W441" s="294"/>
      <c r="X441" s="294"/>
      <c r="Y441" s="294"/>
      <c r="Z441" s="294"/>
      <c r="AA441" s="294"/>
      <c r="AB441" s="294"/>
      <c r="AC441" s="294"/>
      <c r="AD441" s="294"/>
      <c r="AE441" s="294"/>
      <c r="AF441" s="294"/>
    </row>
    <row r="442" spans="2:32" s="79" customFormat="1">
      <c r="B442" s="265"/>
      <c r="C442" s="265"/>
      <c r="D442" s="265"/>
      <c r="E442" s="372" t="s">
        <v>1228</v>
      </c>
      <c r="F442" s="373"/>
      <c r="G442" s="325"/>
      <c r="H442" s="372" t="s">
        <v>1227</v>
      </c>
      <c r="I442" s="325"/>
      <c r="J442" s="325"/>
      <c r="K442" s="325"/>
      <c r="L442" s="325"/>
      <c r="M442" s="373"/>
      <c r="N442" s="294"/>
      <c r="O442" s="294"/>
      <c r="P442" s="294"/>
      <c r="Q442" s="294"/>
      <c r="R442" s="294"/>
      <c r="S442" s="294"/>
      <c r="T442" s="294"/>
      <c r="U442" s="294"/>
      <c r="V442" s="294"/>
      <c r="W442" s="294"/>
      <c r="X442" s="294"/>
      <c r="Y442" s="294"/>
      <c r="Z442" s="294"/>
      <c r="AA442" s="294"/>
      <c r="AB442" s="294"/>
      <c r="AC442" s="294"/>
      <c r="AD442" s="294"/>
      <c r="AE442" s="294"/>
      <c r="AF442" s="294"/>
    </row>
    <row r="443" spans="2:32" s="79" customFormat="1">
      <c r="B443" s="265"/>
      <c r="C443" s="265"/>
      <c r="D443" s="265"/>
      <c r="E443" s="372" t="s">
        <v>1284</v>
      </c>
      <c r="F443" s="373"/>
      <c r="G443" s="325"/>
      <c r="H443" s="372" t="s">
        <v>1283</v>
      </c>
      <c r="I443" s="325"/>
      <c r="J443" s="325"/>
      <c r="K443" s="325"/>
      <c r="L443" s="325"/>
      <c r="M443" s="373"/>
      <c r="N443" s="294"/>
      <c r="O443" s="294"/>
      <c r="P443" s="294"/>
      <c r="Q443" s="294"/>
      <c r="R443" s="294"/>
      <c r="S443" s="294"/>
      <c r="T443" s="294"/>
      <c r="U443" s="294"/>
      <c r="V443" s="294"/>
      <c r="W443" s="294"/>
      <c r="X443" s="294"/>
      <c r="Y443" s="294"/>
      <c r="Z443" s="294"/>
      <c r="AA443" s="294"/>
      <c r="AB443" s="294"/>
      <c r="AC443" s="294"/>
      <c r="AD443" s="294"/>
      <c r="AE443" s="294"/>
      <c r="AF443" s="294"/>
    </row>
    <row r="444" spans="2:32" s="79" customFormat="1">
      <c r="B444" s="265"/>
      <c r="C444" s="265"/>
      <c r="D444" s="265"/>
      <c r="E444" s="379" t="s">
        <v>1368</v>
      </c>
      <c r="F444" s="380"/>
      <c r="G444" s="325"/>
      <c r="H444" s="379" t="s">
        <v>1496</v>
      </c>
      <c r="I444" s="390"/>
      <c r="J444" s="390"/>
      <c r="K444" s="390"/>
      <c r="L444" s="390"/>
      <c r="M444" s="380"/>
      <c r="N444" s="294"/>
      <c r="O444" s="294"/>
      <c r="P444" s="294"/>
      <c r="Q444" s="294"/>
      <c r="R444" s="294"/>
      <c r="S444" s="294"/>
      <c r="T444" s="294"/>
      <c r="U444" s="294"/>
      <c r="V444" s="294"/>
      <c r="W444" s="294"/>
      <c r="X444" s="294"/>
      <c r="Y444" s="294"/>
      <c r="Z444" s="294"/>
      <c r="AA444" s="294"/>
      <c r="AB444" s="294"/>
      <c r="AC444" s="294"/>
      <c r="AD444" s="294"/>
      <c r="AE444" s="294"/>
      <c r="AF444" s="294"/>
    </row>
    <row r="445" spans="2:32">
      <c r="B445" s="262" t="s">
        <v>12</v>
      </c>
      <c r="C445" s="262" t="s">
        <v>12</v>
      </c>
      <c r="D445" s="262" t="s">
        <v>12</v>
      </c>
    </row>
    <row r="446" spans="2:32">
      <c r="B446" s="262" t="s">
        <v>12</v>
      </c>
      <c r="C446" s="262" t="s">
        <v>12</v>
      </c>
      <c r="D446" s="262" t="s">
        <v>12</v>
      </c>
    </row>
    <row r="447" spans="2:32" ht="16">
      <c r="B447" s="262" t="s">
        <v>12</v>
      </c>
      <c r="C447" s="262" t="s">
        <v>12</v>
      </c>
      <c r="D447" s="262" t="s">
        <v>12</v>
      </c>
      <c r="E447" s="381" t="s">
        <v>750</v>
      </c>
      <c r="F447" s="381"/>
      <c r="G447" s="381"/>
      <c r="H447" s="264"/>
      <c r="I447" s="264"/>
      <c r="J447" s="264"/>
      <c r="K447" s="264"/>
      <c r="L447" s="264"/>
      <c r="M447" s="264"/>
    </row>
    <row r="448" spans="2:32" s="79" customFormat="1">
      <c r="B448" s="265"/>
      <c r="C448" s="265"/>
      <c r="D448" s="265"/>
      <c r="E448" s="266" t="s">
        <v>1450</v>
      </c>
      <c r="F448" s="267"/>
      <c r="G448" s="268"/>
      <c r="H448" s="266" t="s">
        <v>1449</v>
      </c>
      <c r="I448" s="293" t="s">
        <v>758</v>
      </c>
      <c r="J448" s="293"/>
      <c r="K448" s="293"/>
      <c r="L448" s="293"/>
      <c r="M448" s="267"/>
      <c r="N448" s="294"/>
      <c r="O448" s="294"/>
      <c r="P448" s="294"/>
      <c r="Q448" s="294"/>
      <c r="R448" s="294"/>
      <c r="S448" s="294"/>
      <c r="T448" s="294"/>
      <c r="U448" s="294"/>
      <c r="V448" s="294"/>
      <c r="W448" s="294"/>
      <c r="X448" s="294"/>
      <c r="Y448" s="294"/>
      <c r="Z448" s="294"/>
      <c r="AA448" s="294"/>
      <c r="AB448" s="294"/>
      <c r="AC448" s="294"/>
      <c r="AD448" s="294"/>
      <c r="AE448" s="294"/>
      <c r="AF448" s="294"/>
    </row>
    <row r="449" spans="2:32" s="79" customFormat="1">
      <c r="B449" s="265"/>
      <c r="C449" s="265"/>
      <c r="D449" s="265"/>
      <c r="E449" s="269" t="s">
        <v>1497</v>
      </c>
      <c r="F449" s="270"/>
      <c r="G449" s="268"/>
      <c r="H449" s="269" t="s">
        <v>1498</v>
      </c>
      <c r="I449" s="268"/>
      <c r="J449" s="268"/>
      <c r="K449" s="268"/>
      <c r="L449" s="268"/>
      <c r="M449" s="270"/>
      <c r="N449" s="294"/>
      <c r="O449" s="294"/>
      <c r="P449" s="294"/>
      <c r="Q449" s="294"/>
      <c r="R449" s="294"/>
      <c r="S449" s="294"/>
      <c r="T449" s="294"/>
      <c r="U449" s="294"/>
      <c r="V449" s="294"/>
      <c r="W449" s="294"/>
      <c r="X449" s="294"/>
      <c r="Y449" s="294"/>
      <c r="Z449" s="294"/>
      <c r="AA449" s="294"/>
      <c r="AB449" s="294"/>
      <c r="AC449" s="294"/>
      <c r="AD449" s="294"/>
      <c r="AE449" s="294"/>
      <c r="AF449" s="294"/>
    </row>
    <row r="450" spans="2:32" s="79" customFormat="1">
      <c r="B450" s="265"/>
      <c r="C450" s="265"/>
      <c r="D450" s="265"/>
      <c r="E450" s="269" t="s">
        <v>970</v>
      </c>
      <c r="F450" s="270"/>
      <c r="G450" s="268"/>
      <c r="H450" s="269" t="s">
        <v>1023</v>
      </c>
      <c r="I450" s="268" t="s">
        <v>1499</v>
      </c>
      <c r="J450" s="268"/>
      <c r="K450" s="268"/>
      <c r="L450" s="268"/>
      <c r="M450" s="270"/>
      <c r="N450" s="294"/>
      <c r="O450" s="294"/>
      <c r="P450" s="294"/>
      <c r="Q450" s="294"/>
      <c r="R450" s="294"/>
      <c r="S450" s="294"/>
      <c r="T450" s="294"/>
      <c r="U450" s="294"/>
      <c r="V450" s="294"/>
      <c r="W450" s="294"/>
      <c r="X450" s="294"/>
      <c r="Y450" s="294"/>
      <c r="Z450" s="294"/>
      <c r="AA450" s="294"/>
      <c r="AB450" s="294"/>
      <c r="AC450" s="294"/>
      <c r="AD450" s="294"/>
      <c r="AE450" s="294"/>
      <c r="AF450" s="294"/>
    </row>
    <row r="451" spans="2:32">
      <c r="D451" s="93" t="s">
        <v>24</v>
      </c>
      <c r="E451" s="271" t="s">
        <v>758</v>
      </c>
      <c r="F451" s="272"/>
      <c r="G451" s="264"/>
      <c r="H451" s="271" t="s">
        <v>1449</v>
      </c>
      <c r="I451" s="264" t="s">
        <v>1450</v>
      </c>
      <c r="J451" s="264"/>
      <c r="K451" s="264"/>
      <c r="L451" s="264"/>
      <c r="M451" s="272"/>
    </row>
    <row r="452" spans="2:32" s="79" customFormat="1">
      <c r="B452" s="265"/>
      <c r="C452" s="265"/>
      <c r="D452" s="265"/>
      <c r="E452" s="382" t="s">
        <v>1286</v>
      </c>
      <c r="F452" s="274"/>
      <c r="G452" s="268"/>
      <c r="H452" s="382" t="s">
        <v>1203</v>
      </c>
      <c r="I452" s="295" t="s">
        <v>1500</v>
      </c>
      <c r="J452" s="295"/>
      <c r="K452" s="295"/>
      <c r="L452" s="295"/>
      <c r="M452" s="274"/>
      <c r="N452" s="294"/>
      <c r="O452" s="294"/>
      <c r="P452" s="294"/>
      <c r="Q452" s="294"/>
      <c r="R452" s="294"/>
      <c r="S452" s="294"/>
      <c r="T452" s="294"/>
      <c r="U452" s="294"/>
      <c r="V452" s="294"/>
      <c r="W452" s="294"/>
      <c r="X452" s="294"/>
      <c r="Y452" s="294"/>
      <c r="Z452" s="294"/>
      <c r="AA452" s="294"/>
      <c r="AB452" s="294"/>
      <c r="AC452" s="294"/>
      <c r="AD452" s="294"/>
      <c r="AE452" s="294"/>
      <c r="AF452" s="294"/>
    </row>
    <row r="453" spans="2:32" ht="8" customHeight="1">
      <c r="B453" s="262" t="s">
        <v>12</v>
      </c>
      <c r="C453" s="262" t="s">
        <v>12</v>
      </c>
      <c r="D453" s="262" t="s">
        <v>12</v>
      </c>
      <c r="E453" s="264"/>
      <c r="F453" s="264"/>
      <c r="G453" s="264"/>
      <c r="H453" s="264"/>
      <c r="I453" s="264"/>
      <c r="J453" s="264"/>
      <c r="K453" s="264"/>
      <c r="L453" s="264"/>
      <c r="M453" s="264"/>
    </row>
    <row r="454" spans="2:32" ht="16">
      <c r="B454" s="262" t="s">
        <v>12</v>
      </c>
      <c r="C454" s="262" t="s">
        <v>12</v>
      </c>
      <c r="D454" s="262" t="s">
        <v>12</v>
      </c>
      <c r="E454" s="275" t="s">
        <v>767</v>
      </c>
      <c r="F454" s="275"/>
      <c r="G454" s="275"/>
      <c r="H454" s="264"/>
      <c r="I454" s="264"/>
      <c r="J454" s="264"/>
      <c r="K454" s="264"/>
      <c r="L454" s="264"/>
      <c r="M454" s="264"/>
    </row>
    <row r="455" spans="2:32" s="79" customFormat="1">
      <c r="B455" s="265"/>
      <c r="C455" s="265"/>
      <c r="D455" s="265"/>
      <c r="E455" s="276" t="s">
        <v>1501</v>
      </c>
      <c r="F455" s="277" t="s">
        <v>1013</v>
      </c>
      <c r="G455" s="268"/>
      <c r="H455" s="276" t="s">
        <v>394</v>
      </c>
      <c r="I455" s="296" t="s">
        <v>1012</v>
      </c>
      <c r="J455" s="296"/>
      <c r="K455" s="296"/>
      <c r="L455" s="296"/>
      <c r="M455" s="277"/>
      <c r="N455" s="294"/>
      <c r="O455" s="294"/>
      <c r="P455" s="294"/>
      <c r="Q455" s="294"/>
      <c r="R455" s="294"/>
      <c r="S455" s="294"/>
      <c r="T455" s="294"/>
      <c r="U455" s="294"/>
      <c r="V455" s="294"/>
      <c r="W455" s="294"/>
      <c r="X455" s="294"/>
      <c r="Y455" s="294"/>
      <c r="Z455" s="294"/>
      <c r="AA455" s="294"/>
      <c r="AB455" s="294"/>
      <c r="AC455" s="294"/>
      <c r="AD455" s="294"/>
      <c r="AE455" s="294"/>
      <c r="AF455" s="294"/>
    </row>
    <row r="456" spans="2:32" s="79" customFormat="1">
      <c r="B456" s="265"/>
      <c r="C456" s="265"/>
      <c r="D456" s="265"/>
      <c r="E456" s="278" t="s">
        <v>1502</v>
      </c>
      <c r="F456" s="279" t="s">
        <v>1145</v>
      </c>
      <c r="G456" s="268"/>
      <c r="H456" s="278" t="s">
        <v>384</v>
      </c>
      <c r="I456" s="268"/>
      <c r="J456" s="268"/>
      <c r="K456" s="268"/>
      <c r="L456" s="268"/>
      <c r="M456" s="279"/>
      <c r="N456" s="294"/>
      <c r="O456" s="294"/>
      <c r="P456" s="294"/>
      <c r="Q456" s="294"/>
      <c r="R456" s="294"/>
      <c r="S456" s="294"/>
      <c r="T456" s="294"/>
      <c r="U456" s="294"/>
      <c r="V456" s="294"/>
      <c r="W456" s="294"/>
      <c r="X456" s="294"/>
      <c r="Y456" s="294"/>
      <c r="Z456" s="294"/>
      <c r="AA456" s="294"/>
      <c r="AB456" s="294"/>
      <c r="AC456" s="294"/>
      <c r="AD456" s="294"/>
      <c r="AE456" s="294"/>
      <c r="AF456" s="294"/>
    </row>
    <row r="457" spans="2:32" s="79" customFormat="1">
      <c r="B457" s="265"/>
      <c r="C457" s="265"/>
      <c r="D457" s="265"/>
      <c r="E457" s="278" t="s">
        <v>1503</v>
      </c>
      <c r="F457" s="279" t="s">
        <v>1353</v>
      </c>
      <c r="G457" s="268"/>
      <c r="H457" s="278" t="s">
        <v>1352</v>
      </c>
      <c r="I457" s="268"/>
      <c r="J457" s="268"/>
      <c r="K457" s="268"/>
      <c r="L457" s="268"/>
      <c r="M457" s="279"/>
      <c r="N457" s="294"/>
      <c r="O457" s="294"/>
      <c r="P457" s="294"/>
      <c r="Q457" s="294"/>
      <c r="R457" s="294"/>
      <c r="S457" s="294"/>
      <c r="T457" s="294"/>
      <c r="U457" s="294"/>
      <c r="V457" s="294"/>
      <c r="W457" s="294"/>
      <c r="X457" s="294"/>
      <c r="Y457" s="294"/>
      <c r="Z457" s="294"/>
      <c r="AA457" s="294"/>
      <c r="AB457" s="294"/>
      <c r="AC457" s="294"/>
      <c r="AD457" s="294"/>
      <c r="AE457" s="294"/>
      <c r="AF457" s="294"/>
    </row>
    <row r="458" spans="2:32" s="79" customFormat="1">
      <c r="B458" s="265"/>
      <c r="C458" s="265"/>
      <c r="D458" s="265"/>
      <c r="E458" s="278" t="s">
        <v>1504</v>
      </c>
      <c r="F458" s="279" t="s">
        <v>1032</v>
      </c>
      <c r="G458" s="268"/>
      <c r="H458" s="278" t="s">
        <v>1033</v>
      </c>
      <c r="I458" s="268" t="s">
        <v>1067</v>
      </c>
      <c r="J458" s="268" t="s">
        <v>1505</v>
      </c>
      <c r="K458" s="268"/>
      <c r="L458" s="268"/>
      <c r="M458" s="279"/>
      <c r="N458" s="294"/>
      <c r="O458" s="294"/>
      <c r="P458" s="294"/>
      <c r="Q458" s="294"/>
      <c r="R458" s="294"/>
      <c r="S458" s="294"/>
      <c r="T458" s="294"/>
      <c r="U458" s="294"/>
      <c r="V458" s="294"/>
      <c r="W458" s="294"/>
      <c r="X458" s="294"/>
      <c r="Y458" s="294"/>
      <c r="Z458" s="294"/>
      <c r="AA458" s="294"/>
      <c r="AB458" s="294"/>
      <c r="AC458" s="294"/>
      <c r="AD458" s="294"/>
      <c r="AE458" s="294"/>
      <c r="AF458" s="294"/>
    </row>
    <row r="459" spans="2:32" s="79" customFormat="1">
      <c r="B459" s="265"/>
      <c r="C459" s="265"/>
      <c r="D459" s="265"/>
      <c r="E459" s="280" t="s">
        <v>1506</v>
      </c>
      <c r="F459" s="281" t="s">
        <v>935</v>
      </c>
      <c r="G459" s="268"/>
      <c r="H459" s="280" t="s">
        <v>934</v>
      </c>
      <c r="I459" s="297" t="s">
        <v>174</v>
      </c>
      <c r="J459" s="297" t="s">
        <v>937</v>
      </c>
      <c r="K459" s="297" t="s">
        <v>936</v>
      </c>
      <c r="L459" s="297"/>
      <c r="M459" s="281"/>
      <c r="N459" s="294"/>
      <c r="O459" s="294"/>
      <c r="P459" s="294"/>
      <c r="Q459" s="294"/>
      <c r="R459" s="294"/>
      <c r="S459" s="294"/>
      <c r="T459" s="294"/>
      <c r="U459" s="294"/>
      <c r="V459" s="294"/>
      <c r="W459" s="294"/>
      <c r="X459" s="294"/>
      <c r="Y459" s="294"/>
      <c r="Z459" s="294"/>
      <c r="AA459" s="294"/>
      <c r="AB459" s="294"/>
      <c r="AC459" s="294"/>
      <c r="AD459" s="294"/>
      <c r="AE459" s="294"/>
      <c r="AF459" s="294"/>
    </row>
    <row r="460" spans="2:32" ht="8" customHeight="1">
      <c r="B460" s="262" t="s">
        <v>12</v>
      </c>
      <c r="C460" s="262" t="s">
        <v>12</v>
      </c>
      <c r="D460" s="262" t="s">
        <v>12</v>
      </c>
      <c r="E460" s="264"/>
      <c r="F460" s="264"/>
      <c r="G460" s="264"/>
      <c r="H460" s="264"/>
      <c r="I460" s="264"/>
      <c r="J460" s="264"/>
      <c r="K460" s="264"/>
      <c r="L460" s="264"/>
      <c r="M460" s="264"/>
    </row>
    <row r="461" spans="2:32" ht="16">
      <c r="B461" s="262" t="s">
        <v>12</v>
      </c>
      <c r="C461" s="262" t="s">
        <v>12</v>
      </c>
      <c r="D461" s="262" t="s">
        <v>12</v>
      </c>
      <c r="E461" s="282" t="s">
        <v>780</v>
      </c>
      <c r="F461" s="282"/>
      <c r="G461" s="282"/>
      <c r="H461" s="264"/>
      <c r="I461" s="264"/>
      <c r="J461" s="264"/>
      <c r="K461" s="264"/>
      <c r="L461" s="264"/>
      <c r="M461" s="264"/>
    </row>
    <row r="462" spans="2:32" s="79" customFormat="1">
      <c r="B462" s="265"/>
      <c r="C462" s="265"/>
      <c r="D462" s="265"/>
      <c r="E462" s="283" t="s">
        <v>1507</v>
      </c>
      <c r="F462" s="284" t="s">
        <v>1400</v>
      </c>
      <c r="G462" s="268"/>
      <c r="H462" s="283" t="s">
        <v>1399</v>
      </c>
      <c r="I462" s="298"/>
      <c r="J462" s="298"/>
      <c r="K462" s="298"/>
      <c r="L462" s="298"/>
      <c r="M462" s="284"/>
      <c r="N462" s="294"/>
      <c r="O462" s="294"/>
      <c r="P462" s="294"/>
      <c r="Q462" s="294"/>
      <c r="R462" s="294"/>
      <c r="S462" s="294"/>
      <c r="T462" s="294"/>
      <c r="U462" s="294"/>
      <c r="V462" s="294"/>
      <c r="W462" s="294"/>
      <c r="X462" s="294"/>
      <c r="Y462" s="294"/>
      <c r="Z462" s="294"/>
      <c r="AA462" s="294"/>
      <c r="AB462" s="294"/>
      <c r="AC462" s="294"/>
      <c r="AD462" s="294"/>
      <c r="AE462" s="294"/>
      <c r="AF462" s="294"/>
    </row>
    <row r="463" spans="2:32" s="79" customFormat="1">
      <c r="B463" s="265"/>
      <c r="C463" s="265"/>
      <c r="D463" s="265"/>
      <c r="E463" s="287" t="s">
        <v>1033</v>
      </c>
      <c r="F463" s="288"/>
      <c r="G463" s="268"/>
      <c r="H463" s="287" t="s">
        <v>1067</v>
      </c>
      <c r="I463" s="268" t="s">
        <v>1031</v>
      </c>
      <c r="J463" s="268" t="s">
        <v>1508</v>
      </c>
      <c r="K463" s="268"/>
      <c r="L463" s="268"/>
      <c r="M463" s="288"/>
      <c r="N463" s="294"/>
      <c r="O463" s="294"/>
      <c r="P463" s="294"/>
      <c r="Q463" s="294"/>
      <c r="R463" s="294"/>
      <c r="S463" s="294"/>
      <c r="T463" s="294"/>
      <c r="U463" s="294"/>
      <c r="V463" s="294"/>
      <c r="W463" s="294"/>
      <c r="X463" s="294"/>
      <c r="Y463" s="294"/>
      <c r="Z463" s="294"/>
      <c r="AA463" s="294"/>
      <c r="AB463" s="294"/>
      <c r="AC463" s="294"/>
      <c r="AD463" s="294"/>
      <c r="AE463" s="294"/>
      <c r="AF463" s="294"/>
    </row>
    <row r="464" spans="2:32" s="79" customFormat="1">
      <c r="B464" s="265"/>
      <c r="C464" s="265"/>
      <c r="D464" s="265"/>
      <c r="E464" s="287" t="s">
        <v>1509</v>
      </c>
      <c r="F464" s="288"/>
      <c r="G464" s="268"/>
      <c r="H464" s="287" t="s">
        <v>1510</v>
      </c>
      <c r="I464" s="268"/>
      <c r="J464" s="268"/>
      <c r="K464" s="268"/>
      <c r="L464" s="268"/>
      <c r="M464" s="288"/>
      <c r="N464" s="294"/>
      <c r="O464" s="294"/>
      <c r="P464" s="294"/>
      <c r="Q464" s="294"/>
      <c r="R464" s="294"/>
      <c r="S464" s="294"/>
      <c r="T464" s="294"/>
      <c r="U464" s="294"/>
      <c r="V464" s="294"/>
      <c r="W464" s="294"/>
      <c r="X464" s="294"/>
      <c r="Y464" s="294"/>
      <c r="Z464" s="294"/>
      <c r="AA464" s="294"/>
      <c r="AB464" s="294"/>
      <c r="AC464" s="294"/>
      <c r="AD464" s="294"/>
      <c r="AE464" s="294"/>
      <c r="AF464" s="294"/>
    </row>
    <row r="465" spans="2:32" s="79" customFormat="1">
      <c r="B465" s="265"/>
      <c r="C465" s="265"/>
      <c r="D465" s="265"/>
      <c r="E465" s="289" t="s">
        <v>1293</v>
      </c>
      <c r="F465" s="290"/>
      <c r="G465" s="268"/>
      <c r="H465" s="289" t="s">
        <v>1292</v>
      </c>
      <c r="I465" s="299"/>
      <c r="J465" s="299"/>
      <c r="K465" s="299"/>
      <c r="L465" s="299"/>
      <c r="M465" s="290"/>
      <c r="N465" s="294"/>
      <c r="O465" s="294"/>
      <c r="P465" s="294"/>
      <c r="Q465" s="294"/>
      <c r="R465" s="294"/>
      <c r="S465" s="294"/>
      <c r="T465" s="294"/>
      <c r="U465" s="294"/>
      <c r="V465" s="294"/>
      <c r="W465" s="294"/>
      <c r="X465" s="294"/>
      <c r="Y465" s="294"/>
      <c r="Z465" s="294"/>
      <c r="AA465" s="294"/>
      <c r="AB465" s="294"/>
      <c r="AC465" s="294"/>
      <c r="AD465" s="294"/>
      <c r="AE465" s="294"/>
      <c r="AF465" s="294"/>
    </row>
    <row r="466" spans="2:32" ht="8" customHeight="1">
      <c r="B466" s="262" t="s">
        <v>12</v>
      </c>
      <c r="C466" s="262" t="s">
        <v>12</v>
      </c>
      <c r="D466" s="262" t="s">
        <v>12</v>
      </c>
      <c r="E466" s="264"/>
      <c r="F466" s="264"/>
      <c r="G466" s="264"/>
      <c r="H466" s="264"/>
      <c r="I466" s="264"/>
      <c r="J466" s="264"/>
      <c r="K466" s="264"/>
      <c r="L466" s="264"/>
      <c r="M466" s="264"/>
    </row>
    <row r="467" spans="2:32" ht="16">
      <c r="B467" s="262" t="s">
        <v>12</v>
      </c>
      <c r="C467" s="262" t="s">
        <v>12</v>
      </c>
      <c r="D467" s="262" t="s">
        <v>12</v>
      </c>
      <c r="E467" s="300" t="s">
        <v>788</v>
      </c>
      <c r="F467" s="300"/>
      <c r="G467" s="300"/>
      <c r="H467" s="264"/>
      <c r="I467" s="264"/>
      <c r="J467" s="264"/>
      <c r="K467" s="264"/>
      <c r="L467" s="264"/>
      <c r="M467" s="264"/>
    </row>
    <row r="468" spans="2:32">
      <c r="D468" s="93" t="s">
        <v>24</v>
      </c>
      <c r="E468" s="393" t="s">
        <v>1511</v>
      </c>
      <c r="F468" s="394" t="s">
        <v>955</v>
      </c>
      <c r="G468" s="264"/>
      <c r="H468" s="393" t="s">
        <v>954</v>
      </c>
      <c r="I468" s="398"/>
      <c r="J468" s="398"/>
      <c r="K468" s="398"/>
      <c r="L468" s="398"/>
      <c r="M468" s="394"/>
    </row>
    <row r="469" spans="2:32">
      <c r="D469" s="93" t="s">
        <v>24</v>
      </c>
      <c r="E469" s="305" t="s">
        <v>1512</v>
      </c>
      <c r="F469" s="306" t="s">
        <v>792</v>
      </c>
      <c r="G469" s="264"/>
      <c r="H469" s="305" t="s">
        <v>1513</v>
      </c>
      <c r="I469" s="264"/>
      <c r="J469" s="264"/>
      <c r="K469" s="264"/>
      <c r="L469" s="264"/>
      <c r="M469" s="306"/>
    </row>
    <row r="470" spans="2:32" s="79" customFormat="1">
      <c r="B470" s="265"/>
      <c r="C470" s="265"/>
      <c r="D470" s="265"/>
      <c r="E470" s="307" t="s">
        <v>1427</v>
      </c>
      <c r="F470" s="308"/>
      <c r="G470" s="268"/>
      <c r="H470" s="307" t="s">
        <v>1426</v>
      </c>
      <c r="I470" s="344"/>
      <c r="J470" s="344"/>
      <c r="K470" s="344"/>
      <c r="L470" s="344"/>
      <c r="M470" s="308"/>
      <c r="N470" s="294"/>
      <c r="O470" s="294"/>
      <c r="P470" s="294"/>
      <c r="Q470" s="294"/>
      <c r="R470" s="294"/>
      <c r="S470" s="294"/>
      <c r="T470" s="294"/>
      <c r="U470" s="294"/>
      <c r="V470" s="294"/>
      <c r="W470" s="294"/>
      <c r="X470" s="294"/>
      <c r="Y470" s="294"/>
      <c r="Z470" s="294"/>
      <c r="AA470" s="294"/>
      <c r="AB470" s="294"/>
      <c r="AC470" s="294"/>
      <c r="AD470" s="294"/>
      <c r="AE470" s="294"/>
      <c r="AF470" s="294"/>
    </row>
    <row r="471" spans="2:32" ht="8" customHeight="1">
      <c r="B471" s="262" t="s">
        <v>12</v>
      </c>
      <c r="C471" s="262" t="s">
        <v>12</v>
      </c>
      <c r="D471" s="262" t="s">
        <v>12</v>
      </c>
      <c r="E471" s="264"/>
      <c r="F471" s="264"/>
      <c r="G471" s="264"/>
      <c r="H471" s="264"/>
      <c r="I471" s="264"/>
      <c r="J471" s="264"/>
      <c r="K471" s="264"/>
      <c r="L471" s="264"/>
      <c r="M471" s="264"/>
    </row>
    <row r="472" spans="2:32" ht="16">
      <c r="B472" s="262" t="s">
        <v>12</v>
      </c>
      <c r="C472" s="262" t="s">
        <v>12</v>
      </c>
      <c r="D472" s="262" t="s">
        <v>12</v>
      </c>
      <c r="E472" s="309" t="s">
        <v>795</v>
      </c>
      <c r="F472" s="309"/>
      <c r="G472" s="309"/>
      <c r="H472" s="264"/>
      <c r="I472" s="264"/>
      <c r="J472" s="264"/>
      <c r="K472" s="264"/>
      <c r="L472" s="264"/>
      <c r="M472" s="264"/>
    </row>
    <row r="473" spans="2:32" s="79" customFormat="1">
      <c r="B473" s="265"/>
      <c r="C473" s="265"/>
      <c r="D473" s="265"/>
      <c r="E473" s="395" t="s">
        <v>1199</v>
      </c>
      <c r="F473" s="396"/>
      <c r="G473" s="268"/>
      <c r="H473" s="395" t="s">
        <v>1198</v>
      </c>
      <c r="I473" s="399"/>
      <c r="J473" s="399"/>
      <c r="K473" s="399"/>
      <c r="L473" s="399"/>
      <c r="M473" s="396"/>
      <c r="N473" s="294"/>
      <c r="O473" s="294"/>
      <c r="P473" s="294"/>
      <c r="Q473" s="294"/>
      <c r="R473" s="294"/>
      <c r="S473" s="294"/>
      <c r="T473" s="294"/>
      <c r="U473" s="294"/>
      <c r="V473" s="294"/>
      <c r="W473" s="294"/>
      <c r="X473" s="294"/>
      <c r="Y473" s="294"/>
      <c r="Z473" s="294"/>
      <c r="AA473" s="294"/>
      <c r="AB473" s="294"/>
      <c r="AC473" s="294"/>
      <c r="AD473" s="294"/>
      <c r="AE473" s="294"/>
      <c r="AF473" s="294"/>
    </row>
    <row r="474" spans="2:32">
      <c r="D474" s="93" t="s">
        <v>24</v>
      </c>
      <c r="E474" s="312" t="s">
        <v>1514</v>
      </c>
      <c r="F474" s="313" t="s">
        <v>523</v>
      </c>
      <c r="G474" s="264"/>
      <c r="H474" s="312" t="s">
        <v>1069</v>
      </c>
      <c r="I474" s="264" t="s">
        <v>1071</v>
      </c>
      <c r="J474" s="264" t="s">
        <v>1072</v>
      </c>
      <c r="K474" s="264" t="s">
        <v>1070</v>
      </c>
      <c r="L474" s="264" t="s">
        <v>1074</v>
      </c>
      <c r="M474" s="313" t="s">
        <v>1073</v>
      </c>
    </row>
    <row r="475" spans="2:32">
      <c r="D475" s="93" t="s">
        <v>24</v>
      </c>
      <c r="E475" s="312" t="s">
        <v>1514</v>
      </c>
      <c r="F475" s="313" t="s">
        <v>523</v>
      </c>
      <c r="G475" s="264"/>
      <c r="H475" s="312" t="s">
        <v>1515</v>
      </c>
      <c r="I475" s="264"/>
      <c r="J475" s="264"/>
      <c r="K475" s="264"/>
      <c r="L475" s="264"/>
      <c r="M475" s="313"/>
    </row>
    <row r="476" spans="2:32" s="79" customFormat="1">
      <c r="B476" s="265"/>
      <c r="C476" s="265"/>
      <c r="D476" s="265"/>
      <c r="E476" s="314" t="s">
        <v>1516</v>
      </c>
      <c r="F476" s="315" t="s">
        <v>1460</v>
      </c>
      <c r="G476" s="268"/>
      <c r="H476" s="314" t="s">
        <v>1459</v>
      </c>
      <c r="I476" s="268"/>
      <c r="J476" s="268"/>
      <c r="K476" s="268"/>
      <c r="L476" s="268"/>
      <c r="M476" s="315"/>
      <c r="N476" s="294"/>
      <c r="O476" s="294"/>
      <c r="P476" s="294"/>
      <c r="Q476" s="294"/>
      <c r="R476" s="294"/>
      <c r="S476" s="294"/>
      <c r="T476" s="294"/>
      <c r="U476" s="294"/>
      <c r="V476" s="294"/>
      <c r="W476" s="294"/>
      <c r="X476" s="294"/>
      <c r="Y476" s="294"/>
      <c r="Z476" s="294"/>
      <c r="AA476" s="294"/>
      <c r="AB476" s="294"/>
      <c r="AC476" s="294"/>
      <c r="AD476" s="294"/>
      <c r="AE476" s="294"/>
      <c r="AF476" s="294"/>
    </row>
    <row r="477" spans="2:32" s="79" customFormat="1">
      <c r="B477" s="265"/>
      <c r="C477" s="265"/>
      <c r="D477" s="265"/>
      <c r="E477" s="314" t="s">
        <v>1517</v>
      </c>
      <c r="F477" s="315" t="s">
        <v>1131</v>
      </c>
      <c r="G477" s="268"/>
      <c r="H477" s="314" t="s">
        <v>1130</v>
      </c>
      <c r="I477" s="268" t="s">
        <v>1132</v>
      </c>
      <c r="J477" s="268"/>
      <c r="K477" s="268"/>
      <c r="L477" s="268"/>
      <c r="M477" s="315"/>
      <c r="N477" s="294"/>
      <c r="O477" s="294"/>
      <c r="P477" s="294"/>
      <c r="Q477" s="294"/>
      <c r="R477" s="294"/>
      <c r="S477" s="294"/>
      <c r="T477" s="294"/>
      <c r="U477" s="294"/>
      <c r="V477" s="294"/>
      <c r="W477" s="294"/>
      <c r="X477" s="294"/>
      <c r="Y477" s="294"/>
      <c r="Z477" s="294"/>
      <c r="AA477" s="294"/>
      <c r="AB477" s="294"/>
      <c r="AC477" s="294"/>
      <c r="AD477" s="294"/>
      <c r="AE477" s="294"/>
      <c r="AF477" s="294"/>
    </row>
    <row r="478" spans="2:32" s="259" customFormat="1">
      <c r="B478" s="316"/>
      <c r="C478" s="316"/>
      <c r="D478" s="316" t="s">
        <v>24</v>
      </c>
      <c r="E478" s="317" t="s">
        <v>1518</v>
      </c>
      <c r="F478" s="318"/>
      <c r="G478" s="319"/>
      <c r="H478" s="317" t="s">
        <v>884</v>
      </c>
      <c r="I478" s="319"/>
      <c r="J478" s="319"/>
      <c r="K478" s="319"/>
      <c r="L478" s="319"/>
      <c r="M478" s="318"/>
      <c r="N478" s="346"/>
      <c r="O478" s="346"/>
      <c r="P478" s="346"/>
      <c r="Q478" s="346"/>
      <c r="R478" s="346"/>
      <c r="S478" s="346"/>
      <c r="T478" s="346"/>
      <c r="U478" s="346"/>
      <c r="V478" s="346"/>
      <c r="W478" s="346"/>
      <c r="X478" s="346"/>
      <c r="Y478" s="346"/>
      <c r="Z478" s="346"/>
      <c r="AA478" s="346"/>
      <c r="AB478" s="346"/>
      <c r="AC478" s="346"/>
      <c r="AD478" s="346"/>
      <c r="AE478" s="346"/>
      <c r="AF478" s="346"/>
    </row>
    <row r="479" spans="2:32">
      <c r="D479" s="93" t="s">
        <v>24</v>
      </c>
      <c r="E479" s="417" t="s">
        <v>805</v>
      </c>
      <c r="F479" s="418"/>
      <c r="G479" s="264"/>
      <c r="H479" s="417" t="s">
        <v>1519</v>
      </c>
      <c r="I479" s="432"/>
      <c r="J479" s="432"/>
      <c r="K479" s="432"/>
      <c r="L479" s="432"/>
      <c r="M479" s="418"/>
    </row>
    <row r="480" spans="2:32">
      <c r="B480" s="262" t="s">
        <v>12</v>
      </c>
      <c r="C480" s="262" t="s">
        <v>12</v>
      </c>
      <c r="D480" s="262" t="s">
        <v>12</v>
      </c>
    </row>
    <row r="481" spans="2:32">
      <c r="B481" s="262" t="s">
        <v>12</v>
      </c>
      <c r="C481" s="262" t="s">
        <v>12</v>
      </c>
      <c r="D481" s="262" t="s">
        <v>12</v>
      </c>
    </row>
    <row r="482" spans="2:32" ht="16">
      <c r="B482" s="262" t="s">
        <v>12</v>
      </c>
      <c r="C482" s="262" t="s">
        <v>12</v>
      </c>
      <c r="D482" s="262" t="s">
        <v>12</v>
      </c>
      <c r="E482" s="322" t="s">
        <v>807</v>
      </c>
      <c r="F482" s="322"/>
      <c r="G482" s="322"/>
      <c r="H482" s="291"/>
      <c r="I482" s="291"/>
      <c r="J482" s="291"/>
      <c r="K482" s="291"/>
      <c r="L482" s="291"/>
      <c r="M482" s="291"/>
    </row>
    <row r="483" spans="2:32" s="79" customFormat="1">
      <c r="B483" s="265"/>
      <c r="C483" s="265"/>
      <c r="D483" s="265"/>
      <c r="E483" s="323" t="s">
        <v>1520</v>
      </c>
      <c r="F483" s="324" t="s">
        <v>1521</v>
      </c>
      <c r="G483" s="325"/>
      <c r="H483" s="323" t="s">
        <v>1522</v>
      </c>
      <c r="I483" s="348"/>
      <c r="J483" s="348"/>
      <c r="K483" s="348"/>
      <c r="L483" s="348"/>
      <c r="M483" s="324"/>
      <c r="N483" s="294"/>
      <c r="O483" s="294"/>
      <c r="P483" s="294"/>
      <c r="Q483" s="294"/>
      <c r="R483" s="294"/>
      <c r="S483" s="294"/>
      <c r="T483" s="294"/>
      <c r="U483" s="294"/>
      <c r="V483" s="294"/>
      <c r="W483" s="294"/>
      <c r="X483" s="294"/>
      <c r="Y483" s="294"/>
      <c r="Z483" s="294"/>
      <c r="AA483" s="294"/>
      <c r="AB483" s="294"/>
      <c r="AC483" s="294"/>
      <c r="AD483" s="294"/>
      <c r="AE483" s="294"/>
      <c r="AF483" s="294"/>
    </row>
    <row r="484" spans="2:32">
      <c r="D484" s="93" t="s">
        <v>24</v>
      </c>
      <c r="E484" s="419" t="s">
        <v>809</v>
      </c>
      <c r="F484" s="420" t="s">
        <v>924</v>
      </c>
      <c r="G484" s="378"/>
      <c r="H484" s="419" t="s">
        <v>923</v>
      </c>
      <c r="I484" s="378" t="s">
        <v>922</v>
      </c>
      <c r="J484" s="291"/>
      <c r="K484" s="291"/>
      <c r="L484" s="291"/>
      <c r="M484" s="329"/>
    </row>
    <row r="485" spans="2:32">
      <c r="D485" s="93" t="s">
        <v>24</v>
      </c>
      <c r="E485" s="328" t="s">
        <v>809</v>
      </c>
      <c r="F485" s="329" t="s">
        <v>924</v>
      </c>
      <c r="G485" s="291"/>
      <c r="H485" s="328" t="s">
        <v>1396</v>
      </c>
      <c r="I485" s="291" t="s">
        <v>738</v>
      </c>
      <c r="J485" s="291"/>
      <c r="K485" s="291"/>
      <c r="L485" s="291"/>
      <c r="M485" s="329"/>
    </row>
    <row r="486" spans="2:32" s="79" customFormat="1">
      <c r="B486" s="265"/>
      <c r="C486" s="265"/>
      <c r="D486" s="265"/>
      <c r="E486" s="330" t="s">
        <v>1523</v>
      </c>
      <c r="F486" s="331" t="s">
        <v>1398</v>
      </c>
      <c r="G486" s="325"/>
      <c r="H486" s="330" t="s">
        <v>1397</v>
      </c>
      <c r="I486" s="349"/>
      <c r="J486" s="349"/>
      <c r="K486" s="349"/>
      <c r="L486" s="349"/>
      <c r="M486" s="331"/>
      <c r="N486" s="294"/>
      <c r="O486" s="294"/>
      <c r="P486" s="294"/>
      <c r="Q486" s="294"/>
      <c r="R486" s="294"/>
      <c r="S486" s="294"/>
      <c r="T486" s="294"/>
      <c r="U486" s="294"/>
      <c r="V486" s="294"/>
      <c r="W486" s="294"/>
      <c r="X486" s="294"/>
      <c r="Y486" s="294"/>
      <c r="Z486" s="294"/>
      <c r="AA486" s="294"/>
      <c r="AB486" s="294"/>
      <c r="AC486" s="294"/>
      <c r="AD486" s="294"/>
      <c r="AE486" s="294"/>
      <c r="AF486" s="294"/>
    </row>
    <row r="487" spans="2:32" ht="8" customHeight="1">
      <c r="B487" s="262" t="s">
        <v>12</v>
      </c>
      <c r="C487" s="262" t="s">
        <v>12</v>
      </c>
      <c r="D487" s="262" t="s">
        <v>12</v>
      </c>
      <c r="E487" s="291"/>
      <c r="F487" s="291"/>
      <c r="G487" s="291"/>
      <c r="H487" s="291"/>
      <c r="I487" s="291"/>
      <c r="J487" s="291"/>
      <c r="K487" s="291"/>
      <c r="L487" s="291"/>
      <c r="M487" s="291"/>
    </row>
    <row r="488" spans="2:32" ht="16">
      <c r="B488" s="262" t="s">
        <v>12</v>
      </c>
      <c r="C488" s="262" t="s">
        <v>12</v>
      </c>
      <c r="D488" s="262" t="s">
        <v>12</v>
      </c>
      <c r="E488" s="342" t="s">
        <v>812</v>
      </c>
      <c r="F488" s="342"/>
      <c r="G488" s="342"/>
      <c r="H488" s="291"/>
      <c r="I488" s="291"/>
      <c r="J488" s="291"/>
      <c r="K488" s="291"/>
      <c r="L488" s="291"/>
      <c r="M488" s="291"/>
    </row>
    <row r="489" spans="2:32" s="79" customFormat="1">
      <c r="B489" s="265"/>
      <c r="C489" s="265"/>
      <c r="D489" s="265"/>
      <c r="E489" s="421" t="s">
        <v>1524</v>
      </c>
      <c r="F489" s="422" t="s">
        <v>1525</v>
      </c>
      <c r="G489" s="325"/>
      <c r="H489" s="421" t="s">
        <v>1207</v>
      </c>
      <c r="I489" s="433" t="s">
        <v>1526</v>
      </c>
      <c r="J489" s="433" t="s">
        <v>1209</v>
      </c>
      <c r="K489" s="433"/>
      <c r="L489" s="433"/>
      <c r="M489" s="422"/>
      <c r="N489" s="294"/>
      <c r="O489" s="294"/>
      <c r="P489" s="294"/>
      <c r="Q489" s="294"/>
      <c r="R489" s="294"/>
      <c r="S489" s="294"/>
      <c r="T489" s="294"/>
      <c r="U489" s="294"/>
      <c r="V489" s="294"/>
      <c r="W489" s="294"/>
      <c r="X489" s="294"/>
      <c r="Y489" s="294"/>
      <c r="Z489" s="294"/>
      <c r="AA489" s="294"/>
      <c r="AB489" s="294"/>
      <c r="AC489" s="294"/>
      <c r="AD489" s="294"/>
      <c r="AE489" s="294"/>
      <c r="AF489" s="294"/>
    </row>
    <row r="490" spans="2:32" ht="8" customHeight="1">
      <c r="B490" s="262" t="s">
        <v>12</v>
      </c>
      <c r="C490" s="262" t="s">
        <v>12</v>
      </c>
      <c r="D490" s="262" t="s">
        <v>12</v>
      </c>
      <c r="E490" s="291"/>
      <c r="F490" s="291"/>
      <c r="G490" s="291"/>
      <c r="H490" s="291"/>
      <c r="I490" s="291"/>
      <c r="J490" s="291"/>
      <c r="K490" s="291"/>
      <c r="L490" s="291"/>
      <c r="M490" s="291"/>
    </row>
    <row r="491" spans="2:32" ht="16">
      <c r="B491" s="262" t="s">
        <v>12</v>
      </c>
      <c r="C491" s="262" t="s">
        <v>12</v>
      </c>
      <c r="D491" s="262" t="s">
        <v>12</v>
      </c>
      <c r="E491" s="369" t="s">
        <v>818</v>
      </c>
      <c r="F491" s="369"/>
      <c r="G491" s="369"/>
      <c r="H491" s="291"/>
      <c r="I491" s="291"/>
      <c r="J491" s="291"/>
      <c r="K491" s="291"/>
      <c r="L491" s="291"/>
      <c r="M491" s="291"/>
    </row>
    <row r="492" spans="2:32" s="79" customFormat="1">
      <c r="B492" s="265"/>
      <c r="C492" s="265"/>
      <c r="D492" s="265"/>
      <c r="E492" s="370" t="s">
        <v>1527</v>
      </c>
      <c r="F492" s="371"/>
      <c r="G492" s="325"/>
      <c r="H492" s="370" t="s">
        <v>1528</v>
      </c>
      <c r="I492" s="389"/>
      <c r="J492" s="389"/>
      <c r="K492" s="389"/>
      <c r="L492" s="389"/>
      <c r="M492" s="371"/>
      <c r="N492" s="294"/>
      <c r="O492" s="294"/>
      <c r="P492" s="294"/>
      <c r="Q492" s="294"/>
      <c r="R492" s="294"/>
      <c r="S492" s="294"/>
      <c r="T492" s="294"/>
      <c r="U492" s="294"/>
      <c r="V492" s="294"/>
      <c r="W492" s="294"/>
      <c r="X492" s="294"/>
      <c r="Y492" s="294"/>
      <c r="Z492" s="294"/>
      <c r="AA492" s="294"/>
      <c r="AB492" s="294"/>
      <c r="AC492" s="294"/>
      <c r="AD492" s="294"/>
      <c r="AE492" s="294"/>
      <c r="AF492" s="294"/>
    </row>
    <row r="493" spans="2:32" s="79" customFormat="1">
      <c r="B493" s="265"/>
      <c r="C493" s="265" t="s">
        <v>24</v>
      </c>
      <c r="D493" s="265"/>
      <c r="E493" s="372" t="s">
        <v>1529</v>
      </c>
      <c r="F493" s="373" t="s">
        <v>968</v>
      </c>
      <c r="G493" s="325"/>
      <c r="H493" s="372" t="s">
        <v>254</v>
      </c>
      <c r="I493" s="325" t="s">
        <v>967</v>
      </c>
      <c r="J493" s="325"/>
      <c r="K493" s="325"/>
      <c r="L493" s="325"/>
      <c r="M493" s="373"/>
      <c r="N493" s="294"/>
      <c r="O493" s="294"/>
      <c r="P493" s="294"/>
      <c r="Q493" s="294"/>
      <c r="R493" s="294"/>
      <c r="S493" s="294"/>
      <c r="T493" s="294"/>
      <c r="U493" s="294"/>
      <c r="V493" s="294"/>
      <c r="W493" s="294"/>
      <c r="X493" s="294"/>
      <c r="Y493" s="294"/>
      <c r="Z493" s="294"/>
      <c r="AA493" s="294"/>
      <c r="AB493" s="294"/>
      <c r="AC493" s="294"/>
      <c r="AD493" s="294"/>
      <c r="AE493" s="294"/>
      <c r="AF493" s="294"/>
    </row>
    <row r="494" spans="2:32" s="79" customFormat="1">
      <c r="B494" s="265"/>
      <c r="C494" s="265"/>
      <c r="D494" s="265"/>
      <c r="E494" s="379" t="s">
        <v>1530</v>
      </c>
      <c r="F494" s="380" t="s">
        <v>447</v>
      </c>
      <c r="G494" s="325"/>
      <c r="H494" s="379" t="s">
        <v>1531</v>
      </c>
      <c r="I494" s="390" t="s">
        <v>1087</v>
      </c>
      <c r="J494" s="390" t="s">
        <v>1088</v>
      </c>
      <c r="K494" s="390" t="s">
        <v>702</v>
      </c>
      <c r="L494" s="390"/>
      <c r="M494" s="380"/>
      <c r="N494" s="294"/>
      <c r="O494" s="294"/>
      <c r="P494" s="294"/>
      <c r="Q494" s="294"/>
      <c r="R494" s="294"/>
      <c r="S494" s="294"/>
      <c r="T494" s="294"/>
      <c r="U494" s="294"/>
      <c r="V494" s="294"/>
      <c r="W494" s="294"/>
      <c r="X494" s="294"/>
      <c r="Y494" s="294"/>
      <c r="Z494" s="294"/>
      <c r="AA494" s="294"/>
      <c r="AB494" s="294"/>
      <c r="AC494" s="294"/>
      <c r="AD494" s="294"/>
      <c r="AE494" s="294"/>
      <c r="AF494" s="294"/>
    </row>
    <row r="495" spans="2:32">
      <c r="B495" s="262" t="s">
        <v>12</v>
      </c>
      <c r="C495" s="262" t="s">
        <v>12</v>
      </c>
      <c r="D495" s="262" t="s">
        <v>12</v>
      </c>
    </row>
    <row r="496" spans="2:32">
      <c r="B496" s="262" t="s">
        <v>12</v>
      </c>
      <c r="C496" s="262" t="s">
        <v>12</v>
      </c>
      <c r="D496" s="262" t="s">
        <v>12</v>
      </c>
    </row>
    <row r="497" spans="2:32" ht="16">
      <c r="B497" s="262" t="s">
        <v>12</v>
      </c>
      <c r="C497" s="262" t="s">
        <v>12</v>
      </c>
      <c r="D497" s="262" t="s">
        <v>12</v>
      </c>
      <c r="E497" s="381" t="s">
        <v>819</v>
      </c>
      <c r="F497" s="381"/>
      <c r="G497" s="381"/>
      <c r="H497" s="264"/>
      <c r="I497" s="264"/>
      <c r="J497" s="264"/>
      <c r="K497" s="264"/>
      <c r="L497" s="264"/>
      <c r="M497" s="264"/>
    </row>
    <row r="498" spans="2:32">
      <c r="D498" s="93" t="s">
        <v>24</v>
      </c>
      <c r="E498" s="423" t="s">
        <v>430</v>
      </c>
      <c r="F498" s="424"/>
      <c r="G498" s="264"/>
      <c r="H498" s="423" t="s">
        <v>974</v>
      </c>
      <c r="I498" s="434" t="s">
        <v>975</v>
      </c>
      <c r="J498" s="434" t="s">
        <v>976</v>
      </c>
      <c r="K498" s="434"/>
      <c r="L498" s="434"/>
      <c r="M498" s="424"/>
    </row>
    <row r="499" spans="2:32" s="79" customFormat="1">
      <c r="B499" s="265"/>
      <c r="C499" s="265"/>
      <c r="D499" s="265"/>
      <c r="E499" s="269" t="s">
        <v>167</v>
      </c>
      <c r="F499" s="270"/>
      <c r="G499" s="268"/>
      <c r="H499" s="269" t="s">
        <v>1532</v>
      </c>
      <c r="I499" s="268"/>
      <c r="J499" s="268"/>
      <c r="K499" s="268"/>
      <c r="L499" s="268"/>
      <c r="M499" s="270"/>
      <c r="N499" s="294"/>
      <c r="O499" s="294"/>
      <c r="P499" s="294"/>
      <c r="Q499" s="294"/>
      <c r="R499" s="294"/>
      <c r="S499" s="294"/>
      <c r="T499" s="294"/>
      <c r="U499" s="294"/>
      <c r="V499" s="294"/>
      <c r="W499" s="294"/>
      <c r="X499" s="294"/>
      <c r="Y499" s="294"/>
      <c r="Z499" s="294"/>
      <c r="AA499" s="294"/>
      <c r="AB499" s="294"/>
      <c r="AC499" s="294"/>
      <c r="AD499" s="294"/>
      <c r="AE499" s="294"/>
      <c r="AF499" s="294"/>
    </row>
    <row r="500" spans="2:32" s="79" customFormat="1">
      <c r="B500" s="265"/>
      <c r="C500" s="265"/>
      <c r="D500" s="265"/>
      <c r="E500" s="269" t="s">
        <v>1141</v>
      </c>
      <c r="F500" s="270"/>
      <c r="G500" s="268"/>
      <c r="H500" s="269" t="s">
        <v>375</v>
      </c>
      <c r="I500" s="268" t="s">
        <v>1142</v>
      </c>
      <c r="J500" s="268"/>
      <c r="K500" s="268"/>
      <c r="L500" s="268"/>
      <c r="M500" s="270"/>
      <c r="N500" s="294"/>
      <c r="O500" s="294"/>
      <c r="P500" s="294"/>
      <c r="Q500" s="294"/>
      <c r="R500" s="294"/>
      <c r="S500" s="294"/>
      <c r="T500" s="294"/>
      <c r="U500" s="294"/>
      <c r="V500" s="294"/>
      <c r="W500" s="294"/>
      <c r="X500" s="294"/>
      <c r="Y500" s="294"/>
      <c r="Z500" s="294"/>
      <c r="AA500" s="294"/>
      <c r="AB500" s="294"/>
      <c r="AC500" s="294"/>
      <c r="AD500" s="294"/>
      <c r="AE500" s="294"/>
      <c r="AF500" s="294"/>
    </row>
    <row r="501" spans="2:32">
      <c r="D501" s="93" t="s">
        <v>24</v>
      </c>
      <c r="E501" s="271" t="s">
        <v>166</v>
      </c>
      <c r="F501" s="272"/>
      <c r="G501" s="264"/>
      <c r="H501" s="271" t="s">
        <v>1533</v>
      </c>
      <c r="I501" s="264"/>
      <c r="J501" s="264"/>
      <c r="K501" s="264"/>
      <c r="L501" s="264"/>
      <c r="M501" s="272"/>
    </row>
    <row r="502" spans="2:32">
      <c r="D502" s="93" t="s">
        <v>24</v>
      </c>
      <c r="E502" s="425" t="s">
        <v>1534</v>
      </c>
      <c r="F502" s="426"/>
      <c r="G502" s="427"/>
      <c r="H502" s="425" t="s">
        <v>834</v>
      </c>
      <c r="I502" s="427" t="s">
        <v>1535</v>
      </c>
      <c r="J502" s="264"/>
      <c r="K502" s="264"/>
      <c r="L502" s="264"/>
      <c r="M502" s="272"/>
    </row>
    <row r="503" spans="2:32">
      <c r="D503" s="93" t="s">
        <v>24</v>
      </c>
      <c r="E503" s="428" t="s">
        <v>834</v>
      </c>
      <c r="F503" s="429"/>
      <c r="G503" s="319"/>
      <c r="H503" s="428" t="s">
        <v>238</v>
      </c>
      <c r="I503" s="319" t="s">
        <v>1308</v>
      </c>
      <c r="J503" s="264"/>
      <c r="K503" s="264"/>
      <c r="L503" s="264"/>
      <c r="M503" s="272"/>
    </row>
    <row r="504" spans="2:32" s="79" customFormat="1">
      <c r="B504" s="265"/>
      <c r="C504" s="265"/>
      <c r="D504" s="265"/>
      <c r="E504" s="269" t="s">
        <v>1395</v>
      </c>
      <c r="F504" s="270"/>
      <c r="G504" s="268"/>
      <c r="H504" s="269" t="s">
        <v>586</v>
      </c>
      <c r="I504" s="268"/>
      <c r="J504" s="268"/>
      <c r="K504" s="268"/>
      <c r="L504" s="268"/>
      <c r="M504" s="270"/>
      <c r="N504" s="294"/>
      <c r="O504" s="294"/>
      <c r="P504" s="294"/>
      <c r="Q504" s="294"/>
      <c r="R504" s="294"/>
      <c r="S504" s="294"/>
      <c r="T504" s="294"/>
      <c r="U504" s="294"/>
      <c r="V504" s="294"/>
      <c r="W504" s="294"/>
      <c r="X504" s="294"/>
      <c r="Y504" s="294"/>
      <c r="Z504" s="294"/>
      <c r="AA504" s="294"/>
      <c r="AB504" s="294"/>
      <c r="AC504" s="294"/>
      <c r="AD504" s="294"/>
      <c r="AE504" s="294"/>
      <c r="AF504" s="294"/>
    </row>
    <row r="505" spans="2:32" s="79" customFormat="1">
      <c r="B505" s="265"/>
      <c r="C505" s="265"/>
      <c r="D505" s="265"/>
      <c r="E505" s="269" t="s">
        <v>1155</v>
      </c>
      <c r="F505" s="270"/>
      <c r="G505" s="268"/>
      <c r="H505" s="269" t="s">
        <v>1154</v>
      </c>
      <c r="I505" s="268"/>
      <c r="J505" s="268"/>
      <c r="K505" s="268"/>
      <c r="L505" s="268"/>
      <c r="M505" s="270"/>
      <c r="N505" s="294"/>
      <c r="O505" s="294"/>
      <c r="P505" s="294"/>
      <c r="Q505" s="294"/>
      <c r="R505" s="294"/>
      <c r="S505" s="294"/>
      <c r="T505" s="294"/>
      <c r="U505" s="294"/>
      <c r="V505" s="294"/>
      <c r="W505" s="294"/>
      <c r="X505" s="294"/>
      <c r="Y505" s="294"/>
      <c r="Z505" s="294"/>
      <c r="AA505" s="294"/>
      <c r="AB505" s="294"/>
      <c r="AC505" s="294"/>
      <c r="AD505" s="294"/>
      <c r="AE505" s="294"/>
      <c r="AF505" s="294"/>
    </row>
    <row r="506" spans="2:32" s="79" customFormat="1">
      <c r="B506" s="265"/>
      <c r="C506" s="265"/>
      <c r="D506" s="265"/>
      <c r="E506" s="269" t="s">
        <v>967</v>
      </c>
      <c r="F506" s="270"/>
      <c r="G506" s="268"/>
      <c r="H506" s="269" t="s">
        <v>254</v>
      </c>
      <c r="I506" s="268" t="s">
        <v>968</v>
      </c>
      <c r="J506" s="268"/>
      <c r="K506" s="268"/>
      <c r="L506" s="268"/>
      <c r="M506" s="270"/>
      <c r="N506" s="294"/>
      <c r="O506" s="294"/>
      <c r="P506" s="294"/>
      <c r="Q506" s="294"/>
      <c r="R506" s="294"/>
      <c r="S506" s="294"/>
      <c r="T506" s="294"/>
      <c r="U506" s="294"/>
      <c r="V506" s="294"/>
      <c r="W506" s="294"/>
      <c r="X506" s="294"/>
      <c r="Y506" s="294"/>
      <c r="Z506" s="294"/>
      <c r="AA506" s="294"/>
      <c r="AB506" s="294"/>
      <c r="AC506" s="294"/>
      <c r="AD506" s="294"/>
      <c r="AE506" s="294"/>
      <c r="AF506" s="294"/>
    </row>
    <row r="507" spans="2:32" s="79" customFormat="1">
      <c r="B507" s="265"/>
      <c r="C507" s="265"/>
      <c r="D507" s="265"/>
      <c r="E507" s="382" t="s">
        <v>1536</v>
      </c>
      <c r="F507" s="274"/>
      <c r="G507" s="268"/>
      <c r="H507" s="382" t="s">
        <v>1537</v>
      </c>
      <c r="I507" s="295" t="s">
        <v>196</v>
      </c>
      <c r="J507" s="295"/>
      <c r="K507" s="295"/>
      <c r="L507" s="295"/>
      <c r="M507" s="274"/>
      <c r="N507" s="294"/>
      <c r="O507" s="294"/>
      <c r="P507" s="294"/>
      <c r="Q507" s="294"/>
      <c r="R507" s="294"/>
      <c r="S507" s="294"/>
      <c r="T507" s="294"/>
      <c r="U507" s="294"/>
      <c r="V507" s="294"/>
      <c r="W507" s="294"/>
      <c r="X507" s="294"/>
      <c r="Y507" s="294"/>
      <c r="Z507" s="294"/>
      <c r="AA507" s="294"/>
      <c r="AB507" s="294"/>
      <c r="AC507" s="294"/>
      <c r="AD507" s="294"/>
      <c r="AE507" s="294"/>
      <c r="AF507" s="294"/>
    </row>
    <row r="508" spans="2:32" ht="8" customHeight="1">
      <c r="B508" s="262" t="s">
        <v>12</v>
      </c>
      <c r="C508" s="262" t="s">
        <v>12</v>
      </c>
      <c r="D508" s="262" t="s">
        <v>12</v>
      </c>
      <c r="E508" s="264"/>
      <c r="F508" s="264"/>
      <c r="G508" s="264"/>
      <c r="H508" s="264"/>
      <c r="I508" s="264"/>
      <c r="J508" s="264"/>
      <c r="K508" s="264"/>
      <c r="L508" s="264"/>
      <c r="M508" s="264"/>
    </row>
    <row r="509" spans="2:32" ht="16">
      <c r="B509" s="262" t="s">
        <v>12</v>
      </c>
      <c r="C509" s="262" t="s">
        <v>12</v>
      </c>
      <c r="D509" s="262" t="s">
        <v>12</v>
      </c>
      <c r="E509" s="275" t="s">
        <v>842</v>
      </c>
      <c r="F509" s="275"/>
      <c r="G509" s="275"/>
      <c r="H509" s="264"/>
      <c r="I509" s="264"/>
      <c r="J509" s="264"/>
      <c r="K509" s="264"/>
      <c r="L509" s="264"/>
      <c r="M509" s="264"/>
    </row>
    <row r="510" spans="2:32" s="79" customFormat="1">
      <c r="B510" s="265"/>
      <c r="C510" s="265"/>
      <c r="D510" s="265"/>
      <c r="E510" s="276" t="s">
        <v>1537</v>
      </c>
      <c r="F510" s="277"/>
      <c r="G510" s="268"/>
      <c r="H510" s="276" t="s">
        <v>1536</v>
      </c>
      <c r="I510" s="296" t="s">
        <v>196</v>
      </c>
      <c r="J510" s="296"/>
      <c r="K510" s="296"/>
      <c r="L510" s="296"/>
      <c r="M510" s="277"/>
      <c r="N510" s="294"/>
      <c r="O510" s="294"/>
      <c r="P510" s="294"/>
      <c r="Q510" s="294"/>
      <c r="R510" s="294"/>
      <c r="S510" s="294"/>
      <c r="T510" s="294"/>
      <c r="U510" s="294"/>
      <c r="V510" s="294"/>
      <c r="W510" s="294"/>
      <c r="X510" s="294"/>
      <c r="Y510" s="294"/>
      <c r="Z510" s="294"/>
      <c r="AA510" s="294"/>
      <c r="AB510" s="294"/>
      <c r="AC510" s="294"/>
      <c r="AD510" s="294"/>
      <c r="AE510" s="294"/>
      <c r="AF510" s="294"/>
    </row>
    <row r="511" spans="2:32">
      <c r="C511" s="93" t="s">
        <v>24</v>
      </c>
      <c r="D511" s="93" t="s">
        <v>24</v>
      </c>
      <c r="E511" s="430" t="s">
        <v>196</v>
      </c>
      <c r="F511" s="431"/>
      <c r="G511" s="319"/>
      <c r="H511" s="430" t="s">
        <v>1536</v>
      </c>
      <c r="I511" s="319" t="s">
        <v>1537</v>
      </c>
      <c r="J511" s="264"/>
      <c r="K511" s="264"/>
      <c r="L511" s="264"/>
      <c r="M511" s="384"/>
    </row>
    <row r="512" spans="2:32" s="79" customFormat="1">
      <c r="B512" s="265"/>
      <c r="C512" s="265"/>
      <c r="D512" s="265"/>
      <c r="E512" s="278" t="s">
        <v>937</v>
      </c>
      <c r="F512" s="279"/>
      <c r="G512" s="268"/>
      <c r="H512" s="278" t="s">
        <v>934</v>
      </c>
      <c r="I512" s="268" t="s">
        <v>174</v>
      </c>
      <c r="J512" s="268" t="s">
        <v>935</v>
      </c>
      <c r="K512" s="268" t="s">
        <v>936</v>
      </c>
      <c r="L512" s="268"/>
      <c r="M512" s="279"/>
      <c r="N512" s="294"/>
      <c r="O512" s="294"/>
      <c r="P512" s="294"/>
      <c r="Q512" s="294"/>
      <c r="R512" s="294"/>
      <c r="S512" s="294"/>
      <c r="T512" s="294"/>
      <c r="U512" s="294"/>
      <c r="V512" s="294"/>
      <c r="W512" s="294"/>
      <c r="X512" s="294"/>
      <c r="Y512" s="294"/>
      <c r="Z512" s="294"/>
      <c r="AA512" s="294"/>
      <c r="AB512" s="294"/>
      <c r="AC512" s="294"/>
      <c r="AD512" s="294"/>
      <c r="AE512" s="294"/>
      <c r="AF512" s="294"/>
    </row>
    <row r="513" spans="2:32" s="79" customFormat="1">
      <c r="B513" s="265"/>
      <c r="C513" s="265"/>
      <c r="D513" s="265"/>
      <c r="E513" s="278" t="s">
        <v>1538</v>
      </c>
      <c r="F513" s="279"/>
      <c r="G513" s="268"/>
      <c r="H513" s="278" t="s">
        <v>1063</v>
      </c>
      <c r="I513" s="268" t="s">
        <v>661</v>
      </c>
      <c r="J513" s="268" t="s">
        <v>1064</v>
      </c>
      <c r="K513" s="268" t="s">
        <v>1539</v>
      </c>
      <c r="L513" s="268"/>
      <c r="M513" s="279"/>
      <c r="N513" s="294"/>
      <c r="O513" s="294"/>
      <c r="P513" s="294"/>
      <c r="Q513" s="294"/>
      <c r="R513" s="294"/>
      <c r="S513" s="294"/>
      <c r="T513" s="294"/>
      <c r="U513" s="294"/>
      <c r="V513" s="294"/>
      <c r="W513" s="294"/>
      <c r="X513" s="294"/>
      <c r="Y513" s="294"/>
      <c r="Z513" s="294"/>
      <c r="AA513" s="294"/>
      <c r="AB513" s="294"/>
      <c r="AC513" s="294"/>
      <c r="AD513" s="294"/>
      <c r="AE513" s="294"/>
      <c r="AF513" s="294"/>
    </row>
    <row r="514" spans="2:32" s="79" customFormat="1">
      <c r="B514" s="265"/>
      <c r="C514" s="265"/>
      <c r="D514" s="265"/>
      <c r="E514" s="280" t="s">
        <v>1540</v>
      </c>
      <c r="F514" s="281"/>
      <c r="G514" s="268"/>
      <c r="H514" s="280" t="s">
        <v>1541</v>
      </c>
      <c r="I514" s="297"/>
      <c r="J514" s="297"/>
      <c r="K514" s="297"/>
      <c r="L514" s="297"/>
      <c r="M514" s="281"/>
      <c r="N514" s="294"/>
      <c r="O514" s="294"/>
      <c r="P514" s="294"/>
      <c r="Q514" s="294"/>
      <c r="R514" s="294"/>
      <c r="S514" s="294"/>
      <c r="T514" s="294"/>
      <c r="U514" s="294"/>
      <c r="V514" s="294"/>
      <c r="W514" s="294"/>
      <c r="X514" s="294"/>
      <c r="Y514" s="294"/>
      <c r="Z514" s="294"/>
      <c r="AA514" s="294"/>
      <c r="AB514" s="294"/>
      <c r="AC514" s="294"/>
      <c r="AD514" s="294"/>
      <c r="AE514" s="294"/>
      <c r="AF514" s="294"/>
    </row>
    <row r="515" spans="2:32" ht="8" customHeight="1">
      <c r="B515" s="262" t="s">
        <v>12</v>
      </c>
      <c r="C515" s="262" t="s">
        <v>12</v>
      </c>
      <c r="D515" s="262" t="s">
        <v>12</v>
      </c>
      <c r="E515" s="264"/>
      <c r="F515" s="264"/>
      <c r="G515" s="264"/>
      <c r="H515" s="264"/>
      <c r="I515" s="264"/>
      <c r="J515" s="264"/>
      <c r="K515" s="264"/>
      <c r="L515" s="264"/>
      <c r="M515" s="264"/>
    </row>
    <row r="516" spans="2:32" ht="16">
      <c r="B516" s="262" t="s">
        <v>12</v>
      </c>
      <c r="C516" s="262" t="s">
        <v>12</v>
      </c>
      <c r="D516" s="262" t="s">
        <v>12</v>
      </c>
      <c r="E516" s="282" t="s">
        <v>851</v>
      </c>
      <c r="F516" s="282"/>
      <c r="G516" s="282"/>
      <c r="H516" s="264"/>
      <c r="I516" s="264"/>
      <c r="J516" s="264"/>
      <c r="K516" s="264"/>
      <c r="L516" s="264"/>
      <c r="M516" s="264"/>
    </row>
    <row r="517" spans="2:32">
      <c r="D517" s="93" t="s">
        <v>24</v>
      </c>
      <c r="E517" s="435" t="s">
        <v>852</v>
      </c>
      <c r="F517" s="436"/>
      <c r="G517" s="264"/>
      <c r="H517" s="435" t="s">
        <v>1542</v>
      </c>
      <c r="I517" s="440"/>
      <c r="J517" s="440"/>
      <c r="K517" s="440"/>
      <c r="L517" s="440"/>
      <c r="M517" s="436"/>
    </row>
    <row r="518" spans="2:32" s="79" customFormat="1">
      <c r="B518" s="265"/>
      <c r="C518" s="265"/>
      <c r="D518" s="265"/>
      <c r="E518" s="287" t="s">
        <v>1124</v>
      </c>
      <c r="F518" s="288"/>
      <c r="G518" s="268"/>
      <c r="H518" s="287" t="s">
        <v>1123</v>
      </c>
      <c r="I518" s="268"/>
      <c r="J518" s="268"/>
      <c r="K518" s="268"/>
      <c r="L518" s="268"/>
      <c r="M518" s="288"/>
      <c r="N518" s="294"/>
      <c r="O518" s="294"/>
      <c r="P518" s="294"/>
      <c r="Q518" s="294"/>
      <c r="R518" s="294"/>
      <c r="S518" s="294"/>
      <c r="T518" s="294"/>
      <c r="U518" s="294"/>
      <c r="V518" s="294"/>
      <c r="W518" s="294"/>
      <c r="X518" s="294"/>
      <c r="Y518" s="294"/>
      <c r="Z518" s="294"/>
      <c r="AA518" s="294"/>
      <c r="AB518" s="294"/>
      <c r="AC518" s="294"/>
      <c r="AD518" s="294"/>
      <c r="AE518" s="294"/>
      <c r="AF518" s="294"/>
    </row>
    <row r="519" spans="2:32">
      <c r="D519" s="93" t="s">
        <v>24</v>
      </c>
      <c r="E519" s="285" t="s">
        <v>855</v>
      </c>
      <c r="F519" s="286"/>
      <c r="G519" s="264"/>
      <c r="H519" s="285" t="s">
        <v>1543</v>
      </c>
      <c r="I519" s="264"/>
      <c r="J519" s="264"/>
      <c r="K519" s="264"/>
      <c r="L519" s="264"/>
      <c r="M519" s="286"/>
    </row>
    <row r="520" spans="2:32" s="79" customFormat="1">
      <c r="B520" s="265"/>
      <c r="C520" s="265"/>
      <c r="D520" s="265"/>
      <c r="E520" s="287" t="s">
        <v>1544</v>
      </c>
      <c r="F520" s="288"/>
      <c r="G520" s="268"/>
      <c r="H520" s="287" t="s">
        <v>888</v>
      </c>
      <c r="I520" s="268" t="s">
        <v>1545</v>
      </c>
      <c r="J520" s="268"/>
      <c r="K520" s="268"/>
      <c r="L520" s="268"/>
      <c r="M520" s="288"/>
      <c r="N520" s="294"/>
      <c r="O520" s="294"/>
      <c r="P520" s="294"/>
      <c r="Q520" s="294"/>
      <c r="R520" s="294"/>
      <c r="S520" s="294"/>
      <c r="T520" s="294"/>
      <c r="U520" s="294"/>
      <c r="V520" s="294"/>
      <c r="W520" s="294"/>
      <c r="X520" s="294"/>
      <c r="Y520" s="294"/>
      <c r="Z520" s="294"/>
      <c r="AA520" s="294"/>
      <c r="AB520" s="294"/>
      <c r="AC520" s="294"/>
      <c r="AD520" s="294"/>
      <c r="AE520" s="294"/>
      <c r="AF520" s="294"/>
    </row>
    <row r="521" spans="2:32" s="79" customFormat="1">
      <c r="B521" s="265"/>
      <c r="C521" s="265"/>
      <c r="D521" s="265"/>
      <c r="E521" s="289" t="s">
        <v>1319</v>
      </c>
      <c r="F521" s="290"/>
      <c r="G521" s="268"/>
      <c r="H521" s="289" t="s">
        <v>1318</v>
      </c>
      <c r="I521" s="299"/>
      <c r="J521" s="299"/>
      <c r="K521" s="299"/>
      <c r="L521" s="299"/>
      <c r="M521" s="290"/>
      <c r="N521" s="294"/>
      <c r="O521" s="294"/>
      <c r="P521" s="294"/>
      <c r="Q521" s="294"/>
      <c r="R521" s="294"/>
      <c r="S521" s="294"/>
      <c r="T521" s="294"/>
      <c r="U521" s="294"/>
      <c r="V521" s="294"/>
      <c r="W521" s="294"/>
      <c r="X521" s="294"/>
      <c r="Y521" s="294"/>
      <c r="Z521" s="294"/>
      <c r="AA521" s="294"/>
      <c r="AB521" s="294"/>
      <c r="AC521" s="294"/>
      <c r="AD521" s="294"/>
      <c r="AE521" s="294"/>
      <c r="AF521" s="294"/>
    </row>
    <row r="522" spans="2:32" ht="8" customHeight="1">
      <c r="B522" s="262" t="s">
        <v>12</v>
      </c>
      <c r="C522" s="262" t="s">
        <v>12</v>
      </c>
      <c r="D522" s="262" t="s">
        <v>12</v>
      </c>
      <c r="E522" s="264"/>
      <c r="F522" s="264"/>
      <c r="G522" s="264"/>
      <c r="H522" s="264"/>
      <c r="I522" s="264"/>
      <c r="J522" s="264"/>
      <c r="K522" s="264"/>
      <c r="L522" s="264"/>
      <c r="M522" s="264"/>
    </row>
    <row r="523" spans="2:32" ht="16">
      <c r="B523" s="262" t="s">
        <v>12</v>
      </c>
      <c r="C523" s="262" t="s">
        <v>12</v>
      </c>
      <c r="D523" s="262" t="s">
        <v>12</v>
      </c>
      <c r="E523" s="300" t="s">
        <v>864</v>
      </c>
      <c r="F523" s="300"/>
      <c r="G523" s="300"/>
      <c r="H523" s="264"/>
      <c r="I523" s="264"/>
      <c r="J523" s="264"/>
      <c r="K523" s="264"/>
      <c r="L523" s="264"/>
      <c r="M523" s="264"/>
    </row>
    <row r="524" spans="2:32" s="79" customFormat="1">
      <c r="B524" s="265"/>
      <c r="C524" s="265"/>
      <c r="D524" s="265"/>
      <c r="E524" s="301" t="s">
        <v>1371</v>
      </c>
      <c r="F524" s="302"/>
      <c r="G524" s="268"/>
      <c r="H524" s="301" t="s">
        <v>1546</v>
      </c>
      <c r="I524" s="343"/>
      <c r="J524" s="343"/>
      <c r="K524" s="343"/>
      <c r="L524" s="343"/>
      <c r="M524" s="302"/>
      <c r="N524" s="294"/>
      <c r="O524" s="294"/>
      <c r="P524" s="294"/>
      <c r="Q524" s="294"/>
      <c r="R524" s="294"/>
      <c r="S524" s="294"/>
      <c r="T524" s="294"/>
      <c r="U524" s="294"/>
      <c r="V524" s="294"/>
      <c r="W524" s="294"/>
      <c r="X524" s="294"/>
      <c r="Y524" s="294"/>
      <c r="Z524" s="294"/>
      <c r="AA524" s="294"/>
      <c r="AB524" s="294"/>
      <c r="AC524" s="294"/>
      <c r="AD524" s="294"/>
      <c r="AE524" s="294"/>
      <c r="AF524" s="294"/>
    </row>
    <row r="525" spans="2:32" s="79" customFormat="1">
      <c r="B525" s="265"/>
      <c r="C525" s="265"/>
      <c r="D525" s="265"/>
      <c r="E525" s="303" t="s">
        <v>1547</v>
      </c>
      <c r="F525" s="304" t="s">
        <v>1528</v>
      </c>
      <c r="G525" s="268"/>
      <c r="H525" s="303" t="s">
        <v>1527</v>
      </c>
      <c r="I525" s="268"/>
      <c r="J525" s="268"/>
      <c r="K525" s="268"/>
      <c r="L525" s="268"/>
      <c r="M525" s="304"/>
      <c r="N525" s="294"/>
      <c r="O525" s="294"/>
      <c r="P525" s="294"/>
      <c r="Q525" s="294"/>
      <c r="R525" s="294"/>
      <c r="S525" s="294"/>
      <c r="T525" s="294"/>
      <c r="U525" s="294"/>
      <c r="V525" s="294"/>
      <c r="W525" s="294"/>
      <c r="X525" s="294"/>
      <c r="Y525" s="294"/>
      <c r="Z525" s="294"/>
      <c r="AA525" s="294"/>
      <c r="AB525" s="294"/>
      <c r="AC525" s="294"/>
      <c r="AD525" s="294"/>
      <c r="AE525" s="294"/>
      <c r="AF525" s="294"/>
    </row>
    <row r="526" spans="2:32" s="79" customFormat="1">
      <c r="B526" s="265"/>
      <c r="C526" s="265"/>
      <c r="D526" s="265"/>
      <c r="E526" s="303" t="s">
        <v>1548</v>
      </c>
      <c r="F526" s="304"/>
      <c r="G526" s="268"/>
      <c r="H526" s="303" t="s">
        <v>934</v>
      </c>
      <c r="I526" s="268" t="s">
        <v>174</v>
      </c>
      <c r="J526" s="268" t="s">
        <v>1549</v>
      </c>
      <c r="K526" s="268" t="s">
        <v>937</v>
      </c>
      <c r="L526" s="268"/>
      <c r="M526" s="304"/>
      <c r="N526" s="294"/>
      <c r="O526" s="294"/>
      <c r="P526" s="294"/>
      <c r="Q526" s="294"/>
      <c r="R526" s="294"/>
      <c r="S526" s="294"/>
      <c r="T526" s="294"/>
      <c r="U526" s="294"/>
      <c r="V526" s="294"/>
      <c r="W526" s="294"/>
      <c r="X526" s="294"/>
      <c r="Y526" s="294"/>
      <c r="Z526" s="294"/>
      <c r="AA526" s="294"/>
      <c r="AB526" s="294"/>
      <c r="AC526" s="294"/>
      <c r="AD526" s="294"/>
      <c r="AE526" s="294"/>
      <c r="AF526" s="294"/>
    </row>
    <row r="527" spans="2:32" s="79" customFormat="1">
      <c r="B527" s="265"/>
      <c r="C527" s="265"/>
      <c r="D527" s="265"/>
      <c r="E527" s="303" t="s">
        <v>1550</v>
      </c>
      <c r="F527" s="304"/>
      <c r="G527" s="268"/>
      <c r="H527" s="303" t="s">
        <v>1289</v>
      </c>
      <c r="I527" s="268" t="s">
        <v>1551</v>
      </c>
      <c r="J527" s="268"/>
      <c r="K527" s="268"/>
      <c r="L527" s="268"/>
      <c r="M527" s="304"/>
      <c r="N527" s="294"/>
      <c r="O527" s="294"/>
      <c r="P527" s="294"/>
      <c r="Q527" s="294"/>
      <c r="R527" s="294"/>
      <c r="S527" s="294"/>
      <c r="T527" s="294"/>
      <c r="U527" s="294"/>
      <c r="V527" s="294"/>
      <c r="W527" s="294"/>
      <c r="X527" s="294"/>
      <c r="Y527" s="294"/>
      <c r="Z527" s="294"/>
      <c r="AA527" s="294"/>
      <c r="AB527" s="294"/>
      <c r="AC527" s="294"/>
      <c r="AD527" s="294"/>
      <c r="AE527" s="294"/>
      <c r="AF527" s="294"/>
    </row>
    <row r="528" spans="2:32" s="79" customFormat="1">
      <c r="B528" s="265"/>
      <c r="C528" s="265"/>
      <c r="D528" s="265"/>
      <c r="E528" s="303" t="s">
        <v>1552</v>
      </c>
      <c r="F528" s="304"/>
      <c r="G528" s="268"/>
      <c r="H528" s="303" t="s">
        <v>1553</v>
      </c>
      <c r="I528" s="268"/>
      <c r="J528" s="268"/>
      <c r="K528" s="268"/>
      <c r="L528" s="268"/>
      <c r="M528" s="304"/>
      <c r="N528" s="294"/>
      <c r="O528" s="294"/>
      <c r="P528" s="294"/>
      <c r="Q528" s="294"/>
      <c r="R528" s="294"/>
      <c r="S528" s="294"/>
      <c r="T528" s="294"/>
      <c r="U528" s="294"/>
      <c r="V528" s="294"/>
      <c r="W528" s="294"/>
      <c r="X528" s="294"/>
      <c r="Y528" s="294"/>
      <c r="Z528" s="294"/>
      <c r="AA528" s="294"/>
      <c r="AB528" s="294"/>
      <c r="AC528" s="294"/>
      <c r="AD528" s="294"/>
      <c r="AE528" s="294"/>
      <c r="AF528" s="294"/>
    </row>
    <row r="529" spans="2:32" s="79" customFormat="1">
      <c r="B529" s="265"/>
      <c r="C529" s="265"/>
      <c r="D529" s="265"/>
      <c r="E529" s="303" t="s">
        <v>1554</v>
      </c>
      <c r="F529" s="304"/>
      <c r="G529" s="268"/>
      <c r="H529" s="303" t="s">
        <v>1555</v>
      </c>
      <c r="I529" s="268"/>
      <c r="J529" s="268"/>
      <c r="K529" s="268"/>
      <c r="L529" s="268"/>
      <c r="M529" s="304"/>
      <c r="N529" s="294"/>
      <c r="O529" s="294"/>
      <c r="P529" s="294"/>
      <c r="Q529" s="294"/>
      <c r="R529" s="294"/>
      <c r="S529" s="294"/>
      <c r="T529" s="294"/>
      <c r="U529" s="294"/>
      <c r="V529" s="294"/>
      <c r="W529" s="294"/>
      <c r="X529" s="294"/>
      <c r="Y529" s="294"/>
      <c r="Z529" s="294"/>
      <c r="AA529" s="294"/>
      <c r="AB529" s="294"/>
      <c r="AC529" s="294"/>
      <c r="AD529" s="294"/>
      <c r="AE529" s="294"/>
      <c r="AF529" s="294"/>
    </row>
    <row r="530" spans="2:32">
      <c r="D530" s="93" t="s">
        <v>24</v>
      </c>
      <c r="E530" s="305" t="s">
        <v>1447</v>
      </c>
      <c r="F530" s="306"/>
      <c r="G530" s="264"/>
      <c r="H530" s="305" t="s">
        <v>1446</v>
      </c>
      <c r="I530" s="264"/>
      <c r="J530" s="264"/>
      <c r="K530" s="264"/>
      <c r="L530" s="264"/>
      <c r="M530" s="306"/>
    </row>
    <row r="531" spans="2:32" s="79" customFormat="1">
      <c r="B531" s="265"/>
      <c r="C531" s="265"/>
      <c r="D531" s="265"/>
      <c r="E531" s="307" t="s">
        <v>1556</v>
      </c>
      <c r="F531" s="308" t="s">
        <v>1557</v>
      </c>
      <c r="G531" s="268"/>
      <c r="H531" s="307" t="s">
        <v>1558</v>
      </c>
      <c r="I531" s="344"/>
      <c r="J531" s="344"/>
      <c r="K531" s="344"/>
      <c r="L531" s="344"/>
      <c r="M531" s="308"/>
      <c r="N531" s="294"/>
      <c r="O531" s="294"/>
      <c r="P531" s="294"/>
      <c r="Q531" s="294"/>
      <c r="R531" s="294"/>
      <c r="S531" s="294"/>
      <c r="T531" s="294"/>
      <c r="U531" s="294"/>
      <c r="V531" s="294"/>
      <c r="W531" s="294"/>
      <c r="X531" s="294"/>
      <c r="Y531" s="294"/>
      <c r="Z531" s="294"/>
      <c r="AA531" s="294"/>
      <c r="AB531" s="294"/>
      <c r="AC531" s="294"/>
      <c r="AD531" s="294"/>
      <c r="AE531" s="294"/>
      <c r="AF531" s="294"/>
    </row>
    <row r="532" spans="2:32" ht="8" customHeight="1">
      <c r="B532" s="262" t="s">
        <v>12</v>
      </c>
      <c r="C532" s="262" t="s">
        <v>12</v>
      </c>
      <c r="D532" s="262" t="s">
        <v>12</v>
      </c>
      <c r="E532" s="264"/>
      <c r="F532" s="264"/>
      <c r="G532" s="264"/>
      <c r="H532" s="264"/>
      <c r="I532" s="264"/>
      <c r="J532" s="264"/>
      <c r="K532" s="264"/>
      <c r="L532" s="264"/>
      <c r="M532" s="264"/>
    </row>
    <row r="533" spans="2:32" ht="16">
      <c r="B533" s="262" t="s">
        <v>12</v>
      </c>
      <c r="C533" s="262" t="s">
        <v>12</v>
      </c>
      <c r="D533" s="262" t="s">
        <v>12</v>
      </c>
      <c r="E533" s="309" t="s">
        <v>879</v>
      </c>
      <c r="F533" s="309"/>
      <c r="G533" s="309"/>
      <c r="H533" s="264"/>
      <c r="I533" s="264"/>
      <c r="J533" s="264"/>
      <c r="K533" s="264"/>
      <c r="L533" s="264"/>
      <c r="M533" s="264"/>
    </row>
    <row r="534" spans="2:32" s="79" customFormat="1">
      <c r="B534" s="265"/>
      <c r="C534" s="265"/>
      <c r="D534" s="265"/>
      <c r="E534" s="395" t="s">
        <v>1542</v>
      </c>
      <c r="F534" s="396"/>
      <c r="G534" s="268"/>
      <c r="H534" s="395" t="s">
        <v>852</v>
      </c>
      <c r="I534" s="399"/>
      <c r="J534" s="399"/>
      <c r="K534" s="399"/>
      <c r="L534" s="399"/>
      <c r="M534" s="396"/>
      <c r="N534" s="294"/>
      <c r="O534" s="294"/>
      <c r="P534" s="294"/>
      <c r="Q534" s="294"/>
      <c r="R534" s="294"/>
      <c r="S534" s="294"/>
      <c r="T534" s="294"/>
      <c r="U534" s="294"/>
      <c r="V534" s="294"/>
      <c r="W534" s="294"/>
      <c r="X534" s="294"/>
      <c r="Y534" s="294"/>
      <c r="Z534" s="294"/>
      <c r="AA534" s="294"/>
      <c r="AB534" s="294"/>
      <c r="AC534" s="294"/>
      <c r="AD534" s="294"/>
      <c r="AE534" s="294"/>
      <c r="AF534" s="294"/>
    </row>
    <row r="535" spans="2:32">
      <c r="E535" s="437" t="s">
        <v>1559</v>
      </c>
      <c r="F535" s="438" t="s">
        <v>1179</v>
      </c>
      <c r="G535" s="427"/>
      <c r="H535" s="437" t="s">
        <v>1178</v>
      </c>
      <c r="I535" s="264"/>
      <c r="J535" s="264"/>
      <c r="K535" s="264"/>
      <c r="L535" s="264"/>
      <c r="M535" s="313"/>
    </row>
    <row r="536" spans="2:32">
      <c r="E536" s="312" t="s">
        <v>1559</v>
      </c>
      <c r="F536" s="313" t="s">
        <v>1179</v>
      </c>
      <c r="G536" s="264"/>
      <c r="H536" s="312" t="s">
        <v>1192</v>
      </c>
      <c r="I536" s="264"/>
      <c r="J536" s="264"/>
      <c r="K536" s="264"/>
      <c r="L536" s="264"/>
      <c r="M536" s="313"/>
    </row>
    <row r="537" spans="2:32">
      <c r="D537" s="93" t="s">
        <v>24</v>
      </c>
      <c r="E537" s="312" t="s">
        <v>880</v>
      </c>
      <c r="F537" s="313"/>
      <c r="G537" s="264"/>
      <c r="H537" s="312" t="s">
        <v>1403</v>
      </c>
      <c r="I537" s="264"/>
      <c r="J537" s="264"/>
      <c r="K537" s="264"/>
      <c r="L537" s="264"/>
      <c r="M537" s="313"/>
    </row>
    <row r="538" spans="2:32" s="79" customFormat="1">
      <c r="B538" s="265"/>
      <c r="C538" s="265"/>
      <c r="D538" s="265"/>
      <c r="E538" s="314" t="s">
        <v>1560</v>
      </c>
      <c r="F538" s="315"/>
      <c r="G538" s="268"/>
      <c r="H538" s="314" t="s">
        <v>1561</v>
      </c>
      <c r="I538" s="268"/>
      <c r="J538" s="268"/>
      <c r="K538" s="268"/>
      <c r="L538" s="268"/>
      <c r="M538" s="315"/>
      <c r="N538" s="294"/>
      <c r="O538" s="294"/>
      <c r="P538" s="294"/>
      <c r="Q538" s="294"/>
      <c r="R538" s="294"/>
      <c r="S538" s="294"/>
      <c r="T538" s="294"/>
      <c r="U538" s="294"/>
      <c r="V538" s="294"/>
      <c r="W538" s="294"/>
      <c r="X538" s="294"/>
      <c r="Y538" s="294"/>
      <c r="Z538" s="294"/>
      <c r="AA538" s="294"/>
      <c r="AB538" s="294"/>
      <c r="AC538" s="294"/>
      <c r="AD538" s="294"/>
      <c r="AE538" s="294"/>
      <c r="AF538" s="294"/>
    </row>
    <row r="539" spans="2:32" s="79" customFormat="1">
      <c r="B539" s="265"/>
      <c r="C539" s="265"/>
      <c r="D539" s="265"/>
      <c r="E539" s="314" t="s">
        <v>1562</v>
      </c>
      <c r="F539" s="315"/>
      <c r="G539" s="268"/>
      <c r="H539" s="314" t="s">
        <v>1563</v>
      </c>
      <c r="I539" s="268"/>
      <c r="J539" s="268"/>
      <c r="K539" s="268"/>
      <c r="L539" s="268"/>
      <c r="M539" s="315"/>
      <c r="N539" s="294"/>
      <c r="O539" s="294"/>
      <c r="P539" s="294"/>
      <c r="Q539" s="294"/>
      <c r="R539" s="294"/>
      <c r="S539" s="294"/>
      <c r="T539" s="294"/>
      <c r="U539" s="294"/>
      <c r="V539" s="294"/>
      <c r="W539" s="294"/>
      <c r="X539" s="294"/>
      <c r="Y539" s="294"/>
      <c r="Z539" s="294"/>
      <c r="AA539" s="294"/>
      <c r="AB539" s="294"/>
      <c r="AC539" s="294"/>
      <c r="AD539" s="294"/>
      <c r="AE539" s="294"/>
      <c r="AF539" s="294"/>
    </row>
    <row r="540" spans="2:32">
      <c r="D540" s="93" t="s">
        <v>24</v>
      </c>
      <c r="E540" s="312" t="s">
        <v>1564</v>
      </c>
      <c r="F540" s="313" t="s">
        <v>884</v>
      </c>
      <c r="G540" s="264"/>
      <c r="H540" s="312" t="s">
        <v>1518</v>
      </c>
      <c r="I540" s="264"/>
      <c r="J540" s="264"/>
      <c r="K540" s="264"/>
      <c r="L540" s="264"/>
      <c r="M540" s="313"/>
    </row>
    <row r="541" spans="2:32" s="79" customFormat="1">
      <c r="B541" s="265"/>
      <c r="C541" s="265"/>
      <c r="D541" s="265"/>
      <c r="E541" s="314" t="s">
        <v>787</v>
      </c>
      <c r="F541" s="315"/>
      <c r="G541" s="268"/>
      <c r="H541" s="314" t="s">
        <v>1550</v>
      </c>
      <c r="I541" s="268" t="s">
        <v>1565</v>
      </c>
      <c r="J541" s="268"/>
      <c r="K541" s="268"/>
      <c r="L541" s="268"/>
      <c r="M541" s="315"/>
      <c r="N541" s="294"/>
      <c r="O541" s="294"/>
      <c r="P541" s="294"/>
      <c r="Q541" s="294"/>
      <c r="R541" s="294"/>
      <c r="S541" s="294"/>
      <c r="T541" s="294"/>
      <c r="U541" s="294"/>
      <c r="V541" s="294"/>
      <c r="W541" s="294"/>
      <c r="X541" s="294"/>
      <c r="Y541" s="294"/>
      <c r="Z541" s="294"/>
      <c r="AA541" s="294"/>
      <c r="AB541" s="294"/>
      <c r="AC541" s="294"/>
      <c r="AD541" s="294"/>
      <c r="AE541" s="294"/>
      <c r="AF541" s="294"/>
    </row>
    <row r="542" spans="2:32">
      <c r="D542" s="93" t="s">
        <v>24</v>
      </c>
      <c r="E542" s="312" t="s">
        <v>888</v>
      </c>
      <c r="F542" s="313"/>
      <c r="G542" s="264"/>
      <c r="H542" s="312" t="s">
        <v>1566</v>
      </c>
      <c r="I542" s="264" t="s">
        <v>1567</v>
      </c>
      <c r="J542" s="264"/>
      <c r="K542" s="264"/>
      <c r="L542" s="264"/>
      <c r="M542" s="313"/>
    </row>
    <row r="543" spans="2:32" s="79" customFormat="1">
      <c r="B543" s="265"/>
      <c r="C543" s="265"/>
      <c r="D543" s="265"/>
      <c r="E543" s="314" t="s">
        <v>1566</v>
      </c>
      <c r="F543" s="315"/>
      <c r="G543" s="268"/>
      <c r="H543" s="314" t="s">
        <v>888</v>
      </c>
      <c r="I543" s="268" t="s">
        <v>1567</v>
      </c>
      <c r="J543" s="268"/>
      <c r="K543" s="268"/>
      <c r="L543" s="268"/>
      <c r="M543" s="315"/>
      <c r="N543" s="294"/>
      <c r="O543" s="294"/>
      <c r="P543" s="294"/>
      <c r="Q543" s="294"/>
      <c r="R543" s="294"/>
      <c r="S543" s="294"/>
      <c r="T543" s="294"/>
      <c r="U543" s="294"/>
      <c r="V543" s="294"/>
      <c r="W543" s="294"/>
      <c r="X543" s="294"/>
      <c r="Y543" s="294"/>
      <c r="Z543" s="294"/>
      <c r="AA543" s="294"/>
      <c r="AB543" s="294"/>
      <c r="AC543" s="294"/>
      <c r="AD543" s="294"/>
      <c r="AE543" s="294"/>
      <c r="AF543" s="294"/>
    </row>
    <row r="544" spans="2:32" s="79" customFormat="1">
      <c r="B544" s="265"/>
      <c r="C544" s="265"/>
      <c r="D544" s="265"/>
      <c r="E544" s="314" t="s">
        <v>1041</v>
      </c>
      <c r="F544" s="315"/>
      <c r="G544" s="268"/>
      <c r="H544" s="314" t="s">
        <v>1039</v>
      </c>
      <c r="I544" s="268" t="s">
        <v>1040</v>
      </c>
      <c r="J544" s="268"/>
      <c r="K544" s="268"/>
      <c r="L544" s="268"/>
      <c r="M544" s="315"/>
      <c r="N544" s="294"/>
      <c r="O544" s="294"/>
      <c r="P544" s="294"/>
      <c r="Q544" s="294"/>
      <c r="R544" s="294"/>
      <c r="S544" s="294"/>
      <c r="T544" s="294"/>
      <c r="U544" s="294"/>
      <c r="V544" s="294"/>
      <c r="W544" s="294"/>
      <c r="X544" s="294"/>
      <c r="Y544" s="294"/>
      <c r="Z544" s="294"/>
      <c r="AA544" s="294"/>
      <c r="AB544" s="294"/>
      <c r="AC544" s="294"/>
      <c r="AD544" s="294"/>
      <c r="AE544" s="294"/>
      <c r="AF544" s="294"/>
    </row>
    <row r="545" spans="2:32" s="79" customFormat="1">
      <c r="B545" s="265"/>
      <c r="C545" s="265"/>
      <c r="D545" s="265"/>
      <c r="E545" s="320" t="s">
        <v>222</v>
      </c>
      <c r="F545" s="321"/>
      <c r="G545" s="268"/>
      <c r="H545" s="320" t="s">
        <v>1488</v>
      </c>
      <c r="I545" s="347"/>
      <c r="J545" s="347"/>
      <c r="K545" s="347"/>
      <c r="L545" s="347"/>
      <c r="M545" s="321"/>
      <c r="N545" s="294"/>
      <c r="O545" s="294"/>
      <c r="P545" s="294"/>
      <c r="Q545" s="294"/>
      <c r="R545" s="294"/>
      <c r="S545" s="294"/>
      <c r="T545" s="294"/>
      <c r="U545" s="294"/>
      <c r="V545" s="294"/>
      <c r="W545" s="294"/>
      <c r="X545" s="294"/>
      <c r="Y545" s="294"/>
      <c r="Z545" s="294"/>
      <c r="AA545" s="294"/>
      <c r="AB545" s="294"/>
      <c r="AC545" s="294"/>
      <c r="AD545" s="294"/>
      <c r="AE545" s="294"/>
      <c r="AF545" s="294"/>
    </row>
    <row r="548" spans="2:32">
      <c r="E548" s="261" t="s">
        <v>1568</v>
      </c>
      <c r="F548" s="261" t="s">
        <v>1568</v>
      </c>
      <c r="G548" s="261"/>
    </row>
    <row r="549" spans="2:32">
      <c r="E549" s="260" t="s">
        <v>1569</v>
      </c>
      <c r="F549" s="260" t="s">
        <v>1569</v>
      </c>
    </row>
    <row r="550" spans="2:32">
      <c r="E550" s="260" t="s">
        <v>1362</v>
      </c>
      <c r="F550" s="260" t="s">
        <v>1362</v>
      </c>
    </row>
    <row r="551" spans="2:32">
      <c r="E551" s="260" t="s">
        <v>1570</v>
      </c>
      <c r="F551" s="260" t="s">
        <v>1570</v>
      </c>
    </row>
    <row r="552" spans="2:32">
      <c r="E552" s="260" t="s">
        <v>1571</v>
      </c>
      <c r="F552" s="260" t="s">
        <v>1571</v>
      </c>
    </row>
    <row r="553" spans="2:32">
      <c r="E553" s="260" t="s">
        <v>1572</v>
      </c>
      <c r="F553" s="260" t="s">
        <v>1572</v>
      </c>
    </row>
    <row r="555" spans="2:32">
      <c r="E555" s="260" t="s">
        <v>1573</v>
      </c>
      <c r="F555" s="260" t="s">
        <v>1573</v>
      </c>
      <c r="H555" s="261" t="s">
        <v>1574</v>
      </c>
    </row>
    <row r="556" spans="2:32">
      <c r="E556" s="260" t="s">
        <v>1575</v>
      </c>
      <c r="F556" s="260" t="s">
        <v>1575</v>
      </c>
      <c r="H556" s="260" t="s">
        <v>1576</v>
      </c>
    </row>
    <row r="558" spans="2:32">
      <c r="E558" s="261" t="s">
        <v>1577</v>
      </c>
      <c r="F558" s="261"/>
      <c r="G558" s="261"/>
    </row>
    <row r="559" spans="2:32">
      <c r="E559" s="260" t="s">
        <v>1578</v>
      </c>
      <c r="F559" s="260" t="s">
        <v>1578</v>
      </c>
      <c r="H559" s="261" t="s">
        <v>1579</v>
      </c>
    </row>
    <row r="560" spans="2:32">
      <c r="E560" s="260" t="s">
        <v>1580</v>
      </c>
      <c r="F560" s="260" t="s">
        <v>1580</v>
      </c>
      <c r="H560" s="261" t="s">
        <v>1581</v>
      </c>
    </row>
    <row r="561" spans="5:8">
      <c r="E561" s="260" t="s">
        <v>1582</v>
      </c>
      <c r="F561" s="260" t="s">
        <v>1582</v>
      </c>
      <c r="H561" s="261" t="s">
        <v>1583</v>
      </c>
    </row>
    <row r="562" spans="5:8">
      <c r="E562" s="260" t="s">
        <v>1584</v>
      </c>
      <c r="F562" s="260" t="s">
        <v>1584</v>
      </c>
      <c r="H562" s="261" t="s">
        <v>1585</v>
      </c>
    </row>
    <row r="564" spans="5:8">
      <c r="E564" s="439" t="s">
        <v>1586</v>
      </c>
      <c r="F564" s="261"/>
      <c r="G564" s="261"/>
    </row>
    <row r="565" spans="5:8">
      <c r="E565" s="439" t="s">
        <v>1587</v>
      </c>
    </row>
    <row r="566" spans="5:8">
      <c r="E566" s="439" t="s">
        <v>1588</v>
      </c>
    </row>
  </sheetData>
  <autoFilter ref="B4:M545" xr:uid="{00000000-0009-0000-0000-000001000000}"/>
  <phoneticPr fontId="5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494"/>
  <sheetViews>
    <sheetView zoomScale="115" zoomScaleNormal="115" workbookViewId="0">
      <pane ySplit="18" topLeftCell="A19" activePane="bottomLeft" state="frozen"/>
      <selection pane="bottomLeft"/>
    </sheetView>
  </sheetViews>
  <sheetFormatPr defaultColWidth="8.90625" defaultRowHeight="13" outlineLevelRow="1"/>
  <cols>
    <col min="1" max="1" width="3.6328125" style="105" customWidth="1"/>
    <col min="2" max="2" width="6.6328125" style="49" customWidth="1"/>
    <col min="3" max="8" width="8.6328125" style="47" customWidth="1"/>
    <col min="9" max="9" width="3.6328125" style="105" customWidth="1"/>
    <col min="10" max="10" width="6.6328125" style="47" customWidth="1"/>
    <col min="11" max="16" width="8.6328125" style="47" customWidth="1"/>
    <col min="17" max="17" width="3.6328125" style="105" customWidth="1"/>
    <col min="18" max="18" width="6.6328125" style="47" customWidth="1"/>
    <col min="19" max="24" width="8.6328125" style="47" customWidth="1"/>
    <col min="25" max="25" width="3.6328125" style="105" customWidth="1"/>
    <col min="26" max="26" width="6.6328125" style="47" customWidth="1"/>
    <col min="27" max="32" width="8.6328125" style="47" customWidth="1"/>
    <col min="33" max="33" width="3.6328125" style="105" customWidth="1"/>
    <col min="34" max="34" width="6.6328125" style="47" customWidth="1"/>
    <col min="35" max="40" width="8.6328125" style="47" customWidth="1"/>
    <col min="41" max="41" width="6.6328125" style="47" customWidth="1"/>
    <col min="42" max="42" width="15.6328125" style="47" customWidth="1"/>
    <col min="43" max="43" width="2.08984375" style="47" customWidth="1"/>
    <col min="44" max="16384" width="8.90625" style="47"/>
  </cols>
  <sheetData>
    <row r="1" spans="1:40" s="46" customFormat="1" ht="17.399999999999999" customHeight="1">
      <c r="A1" s="106"/>
      <c r="B1" s="1097" t="s">
        <v>1589</v>
      </c>
      <c r="C1" s="1098"/>
      <c r="D1" s="1098"/>
      <c r="E1" s="1098"/>
      <c r="F1" s="1098"/>
      <c r="G1" s="1098"/>
      <c r="H1" s="1098"/>
      <c r="I1" s="1098"/>
      <c r="J1" s="1098"/>
      <c r="K1" s="1098"/>
      <c r="L1" s="1098"/>
      <c r="M1" s="1098"/>
      <c r="N1" s="1098"/>
      <c r="O1" s="1098"/>
      <c r="P1" s="1098"/>
      <c r="Q1" s="1098"/>
      <c r="Y1" s="106"/>
      <c r="AG1" s="106"/>
    </row>
    <row r="2" spans="1:40" s="46" customFormat="1" ht="15">
      <c r="A2" s="106"/>
      <c r="B2" s="54"/>
      <c r="C2" s="46" t="s">
        <v>1590</v>
      </c>
      <c r="I2" s="106"/>
      <c r="K2" s="140" t="s">
        <v>1591</v>
      </c>
      <c r="Q2" s="106"/>
      <c r="Y2" s="106"/>
      <c r="AG2" s="106"/>
    </row>
    <row r="3" spans="1:40" s="46" customFormat="1" ht="45" hidden="1" customHeight="1" outlineLevel="1">
      <c r="A3" s="106"/>
      <c r="B3" s="54"/>
      <c r="C3" s="1101" t="s">
        <v>3264</v>
      </c>
      <c r="D3" s="1102"/>
      <c r="E3" s="1102"/>
      <c r="F3" s="1102"/>
      <c r="G3" s="1102"/>
      <c r="H3" s="1102"/>
      <c r="I3" s="106"/>
      <c r="K3" s="66" t="s">
        <v>1592</v>
      </c>
      <c r="L3" s="1099" t="s">
        <v>1593</v>
      </c>
      <c r="M3" s="1099"/>
      <c r="N3" s="1099"/>
      <c r="O3" s="1099"/>
      <c r="P3" s="1099"/>
      <c r="Q3" s="106"/>
      <c r="S3" s="35" t="s">
        <v>1594</v>
      </c>
      <c r="T3" s="1099" t="s">
        <v>1595</v>
      </c>
      <c r="U3" s="1099"/>
      <c r="V3" s="1099"/>
      <c r="W3" s="1099"/>
      <c r="X3" s="1099"/>
      <c r="Y3" s="106"/>
      <c r="AG3" s="106"/>
    </row>
    <row r="4" spans="1:40" s="46" customFormat="1" ht="45" hidden="1" customHeight="1" outlineLevel="1">
      <c r="A4" s="106"/>
      <c r="B4" s="54"/>
      <c r="C4" s="1101" t="s">
        <v>3265</v>
      </c>
      <c r="D4" s="1102"/>
      <c r="E4" s="1102"/>
      <c r="F4" s="1102"/>
      <c r="G4" s="1102"/>
      <c r="H4" s="1102"/>
      <c r="I4" s="106"/>
      <c r="K4" s="66" t="s">
        <v>1596</v>
      </c>
      <c r="L4" s="1099" t="s">
        <v>1597</v>
      </c>
      <c r="M4" s="1100"/>
      <c r="N4" s="1100"/>
      <c r="O4" s="1100"/>
      <c r="P4" s="1100"/>
      <c r="Q4" s="106"/>
      <c r="S4" s="35" t="s">
        <v>1598</v>
      </c>
      <c r="T4" s="1099" t="s">
        <v>1599</v>
      </c>
      <c r="U4" s="1100"/>
      <c r="V4" s="1100"/>
      <c r="W4" s="1100"/>
      <c r="X4" s="1100"/>
      <c r="Y4" s="106"/>
      <c r="AG4" s="106"/>
    </row>
    <row r="5" spans="1:40" s="46" customFormat="1" ht="45" hidden="1" customHeight="1" outlineLevel="1">
      <c r="A5" s="106"/>
      <c r="B5" s="54"/>
      <c r="C5" s="1101" t="s">
        <v>3266</v>
      </c>
      <c r="D5" s="1102"/>
      <c r="E5" s="1102"/>
      <c r="F5" s="1102"/>
      <c r="G5" s="1102"/>
      <c r="H5" s="1102"/>
      <c r="I5" s="106"/>
      <c r="K5" s="66" t="s">
        <v>1600</v>
      </c>
      <c r="L5" s="1099" t="s">
        <v>1601</v>
      </c>
      <c r="M5" s="1100"/>
      <c r="N5" s="1100"/>
      <c r="O5" s="1100"/>
      <c r="P5" s="1100"/>
      <c r="Q5" s="106"/>
      <c r="S5" s="35" t="s">
        <v>1602</v>
      </c>
      <c r="T5" s="1099" t="s">
        <v>1603</v>
      </c>
      <c r="U5" s="1099"/>
      <c r="V5" s="1099"/>
      <c r="W5" s="1099"/>
      <c r="X5" s="1099"/>
      <c r="Y5" s="106"/>
      <c r="AG5" s="106"/>
    </row>
    <row r="6" spans="1:40" s="46" customFormat="1" ht="45" hidden="1" customHeight="1" outlineLevel="1">
      <c r="A6" s="106"/>
      <c r="B6" s="54"/>
      <c r="C6" s="1101" t="s">
        <v>3269</v>
      </c>
      <c r="D6" s="1102"/>
      <c r="E6" s="1102"/>
      <c r="F6" s="1102"/>
      <c r="G6" s="1102"/>
      <c r="H6" s="1102"/>
      <c r="I6" s="106"/>
      <c r="K6" s="66" t="s">
        <v>1604</v>
      </c>
      <c r="L6" s="1099" t="s">
        <v>1605</v>
      </c>
      <c r="M6" s="1099"/>
      <c r="N6" s="1099"/>
      <c r="O6" s="1099"/>
      <c r="P6" s="1099"/>
      <c r="Q6" s="106"/>
      <c r="Y6" s="106"/>
      <c r="AG6" s="106"/>
    </row>
    <row r="7" spans="1:40" s="46" customFormat="1" ht="45" hidden="1" customHeight="1" outlineLevel="1">
      <c r="A7" s="106"/>
      <c r="B7" s="54"/>
      <c r="C7" s="1101" t="s">
        <v>3270</v>
      </c>
      <c r="D7" s="1102"/>
      <c r="E7" s="1102"/>
      <c r="F7" s="1102"/>
      <c r="G7" s="1102"/>
      <c r="H7" s="1102"/>
      <c r="I7" s="106"/>
      <c r="K7" s="66" t="s">
        <v>1606</v>
      </c>
      <c r="L7" s="1099" t="s">
        <v>1607</v>
      </c>
      <c r="M7" s="1099"/>
      <c r="N7" s="1099"/>
      <c r="O7" s="1099"/>
      <c r="P7" s="1099"/>
      <c r="Q7" s="106"/>
      <c r="Y7" s="106"/>
      <c r="AG7" s="106"/>
    </row>
    <row r="8" spans="1:40" s="46" customFormat="1" ht="15" collapsed="1">
      <c r="A8" s="106"/>
      <c r="B8" s="54"/>
      <c r="I8" s="106"/>
      <c r="Q8" s="106"/>
      <c r="Y8" s="106"/>
      <c r="AG8" s="106"/>
    </row>
    <row r="9" spans="1:40" s="46" customFormat="1" ht="15">
      <c r="A9" s="106"/>
      <c r="B9" s="107" t="s">
        <v>1608</v>
      </c>
      <c r="C9" s="1082" t="str" cm="1">
        <f t="array" ref="C9">IF(E21&lt;&gt;"","["&amp;E21&amp;"] ","")&amp;C12&amp;IF(G13&lt;&gt;""," "&amp;C13,"")&amp;IF(G14&lt;&gt;""," "&amp;C14,"")&amp;_xlfn.IFS(C11="ミックスベリア"," ミックスベリア",C11="Miyaさん"," Miyaさん苗",C11="優木園さん"," 優木園さん苗",TRUE,"")&amp;" 抜き苗 7種セット 多肉植物"&amp;IF(G11&lt;&gt;""," "&amp;G11,"")</f>
        <v>紫紺の矢 ちょこん ももりん ミックスベリア 抜き苗 7種セット 多肉植物</v>
      </c>
      <c r="D9" s="1083"/>
      <c r="E9" s="1083"/>
      <c r="F9" s="1083"/>
      <c r="G9" s="1083"/>
      <c r="H9" s="1084"/>
      <c r="I9" s="106"/>
      <c r="J9" s="141" t="s">
        <v>1609</v>
      </c>
      <c r="K9" s="1085" t="str" cm="1">
        <f t="array" ref="K9">IF(M21&lt;&gt;"","["&amp;M21&amp;"] ","")&amp;K12&amp;IF(O13&lt;&gt;""," "&amp;K13,"")&amp;IF(O14&lt;&gt;""," "&amp;K14,"")&amp;_xlfn.IFS(K11="ミックスベリア"," ミックスベリア",K11="Miyaさん"," Miyaさん苗",K11="優木園さん"," 優木園さん苗",TRUE,"")&amp;" 抜き苗 7種セット 多肉植物"&amp;IF(O11&lt;&gt;""," "&amp;O11,"")</f>
        <v>はじまりの花 ちょこん ももりん ミックスベリア 抜き苗 7種セット 多肉植物</v>
      </c>
      <c r="L9" s="1086"/>
      <c r="M9" s="1086"/>
      <c r="N9" s="1086"/>
      <c r="O9" s="1086"/>
      <c r="P9" s="1087"/>
      <c r="Q9" s="106"/>
      <c r="R9" s="158" t="s">
        <v>1610</v>
      </c>
      <c r="S9" s="1088" t="str" cm="1">
        <f t="array" ref="S9">IF(U21&lt;&gt;"","["&amp;U21&amp;"] ","")&amp;S12&amp;IF(W13&lt;&gt;""," "&amp;S13,"")&amp;IF(W14&lt;&gt;""," "&amp;S14,"")&amp;_xlfn.IFS(S11="ミックスベリア"," ミックスベリア",S11="Miyaさん"," Miyaさん苗",S11="優木園さん"," 優木園さん苗",TRUE,"")&amp;" 抜き苗 7種セット 多肉植物"&amp;IF(W11&lt;&gt;""," "&amp;W11,"")</f>
        <v>スノーミルフィーユ ちょこん ももりん ミックスベリア 抜き苗 7種セット 多肉植物</v>
      </c>
      <c r="T9" s="1089"/>
      <c r="U9" s="1089"/>
      <c r="V9" s="1089"/>
      <c r="W9" s="1089"/>
      <c r="X9" s="1090"/>
      <c r="Y9" s="106"/>
      <c r="Z9" s="174" t="s">
        <v>1611</v>
      </c>
      <c r="AA9" s="1091" t="str" cm="1">
        <f t="array" ref="AA9">IF(AC21&lt;&gt;"","["&amp;AC21&amp;"] ","")&amp;AA12&amp;IF(AE13&lt;&gt;""," "&amp;AA13,"")&amp;IF(AE14&lt;&gt;""," "&amp;AA14,"")&amp;_xlfn.IFS(AA11="ミックスベリア"," ミックスベリア",AA11="Miyaさん"," Miyaさん苗",AA11="優木園さん"," 優木園さん苗",TRUE,"")&amp;" 抜き苗 7種セット 多肉植物"&amp;IF(AE11&lt;&gt;""," "&amp;AE11,"")</f>
        <v>ブルーバニラ ちょこん ももりん ミックスベリア 抜き苗 7種セット 多肉植物</v>
      </c>
      <c r="AB9" s="1092"/>
      <c r="AC9" s="1092"/>
      <c r="AD9" s="1092"/>
      <c r="AE9" s="1092"/>
      <c r="AF9" s="1093"/>
      <c r="AG9" s="106"/>
      <c r="AH9" s="190" t="s">
        <v>1612</v>
      </c>
      <c r="AI9" s="1094" t="str" cm="1">
        <f t="array" ref="AI9">IF(AK21&lt;&gt;"","["&amp;AK21&amp;"] ","")&amp;AI12&amp;IF(AM13&lt;&gt;""," "&amp;AI13,"")&amp;IF(AM14&lt;&gt;""," "&amp;AI14,"")&amp;_xlfn.IFS(AI11="ミックスベリア"," ミックスベリア",AI11="Miyaさん"," Miyaさん苗",AI11="優木園さん"," 優木園さん苗",TRUE,"")&amp;" 抜き苗 7種セット 多肉植物"&amp;IF(AM11&lt;&gt;""," "&amp;AM11,"")</f>
        <v>芍薬牡丹 ちょこん ももりん ミックスベリア 抜き苗 7種セット 多肉植物</v>
      </c>
      <c r="AJ9" s="1095"/>
      <c r="AK9" s="1095"/>
      <c r="AL9" s="1095"/>
      <c r="AM9" s="1095"/>
      <c r="AN9" s="1096"/>
    </row>
    <row r="10" spans="1:40" s="46" customFormat="1" ht="5" customHeight="1">
      <c r="A10" s="106"/>
      <c r="B10" s="108"/>
      <c r="H10" s="109"/>
      <c r="I10" s="106"/>
      <c r="J10" s="142"/>
      <c r="P10" s="143"/>
      <c r="Q10" s="106"/>
      <c r="R10" s="159"/>
      <c r="X10" s="160"/>
      <c r="Y10" s="106"/>
      <c r="Z10" s="175"/>
      <c r="AF10" s="176"/>
      <c r="AG10" s="106"/>
      <c r="AH10" s="191"/>
      <c r="AN10" s="192"/>
    </row>
    <row r="11" spans="1:40" s="46" customFormat="1" ht="15">
      <c r="A11" s="106" t="str">
        <f>_xlfn.XLOOKUP(C20+1,購入者リスト!$B:$B,購入者リスト!$N:$N,"",0,1)</f>
        <v>はじまりの花</v>
      </c>
      <c r="B11" s="110" t="s">
        <v>1613</v>
      </c>
      <c r="C11" s="1073" t="str">
        <f>IF(IF(C12&lt;&gt;"",COUNTIF(所持リスト!$Q:$Q,C12)&gt;0,FALSE),"ミックスベリア","")</f>
        <v>ミックスベリア</v>
      </c>
      <c r="D11" s="1074"/>
      <c r="E11" s="1074"/>
      <c r="F11" s="111" t="s">
        <v>1614</v>
      </c>
      <c r="G11" s="1069" t="str" cm="1">
        <f t="array" ref="G11">_xlfn.IFS(A12&lt;&gt;A13,IF(A12=A11,"A",""),AND(A12=A13,A13&lt;&gt;A14),"B",AND(A12=A13,A13=A14,A14&lt;&gt;A15),"C",AND(A12=A13,A13=A14,A14=A15,A15&lt;&gt;A16),"D",AND(A12=A13,A13=A14,A14=A15,A15=A16,A16&lt;&gt;A17),"E",TRUE,"その他")</f>
        <v/>
      </c>
      <c r="H11" s="1076"/>
      <c r="I11" s="106" t="str">
        <f>_xlfn.XLOOKUP(K20+1,購入者リスト!$B:$B,購入者リスト!$N:$N,"",0,1)</f>
        <v>スノーミルフィーユ</v>
      </c>
      <c r="J11" s="144" t="s">
        <v>1613</v>
      </c>
      <c r="K11" s="1073" t="str">
        <f>IF(IF(K12&lt;&gt;"",COUNTIF(所持リスト!$Q:$Q,K12)&gt;0,FALSE),"ミックスベリア","")</f>
        <v>ミックスベリア</v>
      </c>
      <c r="L11" s="1074"/>
      <c r="M11" s="1075"/>
      <c r="N11" s="145" t="s">
        <v>1614</v>
      </c>
      <c r="O11" s="1069" t="str" cm="1">
        <f t="array" ref="O11">_xlfn.IFS(I12&lt;&gt;I13,IF(I12=I11,"A",""),AND(I12=I13,I13&lt;&gt;I14),"B",AND(I12=I13,I13=I14,I14&lt;&gt;I15),"C",AND(I12=I13,I13=I14,I14=I15,I15&lt;&gt;I16),"D",AND(I12=I13,I13=I14,I14=I15,I15=I16,I16&lt;&gt;I17),"E",TRUE,"その他")</f>
        <v/>
      </c>
      <c r="P11" s="1077"/>
      <c r="Q11" s="106" t="str">
        <f>_xlfn.XLOOKUP(S20+1,購入者リスト!$B:$B,購入者リスト!$N:$N,"",0,1)</f>
        <v>ブルーバニラ</v>
      </c>
      <c r="R11" s="161" t="s">
        <v>1613</v>
      </c>
      <c r="S11" s="1073" t="str">
        <f>IF(IF(S12&lt;&gt;"",COUNTIF(所持リスト!$Q:$Q,S12)&gt;0,FALSE),"ミックスベリア","")</f>
        <v>ミックスベリア</v>
      </c>
      <c r="T11" s="1074"/>
      <c r="U11" s="1074"/>
      <c r="V11" s="162" t="s">
        <v>1614</v>
      </c>
      <c r="W11" s="1069" t="str" cm="1">
        <f t="array" ref="W11">_xlfn.IFS(Q12&lt;&gt;Q13,IF(Q12=Q11,"A",""),AND(Q12=Q13,Q13&lt;&gt;Q14),"B",AND(Q12=Q13,Q13=Q14,Q14&lt;&gt;Q15),"C",AND(Q12=Q13,Q13=Q14,Q14=Q15,Q15&lt;&gt;Q16),"D",AND(Q12=Q13,Q13=Q14,Q14=Q15,Q15=Q16,Q16&lt;&gt;Q17),"E",TRUE,"その他")</f>
        <v/>
      </c>
      <c r="X11" s="1078"/>
      <c r="Y11" s="106" t="str">
        <f>_xlfn.XLOOKUP(AA20+1,購入者リスト!$B:$B,購入者リスト!$N:$N,"",0,1)</f>
        <v>芍薬牡丹</v>
      </c>
      <c r="Z11" s="177" t="s">
        <v>1613</v>
      </c>
      <c r="AA11" s="1073" t="str">
        <f>IF(IF(AA12&lt;&gt;"",COUNTIF(所持リスト!$Q:$Q,AA12)&gt;0,FALSE),"ミックスベリア","")</f>
        <v>ミックスベリア</v>
      </c>
      <c r="AB11" s="1074"/>
      <c r="AC11" s="1074"/>
      <c r="AD11" s="178" t="s">
        <v>1614</v>
      </c>
      <c r="AE11" s="1069" t="str" cm="1">
        <f t="array" ref="AE11">_xlfn.IFS(Y12&lt;&gt;Y13,IF(Y12=Y11,"A",""),AND(Y12=Y13,Y13&lt;&gt;Y14),"B",AND(Y12=Y13,Y13=Y14,Y14&lt;&gt;Y15),"C",AND(Y12=Y13,Y13=Y14,Y14=Y15,Y15&lt;&gt;Y16),"D",AND(Y12=Y13,Y13=Y14,Y14=Y15,Y15=Y16,Y16&lt;&gt;Y17),"E",TRUE,"その他")</f>
        <v/>
      </c>
      <c r="AF11" s="1079"/>
      <c r="AG11" s="106" t="str">
        <f>_xlfn.XLOOKUP(AI20+1,購入者リスト!$B:$B,購入者リスト!$N:$N,"",0,1)</f>
        <v/>
      </c>
      <c r="AH11" s="193" t="s">
        <v>1613</v>
      </c>
      <c r="AI11" s="1073" t="str">
        <f>IF(IF(AI12&lt;&gt;"",COUNTIF(所持リスト!$Q:$Q,AI12)&gt;0,FALSE),"ミックスベリア","")</f>
        <v>ミックスベリア</v>
      </c>
      <c r="AJ11" s="1074"/>
      <c r="AK11" s="1074"/>
      <c r="AL11" s="194" t="s">
        <v>1614</v>
      </c>
      <c r="AM11" s="1069" t="str" cm="1">
        <f t="array" ref="AM11">_xlfn.IFS(AG12&lt;&gt;AG13,IF(AG12=AG11,"A",""),AND(AG12=AG13,AG13&lt;&gt;AG14),"B",AND(AG12=AG13,AG13=AG14,AG14&lt;&gt;AG15),"C",AND(AG12=AG13,AG13=AG14,AG14=AG15,AG15&lt;&gt;AG16),"D",AND(AG12=AG13,AG13=AG14,AG14=AG15,AG15=AG16,AG16&lt;&gt;AG17),"E",TRUE,"その他")</f>
        <v/>
      </c>
      <c r="AN11" s="1070"/>
    </row>
    <row r="12" spans="1:40" s="46" customFormat="1" ht="15">
      <c r="A12" s="106" t="str">
        <f>_xlfn.XLOOKUP(C20,購入者リスト!$B:$B,購入者リスト!$N:$N,"",0,1)</f>
        <v>紫紺の矢</v>
      </c>
      <c r="B12" s="112" t="s">
        <v>1615</v>
      </c>
      <c r="C12" s="1073" t="str">
        <f>_xlfn.XLOOKUP(C20,購入者リスト!$B:$B,購入者リスト!$N:$N,"",0,1)</f>
        <v>紫紺の矢</v>
      </c>
      <c r="D12" s="1074"/>
      <c r="E12" s="1075"/>
      <c r="F12" s="113" t="s">
        <v>3</v>
      </c>
      <c r="G12" s="1069" t="str">
        <f>IF(C11&lt;&gt;"","※札は付きません","")</f>
        <v>※札は付きません</v>
      </c>
      <c r="H12" s="1076"/>
      <c r="I12" s="106" t="str">
        <f>_xlfn.XLOOKUP(K20,購入者リスト!$B:$B,購入者リスト!$N:$N,"",0,1)</f>
        <v>はじまりの花</v>
      </c>
      <c r="J12" s="146" t="s">
        <v>1615</v>
      </c>
      <c r="K12" s="1073" t="str">
        <f>_xlfn.XLOOKUP(K20,購入者リスト!$B:$B,購入者リスト!$N:$N,"",0,1)</f>
        <v>はじまりの花</v>
      </c>
      <c r="L12" s="1074"/>
      <c r="M12" s="1075"/>
      <c r="N12" s="147" t="s">
        <v>3</v>
      </c>
      <c r="O12" s="1069" t="str">
        <f>IF(K11&lt;&gt;"","※札は付きません","")</f>
        <v>※札は付きません</v>
      </c>
      <c r="P12" s="1077"/>
      <c r="Q12" s="106" t="str">
        <f>_xlfn.XLOOKUP(S20,購入者リスト!$B:$B,購入者リスト!$N:$N,"",0,1)</f>
        <v>スノーミルフィーユ</v>
      </c>
      <c r="R12" s="163" t="s">
        <v>1615</v>
      </c>
      <c r="S12" s="1073" t="str">
        <f>_xlfn.XLOOKUP(S20,購入者リスト!$B:$B,購入者リスト!$N:$N,"",0,1)</f>
        <v>スノーミルフィーユ</v>
      </c>
      <c r="T12" s="1074"/>
      <c r="U12" s="1075"/>
      <c r="V12" s="164" t="s">
        <v>3</v>
      </c>
      <c r="W12" s="1069" t="str">
        <f>IF(S11&lt;&gt;"","※札は付きません","")</f>
        <v>※札は付きません</v>
      </c>
      <c r="X12" s="1078"/>
      <c r="Y12" s="106" t="str">
        <f>_xlfn.XLOOKUP(AA20,購入者リスト!$B:$B,購入者リスト!$N:$N,"",0,1)</f>
        <v>ブルーバニラ</v>
      </c>
      <c r="Z12" s="179" t="s">
        <v>1615</v>
      </c>
      <c r="AA12" s="1073" t="str">
        <f>_xlfn.XLOOKUP(AA20,購入者リスト!$B:$B,購入者リスト!$N:$N,"",0,1)</f>
        <v>ブルーバニラ</v>
      </c>
      <c r="AB12" s="1074"/>
      <c r="AC12" s="1075"/>
      <c r="AD12" s="180" t="s">
        <v>3</v>
      </c>
      <c r="AE12" s="1069" t="str">
        <f>IF(AA11&lt;&gt;"","※札は付きません","")</f>
        <v>※札は付きません</v>
      </c>
      <c r="AF12" s="1079"/>
      <c r="AG12" s="106" t="str">
        <f>_xlfn.XLOOKUP(AI20,購入者リスト!$B:$B,購入者リスト!$N:$N,"",0,1)</f>
        <v>芍薬牡丹</v>
      </c>
      <c r="AH12" s="195" t="s">
        <v>1615</v>
      </c>
      <c r="AI12" s="1073" t="str">
        <f>_xlfn.XLOOKUP(AI20,購入者リスト!$B:$B,購入者リスト!$N:$N,"",0,1)</f>
        <v>芍薬牡丹</v>
      </c>
      <c r="AJ12" s="1074"/>
      <c r="AK12" s="1075"/>
      <c r="AL12" s="196" t="s">
        <v>3</v>
      </c>
      <c r="AM12" s="1069" t="str">
        <f>IF(AI11&lt;&gt;"","※札は付きません","")</f>
        <v>※札は付きません</v>
      </c>
      <c r="AN12" s="1070"/>
    </row>
    <row r="13" spans="1:40" s="46" customFormat="1" ht="15">
      <c r="A13" s="106" t="str">
        <f>_xlfn.XLOOKUP(C20-1,購入者リスト!$B:$B,購入者リスト!$N:$N,"",0,1)</f>
        <v>モルゲンロート</v>
      </c>
      <c r="B13" s="1051" t="s">
        <v>1616</v>
      </c>
      <c r="C13" s="1073" t="str">
        <f>_xlfn.XLOOKUP(C20,購入者リスト!$B:$B,購入者リスト!$O:$O,"",0,1)</f>
        <v>ちょこん</v>
      </c>
      <c r="D13" s="1074"/>
      <c r="E13" s="1075"/>
      <c r="F13" s="114">
        <v>4</v>
      </c>
      <c r="G13" s="1069" t="str">
        <f>IF(IF(C13&lt;&gt;"",COUNTIF(所持リスト!$Q:$Q,C13)&gt;0,FALSE),"※札は付きません","")</f>
        <v>※札は付きません</v>
      </c>
      <c r="H13" s="1076"/>
      <c r="I13" s="106" t="str">
        <f>_xlfn.XLOOKUP(K20-1,購入者リスト!$B:$B,購入者リスト!$N:$N,"",0,1)</f>
        <v>紫紺の矢</v>
      </c>
      <c r="J13" s="1054" t="s">
        <v>1616</v>
      </c>
      <c r="K13" s="1073" t="str">
        <f>_xlfn.XLOOKUP(K20,購入者リスト!$B:$B,購入者リスト!$O:$O,"",0,1)</f>
        <v>ちょこん</v>
      </c>
      <c r="L13" s="1074"/>
      <c r="M13" s="1075"/>
      <c r="N13" s="148">
        <v>4</v>
      </c>
      <c r="O13" s="1069" t="str">
        <f>IF(IF(K13&lt;&gt;"",COUNTIF(所持リスト!$Q:$Q,K13)&gt;0,FALSE),"※札は付きません","")</f>
        <v>※札は付きません</v>
      </c>
      <c r="P13" s="1077"/>
      <c r="Q13" s="106" t="str">
        <f>_xlfn.XLOOKUP(S20-1,購入者リスト!$B:$B,購入者リスト!$N:$N,"",0,1)</f>
        <v>はじまりの花</v>
      </c>
      <c r="R13" s="1057" t="s">
        <v>1616</v>
      </c>
      <c r="S13" s="1073" t="str">
        <f>_xlfn.XLOOKUP(S20,購入者リスト!$B:$B,購入者リスト!$O:$O,"",0,1)</f>
        <v>ちょこん</v>
      </c>
      <c r="T13" s="1074"/>
      <c r="U13" s="1075"/>
      <c r="V13" s="165">
        <v>4</v>
      </c>
      <c r="W13" s="1069" t="str">
        <f>IF(IF(S13&lt;&gt;"",COUNTIF(所持リスト!$Q:$Q,S13)&gt;0,FALSE),"※札は付きません","")</f>
        <v>※札は付きません</v>
      </c>
      <c r="X13" s="1078"/>
      <c r="Y13" s="106" t="str">
        <f>_xlfn.XLOOKUP(AA20-1,購入者リスト!$B:$B,購入者リスト!$N:$N,"",0,1)</f>
        <v>スノーミルフィーユ</v>
      </c>
      <c r="Z13" s="1060" t="s">
        <v>1616</v>
      </c>
      <c r="AA13" s="1073" t="str">
        <f>_xlfn.XLOOKUP(AA20,購入者リスト!$B:$B,購入者リスト!$O:$O,"",0,1)</f>
        <v>ちょこん</v>
      </c>
      <c r="AB13" s="1074"/>
      <c r="AC13" s="1075"/>
      <c r="AD13" s="181">
        <v>4</v>
      </c>
      <c r="AE13" s="1069" t="str">
        <f>IF(IF(AA13&lt;&gt;"",COUNTIF(所持リスト!$Q:$Q,AA13)&gt;0,FALSE),"※札は付きません","")</f>
        <v>※札は付きません</v>
      </c>
      <c r="AF13" s="1079"/>
      <c r="AG13" s="106" t="str">
        <f>_xlfn.XLOOKUP(AI20-1,購入者リスト!$B:$B,購入者リスト!$N:$N,"",0,1)</f>
        <v>ブルーバニラ</v>
      </c>
      <c r="AH13" s="1063" t="s">
        <v>1616</v>
      </c>
      <c r="AI13" s="1073" t="str">
        <f>_xlfn.XLOOKUP(AI20,購入者リスト!$B:$B,購入者リスト!$O:$O,"",0,1)</f>
        <v>ちょこん</v>
      </c>
      <c r="AJ13" s="1074"/>
      <c r="AK13" s="1075"/>
      <c r="AL13" s="197">
        <v>4</v>
      </c>
      <c r="AM13" s="1069" t="str">
        <f>IF(IF(AI13&lt;&gt;"",COUNTIF(所持リスト!$Q:$Q,AI13)&gt;0,FALSE),"※札は付きません","")</f>
        <v>※札は付きません</v>
      </c>
      <c r="AN13" s="1070"/>
    </row>
    <row r="14" spans="1:40" s="46" customFormat="1" ht="15">
      <c r="A14" s="106" t="str">
        <f>_xlfn.XLOOKUP(C20-2,購入者リスト!$B:$B,購入者リスト!$N:$N,"",0,1)</f>
        <v>紫紺の矢</v>
      </c>
      <c r="B14" s="1052"/>
      <c r="C14" s="1073" t="str">
        <f>_xlfn.XLOOKUP(C20,購入者リスト!$B:$B,購入者リスト!$P:$P,"",0,1)</f>
        <v>ももりん</v>
      </c>
      <c r="D14" s="1074"/>
      <c r="E14" s="1075"/>
      <c r="F14" s="114">
        <v>8</v>
      </c>
      <c r="G14" s="1069" t="str">
        <f>IF(IF(C14&lt;&gt;"",COUNTIF(所持リスト!$Q:$Q,C14)&gt;0,FALSE),"※札は付きません","")</f>
        <v>※札は付きません</v>
      </c>
      <c r="H14" s="1076"/>
      <c r="I14" s="106" t="str">
        <f>_xlfn.XLOOKUP(K20-2,購入者リスト!$B:$B,購入者リスト!$N:$N,"",0,1)</f>
        <v>モルゲンロート</v>
      </c>
      <c r="J14" s="1055"/>
      <c r="K14" s="1073" t="str">
        <f>_xlfn.XLOOKUP(K20,購入者リスト!$B:$B,購入者リスト!$P:$P,"",0,1)</f>
        <v>ももりん</v>
      </c>
      <c r="L14" s="1074"/>
      <c r="M14" s="1075"/>
      <c r="N14" s="148">
        <v>8</v>
      </c>
      <c r="O14" s="1069" t="str">
        <f>IF(IF(K14&lt;&gt;"",COUNTIF(所持リスト!$Q:$Q,K14)&gt;0,FALSE),"※札は付きません","")</f>
        <v>※札は付きません</v>
      </c>
      <c r="P14" s="1077"/>
      <c r="Q14" s="106" t="str">
        <f>_xlfn.XLOOKUP(S20-2,購入者リスト!$B:$B,購入者リスト!$N:$N,"",0,1)</f>
        <v>紫紺の矢</v>
      </c>
      <c r="R14" s="1058"/>
      <c r="S14" s="1073" t="str">
        <f>_xlfn.XLOOKUP(S20,購入者リスト!$B:$B,購入者リスト!$P:$P,"",0,1)</f>
        <v>ももりん</v>
      </c>
      <c r="T14" s="1074"/>
      <c r="U14" s="1075"/>
      <c r="V14" s="165">
        <v>8</v>
      </c>
      <c r="W14" s="1069" t="str">
        <f>IF(IF(S14&lt;&gt;"",COUNTIF(所持リスト!$Q:$Q,S14)&gt;0,FALSE),"※札は付きません","")</f>
        <v>※札は付きません</v>
      </c>
      <c r="X14" s="1078"/>
      <c r="Y14" s="106" t="str">
        <f>_xlfn.XLOOKUP(AA20-2,購入者リスト!$B:$B,購入者リスト!$N:$N,"",0,1)</f>
        <v>はじまりの花</v>
      </c>
      <c r="Z14" s="1061"/>
      <c r="AA14" s="1073" t="str">
        <f>_xlfn.XLOOKUP(AA20,購入者リスト!$B:$B,購入者リスト!$P:$P,"",0,1)</f>
        <v>ももりん</v>
      </c>
      <c r="AB14" s="1074"/>
      <c r="AC14" s="1075"/>
      <c r="AD14" s="181">
        <v>8</v>
      </c>
      <c r="AE14" s="1069" t="str">
        <f>IF(IF(AA14&lt;&gt;"",COUNTIF(所持リスト!$Q:$Q,AA14)&gt;0,FALSE),"※札は付きません","")</f>
        <v>※札は付きません</v>
      </c>
      <c r="AF14" s="1079"/>
      <c r="AG14" s="106" t="str">
        <f>_xlfn.XLOOKUP(AI20-2,購入者リスト!$B:$B,購入者リスト!$N:$N,"",0,1)</f>
        <v>スノーミルフィーユ</v>
      </c>
      <c r="AH14" s="1064"/>
      <c r="AI14" s="1073" t="str">
        <f>_xlfn.XLOOKUP(AI20,購入者リスト!$B:$B,購入者リスト!$P:$P,"",0,1)</f>
        <v>ももりん</v>
      </c>
      <c r="AJ14" s="1074"/>
      <c r="AK14" s="1075"/>
      <c r="AL14" s="197">
        <v>8</v>
      </c>
      <c r="AM14" s="1069" t="str">
        <f>IF(IF(AI14&lt;&gt;"",COUNTIF(所持リスト!$Q:$Q,AI14)&gt;0,FALSE),"※札は付きません","")</f>
        <v>※札は付きません</v>
      </c>
      <c r="AN14" s="1070"/>
    </row>
    <row r="15" spans="1:40" s="46" customFormat="1" ht="15">
      <c r="A15" s="106" t="str">
        <f>_xlfn.XLOOKUP(C20-3,購入者リスト!$B:$B,購入者リスト!$N:$N,"",0,1)</f>
        <v>ちょこん</v>
      </c>
      <c r="B15" s="1052"/>
      <c r="C15" s="1073" t="str">
        <f>_xlfn.XLOOKUP(C20,購入者リスト!$B:$B,購入者リスト!$Q:$Q,"",0,1)</f>
        <v>白鳥</v>
      </c>
      <c r="D15" s="1074"/>
      <c r="E15" s="1075"/>
      <c r="F15" s="114">
        <v>10</v>
      </c>
      <c r="G15" s="1069" t="str">
        <f>IF(IF(C15&lt;&gt;"",COUNTIF(所持リスト!$Q:$Q,C15)&gt;0,FALSE),"※札は付きません","")</f>
        <v/>
      </c>
      <c r="H15" s="1076"/>
      <c r="I15" s="106" t="str">
        <f>_xlfn.XLOOKUP(K20-3,購入者リスト!$B:$B,購入者リスト!$N:$N,"",0,1)</f>
        <v>紫紺の矢</v>
      </c>
      <c r="J15" s="1055"/>
      <c r="K15" s="1073" t="str">
        <f>_xlfn.XLOOKUP(K20,購入者リスト!$B:$B,購入者リスト!$Q:$Q,"",0,1)</f>
        <v>白鳥</v>
      </c>
      <c r="L15" s="1074"/>
      <c r="M15" s="1075"/>
      <c r="N15" s="148">
        <v>10</v>
      </c>
      <c r="O15" s="1069" t="str">
        <f>IF(IF(K15&lt;&gt;"",COUNTIF(所持リスト!$Q:$Q,K15)&gt;0,FALSE),"※札は付きません","")</f>
        <v/>
      </c>
      <c r="P15" s="1077"/>
      <c r="Q15" s="106" t="str">
        <f>_xlfn.XLOOKUP(S20-3,購入者リスト!$B:$B,購入者リスト!$N:$N,"",0,1)</f>
        <v>モルゲンロート</v>
      </c>
      <c r="R15" s="1058"/>
      <c r="S15" s="1073" t="str">
        <f>_xlfn.XLOOKUP(S20,購入者リスト!$B:$B,購入者リスト!$Q:$Q,"",0,1)</f>
        <v>白鳥</v>
      </c>
      <c r="T15" s="1074"/>
      <c r="U15" s="1075"/>
      <c r="V15" s="165">
        <v>10</v>
      </c>
      <c r="W15" s="1069" t="str">
        <f>IF(IF(S15&lt;&gt;"",COUNTIF(所持リスト!$Q:$Q,S15)&gt;0,FALSE),"※札は付きません","")</f>
        <v/>
      </c>
      <c r="X15" s="1078"/>
      <c r="Y15" s="106" t="str">
        <f>_xlfn.XLOOKUP(AA20-3,購入者リスト!$B:$B,購入者リスト!$N:$N,"",0,1)</f>
        <v>紫紺の矢</v>
      </c>
      <c r="Z15" s="1061"/>
      <c r="AA15" s="1073" t="str">
        <f>_xlfn.XLOOKUP(AA20,購入者リスト!$B:$B,購入者リスト!$Q:$Q,"",0,1)</f>
        <v>白鳥</v>
      </c>
      <c r="AB15" s="1074"/>
      <c r="AC15" s="1075"/>
      <c r="AD15" s="181">
        <v>10</v>
      </c>
      <c r="AE15" s="1069" t="str">
        <f>IF(IF(AA15&lt;&gt;"",COUNTIF(所持リスト!$Q:$Q,AA15)&gt;0,FALSE),"※札は付きません","")</f>
        <v/>
      </c>
      <c r="AF15" s="1079"/>
      <c r="AG15" s="106" t="str">
        <f>_xlfn.XLOOKUP(AI20-3,購入者リスト!$B:$B,購入者リスト!$N:$N,"",0,1)</f>
        <v>はじまりの花</v>
      </c>
      <c r="AH15" s="1064"/>
      <c r="AI15" s="1073" t="str">
        <f>_xlfn.XLOOKUP(AI20,購入者リスト!$B:$B,購入者リスト!$Q:$Q,"",0,1)</f>
        <v>白鳥</v>
      </c>
      <c r="AJ15" s="1074"/>
      <c r="AK15" s="1075"/>
      <c r="AL15" s="197">
        <v>10</v>
      </c>
      <c r="AM15" s="1069" t="str">
        <f>IF(IF(AI15&lt;&gt;"",COUNTIF(所持リスト!$Q:$Q,AI15)&gt;0,FALSE),"※札は付きません","")</f>
        <v/>
      </c>
      <c r="AN15" s="1070"/>
    </row>
    <row r="16" spans="1:40" s="46" customFormat="1" ht="15">
      <c r="A16" s="106" t="str">
        <f>_xlfn.XLOOKUP(C20-4,購入者リスト!$B:$B,購入者リスト!$N:$N,"",0,1)</f>
        <v>ちょこん</v>
      </c>
      <c r="B16" s="1052"/>
      <c r="C16" s="1073" t="str">
        <f>_xlfn.XLOOKUP(C20,購入者リスト!$B:$B,購入者リスト!$R:$R,"",0,1)</f>
        <v>斑入りグリーンネックレス</v>
      </c>
      <c r="D16" s="1074"/>
      <c r="E16" s="1075"/>
      <c r="F16" s="114">
        <v>6</v>
      </c>
      <c r="G16" s="1069" t="str">
        <f>IF(IF(C16&lt;&gt;"",COUNTIF(所持リスト!$Q:$Q,C16)&gt;0,FALSE),"※札は付きません","")</f>
        <v/>
      </c>
      <c r="H16" s="1076"/>
      <c r="I16" s="106" t="str">
        <f>_xlfn.XLOOKUP(K20-4,購入者リスト!$B:$B,購入者リスト!$N:$N,"",0,1)</f>
        <v>ちょこん</v>
      </c>
      <c r="J16" s="1055"/>
      <c r="K16" s="1073" t="str">
        <f>_xlfn.XLOOKUP(K20,購入者リスト!$B:$B,購入者リスト!$R:$R,"",0,1)</f>
        <v>斑入りグリーンネックレス</v>
      </c>
      <c r="L16" s="1074"/>
      <c r="M16" s="1075"/>
      <c r="N16" s="148">
        <v>6</v>
      </c>
      <c r="O16" s="1069" t="str">
        <f>IF(IF(K16&lt;&gt;"",COUNTIF(所持リスト!$Q:$Q,K16)&gt;0,FALSE),"※札は付きません","")</f>
        <v/>
      </c>
      <c r="P16" s="1077"/>
      <c r="Q16" s="106" t="str">
        <f>_xlfn.XLOOKUP(S20-4,購入者リスト!$B:$B,購入者リスト!$N:$N,"",0,1)</f>
        <v>紫紺の矢</v>
      </c>
      <c r="R16" s="1058"/>
      <c r="S16" s="1073" t="str">
        <f>_xlfn.XLOOKUP(S20,購入者リスト!$B:$B,購入者リスト!$R:$R,"",0,1)</f>
        <v>斑入りグリーンネックレス</v>
      </c>
      <c r="T16" s="1074"/>
      <c r="U16" s="1075"/>
      <c r="V16" s="165">
        <v>6</v>
      </c>
      <c r="W16" s="1069" t="str">
        <f>IF(IF(S16&lt;&gt;"",COUNTIF(所持リスト!$Q:$Q,S16)&gt;0,FALSE),"※札は付きません","")</f>
        <v/>
      </c>
      <c r="X16" s="1078"/>
      <c r="Y16" s="106" t="str">
        <f>_xlfn.XLOOKUP(AA20-4,購入者リスト!$B:$B,購入者リスト!$N:$N,"",0,1)</f>
        <v>モルゲンロート</v>
      </c>
      <c r="Z16" s="1061"/>
      <c r="AA16" s="1073" t="str">
        <f>_xlfn.XLOOKUP(AA20,購入者リスト!$B:$B,購入者リスト!$R:$R,"",0,1)</f>
        <v>斑入りグリーンネックレス</v>
      </c>
      <c r="AB16" s="1074"/>
      <c r="AC16" s="1075"/>
      <c r="AD16" s="181">
        <v>6</v>
      </c>
      <c r="AE16" s="1069" t="str">
        <f>IF(IF(AA16&lt;&gt;"",COUNTIF(所持リスト!$Q:$Q,AA16)&gt;0,FALSE),"※札は付きません","")</f>
        <v/>
      </c>
      <c r="AF16" s="1079"/>
      <c r="AG16" s="106" t="str">
        <f>_xlfn.XLOOKUP(AI20-4,購入者リスト!$B:$B,購入者リスト!$N:$N,"",0,1)</f>
        <v>紫紺の矢</v>
      </c>
      <c r="AH16" s="1064"/>
      <c r="AI16" s="1073" t="str">
        <f>_xlfn.XLOOKUP(AI20,購入者リスト!$B:$B,購入者リスト!$R:$R,"",0,1)</f>
        <v>斑入りグリーンネックレス</v>
      </c>
      <c r="AJ16" s="1074"/>
      <c r="AK16" s="1075"/>
      <c r="AL16" s="197">
        <v>6</v>
      </c>
      <c r="AM16" s="1069" t="str">
        <f>IF(IF(AI16&lt;&gt;"",COUNTIF(所持リスト!$Q:$Q,AI16)&gt;0,FALSE),"※札は付きません","")</f>
        <v/>
      </c>
      <c r="AN16" s="1070"/>
    </row>
    <row r="17" spans="1:40" s="46" customFormat="1" ht="15">
      <c r="A17" s="106" t="str">
        <f>_xlfn.XLOOKUP(C20-5,購入者リスト!$B:$B,購入者リスト!$N:$N,"",0,1)</f>
        <v>桜鬼</v>
      </c>
      <c r="B17" s="1052"/>
      <c r="C17" s="1073" t="str">
        <f>_xlfn.XLOOKUP(C20,購入者リスト!$B:$B,購入者リスト!$S:$S,"",0,1)</f>
        <v>エリザベス</v>
      </c>
      <c r="D17" s="1074"/>
      <c r="E17" s="1075"/>
      <c r="F17" s="114">
        <v>2</v>
      </c>
      <c r="G17" s="1069" t="str">
        <f>IF(IF(C17&lt;&gt;"",COUNTIF(所持リスト!$Q:$Q,C17)&gt;0,FALSE),"※札は付きません","")</f>
        <v/>
      </c>
      <c r="H17" s="1076"/>
      <c r="I17" s="106" t="str">
        <f>_xlfn.XLOOKUP(K20-5,購入者リスト!$B:$B,購入者リスト!$N:$N,"",0,1)</f>
        <v>ちょこん</v>
      </c>
      <c r="J17" s="1055"/>
      <c r="K17" s="1073" t="str">
        <f>_xlfn.XLOOKUP(K20,購入者リスト!$B:$B,購入者リスト!$S:$S,"",0,1)</f>
        <v>スノーエンジェル</v>
      </c>
      <c r="L17" s="1074"/>
      <c r="M17" s="1075"/>
      <c r="N17" s="148">
        <v>2</v>
      </c>
      <c r="O17" s="1069" t="str">
        <f>IF(IF(K17&lt;&gt;"",COUNTIF(所持リスト!$Q:$Q,K17)&gt;0,FALSE),"※札は付きません","")</f>
        <v/>
      </c>
      <c r="P17" s="1077"/>
      <c r="Q17" s="106" t="str">
        <f>_xlfn.XLOOKUP(S20-5,購入者リスト!$B:$B,購入者リスト!$N:$N,"",0,1)</f>
        <v>ちょこん</v>
      </c>
      <c r="R17" s="1058"/>
      <c r="S17" s="1073" t="str">
        <f>_xlfn.XLOOKUP(S20,購入者リスト!$B:$B,購入者リスト!$S:$S,"",0,1)</f>
        <v>エリザベス</v>
      </c>
      <c r="T17" s="1074"/>
      <c r="U17" s="1075"/>
      <c r="V17" s="165">
        <v>2</v>
      </c>
      <c r="W17" s="1069" t="str">
        <f>IF(IF(S17&lt;&gt;"",COUNTIF(所持リスト!$Q:$Q,S17)&gt;0,FALSE),"※札は付きません","")</f>
        <v/>
      </c>
      <c r="X17" s="1078"/>
      <c r="Y17" s="106" t="str">
        <f>_xlfn.XLOOKUP(AA20-5,購入者リスト!$B:$B,購入者リスト!$N:$N,"",0,1)</f>
        <v>紫紺の矢</v>
      </c>
      <c r="Z17" s="1061"/>
      <c r="AA17" s="1073" t="str">
        <f>_xlfn.XLOOKUP(AA20,購入者リスト!$B:$B,購入者リスト!$S:$S,"",0,1)</f>
        <v>アプス</v>
      </c>
      <c r="AB17" s="1074"/>
      <c r="AC17" s="1075"/>
      <c r="AD17" s="181">
        <v>2</v>
      </c>
      <c r="AE17" s="1069" t="str">
        <f>IF(IF(AA17&lt;&gt;"",COUNTIF(所持リスト!$Q:$Q,AA17)&gt;0,FALSE),"※札は付きません","")</f>
        <v/>
      </c>
      <c r="AF17" s="1079"/>
      <c r="AG17" s="106" t="str">
        <f>_xlfn.XLOOKUP(AI20-5,購入者リスト!$B:$B,購入者リスト!$N:$N,"",0,1)</f>
        <v>モルゲンロート</v>
      </c>
      <c r="AH17" s="1064"/>
      <c r="AI17" s="1073" t="str">
        <f>_xlfn.XLOOKUP(AI20,購入者リスト!$B:$B,購入者リスト!$S:$S,"",0,1)</f>
        <v>アメイジンググレイス</v>
      </c>
      <c r="AJ17" s="1074"/>
      <c r="AK17" s="1075"/>
      <c r="AL17" s="197">
        <v>2</v>
      </c>
      <c r="AM17" s="1069" t="str">
        <f>IF(IF(AI17&lt;&gt;"",COUNTIF(所持リスト!$Q:$Q,AI17)&gt;0,FALSE),"※札は付きません","")</f>
        <v/>
      </c>
      <c r="AN17" s="1070"/>
    </row>
    <row r="18" spans="1:40" s="46" customFormat="1" ht="15">
      <c r="A18" s="106"/>
      <c r="B18" s="1053"/>
      <c r="C18" s="1073" t="str">
        <f>_xlfn.XLOOKUP(C20,購入者リスト!$B:$B,購入者リスト!$T:$T,"",0,1)</f>
        <v>ブロードドロップ</v>
      </c>
      <c r="D18" s="1074"/>
      <c r="E18" s="1075"/>
      <c r="F18" s="114">
        <v>12</v>
      </c>
      <c r="G18" s="1069" t="str">
        <f>IF(IF(C18&lt;&gt;"",COUNTIF(所持リスト!$Q:$Q,C18)&gt;0,FALSE),"※札は付きません","")</f>
        <v/>
      </c>
      <c r="H18" s="1076"/>
      <c r="I18" s="106"/>
      <c r="J18" s="1056"/>
      <c r="K18" s="1073" t="str">
        <f>_xlfn.XLOOKUP(K20,購入者リスト!$B:$B,購入者リスト!$T:$T,"",0,1)</f>
        <v>早春</v>
      </c>
      <c r="L18" s="1074"/>
      <c r="M18" s="1075"/>
      <c r="N18" s="148">
        <v>12</v>
      </c>
      <c r="O18" s="1069" t="str">
        <f>IF(IF(K18&lt;&gt;"",COUNTIF(所持リスト!$Q:$Q,K18)&gt;0,FALSE),"※札は付きません","")</f>
        <v/>
      </c>
      <c r="P18" s="1077"/>
      <c r="Q18" s="106"/>
      <c r="R18" s="1059"/>
      <c r="S18" s="1073" t="str">
        <f>_xlfn.XLOOKUP(S20,購入者リスト!$B:$B,購入者リスト!$T:$T,"",0,1)</f>
        <v>スノーエンジェル</v>
      </c>
      <c r="T18" s="1074"/>
      <c r="U18" s="1075"/>
      <c r="V18" s="165">
        <v>12</v>
      </c>
      <c r="W18" s="1069" t="str">
        <f>IF(IF(S18&lt;&gt;"",COUNTIF(所持リスト!$Q:$Q,S18)&gt;0,FALSE),"※札は付きません","")</f>
        <v/>
      </c>
      <c r="X18" s="1078"/>
      <c r="Y18" s="106"/>
      <c r="Z18" s="1062"/>
      <c r="AA18" s="1073" t="str">
        <f>_xlfn.XLOOKUP(AA20,購入者リスト!$B:$B,購入者リスト!$T:$T,"",0,1)</f>
        <v>早春</v>
      </c>
      <c r="AB18" s="1074"/>
      <c r="AC18" s="1075"/>
      <c r="AD18" s="181">
        <v>12</v>
      </c>
      <c r="AE18" s="1069" t="str">
        <f>IF(IF(AA18&lt;&gt;"",COUNTIF(所持リスト!$Q:$Q,AA18)&gt;0,FALSE),"※札は付きません","")</f>
        <v/>
      </c>
      <c r="AF18" s="1079"/>
      <c r="AG18" s="106"/>
      <c r="AH18" s="1065"/>
      <c r="AI18" s="1073" t="str">
        <f>_xlfn.XLOOKUP(AI20,購入者リスト!$B:$B,購入者リスト!$T:$T,"",0,1)</f>
        <v>ブロードドロップ</v>
      </c>
      <c r="AJ18" s="1074"/>
      <c r="AK18" s="1075"/>
      <c r="AL18" s="197">
        <v>12</v>
      </c>
      <c r="AM18" s="1069" t="str">
        <f>IF(IF(AI18&lt;&gt;"",COUNTIF(所持リスト!$Q:$Q,AI18)&gt;0,FALSE),"※札は付きません","")</f>
        <v/>
      </c>
      <c r="AN18" s="1070"/>
    </row>
    <row r="19" spans="1:40" s="46" customFormat="1" ht="5.15" customHeight="1">
      <c r="A19" s="106"/>
      <c r="B19" s="108"/>
      <c r="H19" s="109"/>
      <c r="I19" s="106"/>
      <c r="J19" s="142"/>
      <c r="P19" s="143"/>
      <c r="Q19" s="106"/>
      <c r="R19" s="159"/>
      <c r="X19" s="160"/>
      <c r="Y19" s="106"/>
      <c r="Z19" s="175"/>
      <c r="AF19" s="176"/>
      <c r="AG19" s="106"/>
      <c r="AH19" s="191"/>
      <c r="AN19" s="192"/>
    </row>
    <row r="20" spans="1:40" s="46" customFormat="1" ht="15">
      <c r="A20" s="106"/>
      <c r="B20" s="115" t="s">
        <v>1617</v>
      </c>
      <c r="C20" s="1071">
        <v>85</v>
      </c>
      <c r="D20" s="1071"/>
      <c r="E20" s="1072" t="str">
        <f>TEXT(C20,"0000")&amp;"-"&amp;TEXT(_xlfn.XLOOKUP(C20,購入者リスト!$B:$B,購入者リスト!$D:$D,"NG",0,1), "yymmdd")&amp;"-"&amp;C9</f>
        <v>0085-260227-紫紺の矢 ちょこん ももりん ミックスベリア 抜き苗 7種セット 多肉植物</v>
      </c>
      <c r="F20" s="1072"/>
      <c r="G20" s="1049"/>
      <c r="H20" s="1050"/>
      <c r="I20" s="106"/>
      <c r="J20" s="149" t="s">
        <v>1617</v>
      </c>
      <c r="K20" s="1080">
        <v>86</v>
      </c>
      <c r="L20" s="1081"/>
      <c r="M20" s="1072" t="str">
        <f>TEXT(K20,"0000")&amp;"-"&amp;TEXT(_xlfn.XLOOKUP(K20,購入者リスト!$B:$B,購入者リスト!$D:$D,"NG",0,1), "yymmdd")&amp;"-"&amp;K9</f>
        <v>0086-260227-はじまりの花 ちょこん ももりん ミックスベリア 抜き苗 7種セット 多肉植物</v>
      </c>
      <c r="N20" s="1072"/>
      <c r="O20" s="1049"/>
      <c r="P20" s="1068"/>
      <c r="Q20" s="106"/>
      <c r="R20" s="166" t="s">
        <v>1617</v>
      </c>
      <c r="S20" s="1071">
        <v>87</v>
      </c>
      <c r="T20" s="1071"/>
      <c r="U20" s="1072" t="str">
        <f>TEXT(S20,"0000")&amp;"-"&amp;TEXT(_xlfn.XLOOKUP(S20,購入者リスト!$B:$B,購入者リスト!$D:$D,"NG",0,1), "yymmdd")&amp;"-"&amp;S9</f>
        <v>0087-260227-スノーミルフィーユ ちょこん ももりん ミックスベリア 抜き苗 7種セット 多肉植物</v>
      </c>
      <c r="V20" s="1072"/>
      <c r="W20" s="1049"/>
      <c r="X20" s="1050"/>
      <c r="Y20" s="106"/>
      <c r="Z20" s="182" t="s">
        <v>1617</v>
      </c>
      <c r="AA20" s="1071">
        <v>88</v>
      </c>
      <c r="AB20" s="1071"/>
      <c r="AC20" s="1072" t="str">
        <f>TEXT(AA20,"0000")&amp;"-"&amp;TEXT(_xlfn.XLOOKUP(AA20,購入者リスト!$B:$B,購入者リスト!$D:$D,"NG",0,1), "yymmdd")&amp;"-"&amp;AA9</f>
        <v>0088-260227-ブルーバニラ ちょこん ももりん ミックスベリア 抜き苗 7種セット 多肉植物</v>
      </c>
      <c r="AD20" s="1072"/>
      <c r="AE20" s="1049"/>
      <c r="AF20" s="1050"/>
      <c r="AG20" s="106"/>
      <c r="AH20" s="198" t="s">
        <v>1617</v>
      </c>
      <c r="AI20" s="1071">
        <v>89</v>
      </c>
      <c r="AJ20" s="1071"/>
      <c r="AK20" s="1072" t="str">
        <f>TEXT(AI20,"0000")&amp;"-"&amp;TEXT(_xlfn.XLOOKUP(AI20,購入者リスト!$B:$B,購入者リスト!$D:$D,"NG",0,1), "yymmdd")&amp;"-"&amp;AI9</f>
        <v>0089-260227-芍薬牡丹 ちょこん ももりん ミックスベリア 抜き苗 7種セット 多肉植物</v>
      </c>
      <c r="AL20" s="1072"/>
      <c r="AM20" s="1049"/>
      <c r="AN20" s="1050"/>
    </row>
    <row r="21" spans="1:40" s="46" customFormat="1" ht="15">
      <c r="A21" s="106"/>
      <c r="B21" s="116" t="s">
        <v>1618</v>
      </c>
      <c r="C21" s="1048">
        <f ca="1">WORKDAY.INTL(TODAY(),2,"1111110")</f>
        <v>46124</v>
      </c>
      <c r="D21" s="1048"/>
      <c r="E21" s="1049"/>
      <c r="F21" s="1049"/>
      <c r="G21" s="1049"/>
      <c r="H21" s="1050"/>
      <c r="I21" s="106"/>
      <c r="J21" s="150" t="s">
        <v>1618</v>
      </c>
      <c r="K21" s="1066">
        <f ca="1">WORKDAY.INTL(TODAY(),2,"1111110")</f>
        <v>46124</v>
      </c>
      <c r="L21" s="1067"/>
      <c r="M21" s="1049"/>
      <c r="N21" s="1049"/>
      <c r="O21" s="1049"/>
      <c r="P21" s="1068"/>
      <c r="Q21" s="106"/>
      <c r="R21" s="167" t="s">
        <v>1618</v>
      </c>
      <c r="S21" s="1048">
        <f ca="1">WORKDAY.INTL(TODAY(),2,"1111110")</f>
        <v>46124</v>
      </c>
      <c r="T21" s="1048"/>
      <c r="U21" s="1049"/>
      <c r="V21" s="1049"/>
      <c r="W21" s="1049"/>
      <c r="X21" s="1050"/>
      <c r="Y21" s="106"/>
      <c r="Z21" s="183" t="s">
        <v>1618</v>
      </c>
      <c r="AA21" s="1048">
        <f ca="1">WORKDAY.INTL(TODAY(),2,"1111110")</f>
        <v>46124</v>
      </c>
      <c r="AB21" s="1048"/>
      <c r="AC21" s="1049"/>
      <c r="AD21" s="1049"/>
      <c r="AE21" s="1049"/>
      <c r="AF21" s="1050"/>
      <c r="AG21" s="106"/>
      <c r="AH21" s="199" t="s">
        <v>1618</v>
      </c>
      <c r="AI21" s="1048">
        <f ca="1">WORKDAY.INTL(TODAY(),2,"1111110")</f>
        <v>46124</v>
      </c>
      <c r="AJ21" s="1048"/>
      <c r="AK21" s="1049"/>
      <c r="AL21" s="1049"/>
      <c r="AM21" s="1049"/>
      <c r="AN21" s="1050"/>
    </row>
    <row r="22" spans="1:40" s="46" customFormat="1" ht="5.15" customHeight="1">
      <c r="A22" s="106"/>
      <c r="B22" s="108"/>
      <c r="H22" s="109"/>
      <c r="I22" s="106"/>
      <c r="J22" s="142"/>
      <c r="P22" s="143"/>
      <c r="Q22" s="106"/>
      <c r="R22" s="159"/>
      <c r="X22" s="160"/>
      <c r="Y22" s="106"/>
      <c r="Z22" s="175"/>
      <c r="AF22" s="176"/>
      <c r="AG22" s="106"/>
      <c r="AH22" s="191"/>
      <c r="AN22" s="192"/>
    </row>
    <row r="23" spans="1:40" s="46" customFormat="1" ht="15" customHeight="1">
      <c r="A23" s="106"/>
      <c r="B23" s="117" t="s">
        <v>1619</v>
      </c>
      <c r="C23" s="118" t="str">
        <f>IF(C11="ミックスベリア","おらいさん ","")&amp;C11&amp;" "&amp;C12&amp;IF(G13&lt;&gt;""," "&amp;C13,"")&amp;IF(G14&lt;&gt;""," "&amp;C14,"")&amp;" 7種セット"&amp;IF(E21&lt;&gt;""," "&amp;E21&amp;"です。","")</f>
        <v>おらいさん ミックスベリア 紫紺の矢 ちょこん ももりん 7種セット</v>
      </c>
      <c r="D23" s="119"/>
      <c r="E23" s="119"/>
      <c r="F23" s="119"/>
      <c r="G23" s="119"/>
      <c r="H23" s="120"/>
      <c r="I23" s="106"/>
      <c r="J23" s="151" t="s">
        <v>1619</v>
      </c>
      <c r="K23" s="118" t="str">
        <f>IF(K11="ミックスベリア","おらいさん ","")&amp;K11&amp;" "&amp;K12&amp;IF(O13&lt;&gt;""," "&amp;K13,"")&amp;IF(O14&lt;&gt;""," "&amp;K14,"")&amp;" 7種セット"&amp;IF(M21&lt;&gt;""," "&amp;M21&amp;"です。","")</f>
        <v>おらいさん ミックスベリア はじまりの花 ちょこん ももりん 7種セット</v>
      </c>
      <c r="L23" s="119"/>
      <c r="M23" s="119"/>
      <c r="N23" s="119"/>
      <c r="O23" s="119"/>
      <c r="P23" s="152"/>
      <c r="Q23" s="106"/>
      <c r="R23" s="168" t="s">
        <v>1619</v>
      </c>
      <c r="S23" s="118" t="str">
        <f>IF(S11="ミックスベリア","おらいさん ","")&amp;S11&amp;" "&amp;S12&amp;IF(W13&lt;&gt;""," "&amp;S13,"")&amp;IF(W14&lt;&gt;""," "&amp;S14,"")&amp;" 7種セット"&amp;IF(U21&lt;&gt;""," "&amp;U21&amp;"です。","")</f>
        <v>おらいさん ミックスベリア スノーミルフィーユ ちょこん ももりん 7種セット</v>
      </c>
      <c r="T23" s="119"/>
      <c r="U23" s="119"/>
      <c r="V23" s="119"/>
      <c r="W23" s="119"/>
      <c r="X23" s="169"/>
      <c r="Y23" s="106"/>
      <c r="Z23" s="184" t="s">
        <v>1619</v>
      </c>
      <c r="AA23" s="118" t="str">
        <f>IF(AA11="ミックスベリア","おらいさん ","")&amp;AA11&amp;" "&amp;AA12&amp;IF(AE13&lt;&gt;""," "&amp;AA13,"")&amp;IF(AE14&lt;&gt;""," "&amp;AA14,"")&amp;" 7種セット"&amp;IF(AC21&lt;&gt;""," "&amp;AC21&amp;"です。","")</f>
        <v>おらいさん ミックスベリア ブルーバニラ ちょこん ももりん 7種セット</v>
      </c>
      <c r="AB23" s="119"/>
      <c r="AC23" s="119"/>
      <c r="AD23" s="119"/>
      <c r="AE23" s="119"/>
      <c r="AF23" s="185"/>
      <c r="AG23" s="106"/>
      <c r="AH23" s="200" t="s">
        <v>1619</v>
      </c>
      <c r="AI23" s="118" t="str">
        <f>IF(AI11="ミックスベリア","おらいさん ","")&amp;AI11&amp;" "&amp;AI12&amp;IF(AM13&lt;&gt;""," "&amp;AI13,"")&amp;IF(AM14&lt;&gt;""," "&amp;AI14,"")&amp;" 7種セット"&amp;IF(AK21&lt;&gt;""," "&amp;AK21&amp;"です。","")</f>
        <v>おらいさん ミックスベリア 芍薬牡丹 ちょこん ももりん 7種セット</v>
      </c>
      <c r="AJ23" s="119"/>
      <c r="AK23" s="119"/>
      <c r="AL23" s="119"/>
      <c r="AM23" s="119"/>
      <c r="AN23" s="201"/>
    </row>
    <row r="24" spans="1:40" s="46" customFormat="1" ht="15">
      <c r="A24" s="106"/>
      <c r="B24" s="108"/>
      <c r="C24" s="118" t="str">
        <f>"抜き苗、根付きです。葉挿し、子株から育成しました。"</f>
        <v>抜き苗、根付きです。葉挿し、子株から育成しました。</v>
      </c>
      <c r="D24" s="119"/>
      <c r="E24" s="119"/>
      <c r="F24" s="119"/>
      <c r="G24" s="119"/>
      <c r="H24" s="120"/>
      <c r="I24" s="106"/>
      <c r="J24" s="142"/>
      <c r="K24" s="118" t="str">
        <f>"抜き苗、根付きです。葉挿し、子株から育成しました。"</f>
        <v>抜き苗、根付きです。葉挿し、子株から育成しました。</v>
      </c>
      <c r="L24" s="119"/>
      <c r="M24" s="119"/>
      <c r="N24" s="119"/>
      <c r="O24" s="119"/>
      <c r="P24" s="152"/>
      <c r="Q24" s="106"/>
      <c r="R24" s="159"/>
      <c r="S24" s="118" t="str">
        <f>"抜き苗、根付きです。葉挿し、子株から育成しました。"</f>
        <v>抜き苗、根付きです。葉挿し、子株から育成しました。</v>
      </c>
      <c r="T24" s="119"/>
      <c r="U24" s="119"/>
      <c r="V24" s="119"/>
      <c r="W24" s="119"/>
      <c r="X24" s="169"/>
      <c r="Y24" s="106"/>
      <c r="Z24" s="175"/>
      <c r="AA24" s="118" t="str">
        <f>"抜き苗、根付きです。葉挿し、子株から育成しました。"</f>
        <v>抜き苗、根付きです。葉挿し、子株から育成しました。</v>
      </c>
      <c r="AB24" s="119"/>
      <c r="AC24" s="119"/>
      <c r="AD24" s="119"/>
      <c r="AE24" s="119"/>
      <c r="AF24" s="185"/>
      <c r="AG24" s="106"/>
      <c r="AH24" s="191"/>
      <c r="AI24" s="118" t="str">
        <f>"抜き苗、根付きです。葉挿し、子株から育成しました。"</f>
        <v>抜き苗、根付きです。葉挿し、子株から育成しました。</v>
      </c>
      <c r="AJ24" s="119"/>
      <c r="AK24" s="119"/>
      <c r="AL24" s="119"/>
      <c r="AM24" s="119"/>
      <c r="AN24" s="201"/>
    </row>
    <row r="25" spans="1:40" s="46" customFormat="1" ht="15">
      <c r="A25" s="106"/>
      <c r="B25" s="108"/>
      <c r="C25" s="118"/>
      <c r="D25" s="119"/>
      <c r="E25" s="119"/>
      <c r="F25" s="119"/>
      <c r="G25" s="119"/>
      <c r="H25" s="120"/>
      <c r="I25" s="106"/>
      <c r="J25" s="142"/>
      <c r="K25" s="118"/>
      <c r="L25" s="119"/>
      <c r="M25" s="119"/>
      <c r="N25" s="119"/>
      <c r="O25" s="119"/>
      <c r="P25" s="152"/>
      <c r="Q25" s="106"/>
      <c r="R25" s="159"/>
      <c r="S25" s="118"/>
      <c r="T25" s="119"/>
      <c r="U25" s="119"/>
      <c r="V25" s="119"/>
      <c r="W25" s="119"/>
      <c r="X25" s="169"/>
      <c r="Y25" s="106"/>
      <c r="Z25" s="175"/>
      <c r="AA25" s="118"/>
      <c r="AB25" s="119"/>
      <c r="AC25" s="119"/>
      <c r="AD25" s="119"/>
      <c r="AE25" s="119"/>
      <c r="AF25" s="185"/>
      <c r="AG25" s="106"/>
      <c r="AH25" s="191"/>
      <c r="AI25" s="118"/>
      <c r="AJ25" s="119"/>
      <c r="AK25" s="119"/>
      <c r="AL25" s="119"/>
      <c r="AM25" s="119"/>
      <c r="AN25" s="201"/>
    </row>
    <row r="26" spans="1:40" s="46" customFormat="1" ht="15">
      <c r="A26" s="106"/>
      <c r="B26" s="108"/>
      <c r="C26" s="118" t="str">
        <f t="shared" ref="C26:C32" si="0">C12&amp;IF(G12&lt;&gt;""," "&amp;G12,"")</f>
        <v>紫紺の矢 ※札は付きません</v>
      </c>
      <c r="D26" s="119"/>
      <c r="E26" s="119"/>
      <c r="F26" s="119"/>
      <c r="G26" s="119"/>
      <c r="H26" s="120"/>
      <c r="I26" s="106"/>
      <c r="J26" s="142"/>
      <c r="K26" s="118" t="str">
        <f t="shared" ref="K26:K32" si="1">K12&amp;IF(O12&lt;&gt;""," "&amp;O12,"")</f>
        <v>はじまりの花 ※札は付きません</v>
      </c>
      <c r="L26" s="119"/>
      <c r="M26" s="119"/>
      <c r="N26" s="119"/>
      <c r="O26" s="119"/>
      <c r="P26" s="152"/>
      <c r="Q26" s="106"/>
      <c r="R26" s="159"/>
      <c r="S26" s="118" t="str">
        <f t="shared" ref="S26:S32" si="2">S12&amp;IF(W12&lt;&gt;""," "&amp;W12,"")</f>
        <v>スノーミルフィーユ ※札は付きません</v>
      </c>
      <c r="T26" s="119"/>
      <c r="U26" s="119"/>
      <c r="V26" s="119"/>
      <c r="W26" s="119"/>
      <c r="X26" s="169"/>
      <c r="Y26" s="106"/>
      <c r="Z26" s="175"/>
      <c r="AA26" s="118" t="str">
        <f t="shared" ref="AA26:AA32" si="3">AA12&amp;IF(AE12&lt;&gt;""," "&amp;AE12,"")</f>
        <v>ブルーバニラ ※札は付きません</v>
      </c>
      <c r="AB26" s="119"/>
      <c r="AC26" s="119"/>
      <c r="AD26" s="119"/>
      <c r="AE26" s="119"/>
      <c r="AF26" s="185"/>
      <c r="AG26" s="106"/>
      <c r="AH26" s="191"/>
      <c r="AI26" s="118" t="str">
        <f t="shared" ref="AI26:AI32" si="4">AI12&amp;IF(AM12&lt;&gt;""," "&amp;AM12,"")</f>
        <v>芍薬牡丹 ※札は付きません</v>
      </c>
      <c r="AJ26" s="119"/>
      <c r="AK26" s="119"/>
      <c r="AL26" s="119"/>
      <c r="AM26" s="119"/>
      <c r="AN26" s="201"/>
    </row>
    <row r="27" spans="1:40" s="46" customFormat="1" ht="15">
      <c r="A27" s="106"/>
      <c r="B27" s="108"/>
      <c r="C27" s="118" t="str">
        <f t="shared" si="0"/>
        <v>ちょこん ※札は付きません</v>
      </c>
      <c r="D27" s="119"/>
      <c r="E27" s="119"/>
      <c r="F27" s="119"/>
      <c r="G27" s="119"/>
      <c r="H27" s="120"/>
      <c r="I27" s="106"/>
      <c r="J27" s="142"/>
      <c r="K27" s="118" t="str">
        <f t="shared" si="1"/>
        <v>ちょこん ※札は付きません</v>
      </c>
      <c r="L27" s="119"/>
      <c r="M27" s="119"/>
      <c r="N27" s="119"/>
      <c r="O27" s="119"/>
      <c r="P27" s="152"/>
      <c r="Q27" s="106"/>
      <c r="R27" s="159"/>
      <c r="S27" s="118" t="str">
        <f t="shared" si="2"/>
        <v>ちょこん ※札は付きません</v>
      </c>
      <c r="T27" s="119"/>
      <c r="U27" s="119"/>
      <c r="V27" s="119"/>
      <c r="W27" s="119"/>
      <c r="X27" s="169"/>
      <c r="Y27" s="106"/>
      <c r="Z27" s="175"/>
      <c r="AA27" s="118" t="str">
        <f t="shared" si="3"/>
        <v>ちょこん ※札は付きません</v>
      </c>
      <c r="AB27" s="119"/>
      <c r="AC27" s="119"/>
      <c r="AD27" s="119"/>
      <c r="AE27" s="119"/>
      <c r="AF27" s="185"/>
      <c r="AG27" s="106"/>
      <c r="AH27" s="191"/>
      <c r="AI27" s="118" t="str">
        <f t="shared" si="4"/>
        <v>ちょこん ※札は付きません</v>
      </c>
      <c r="AJ27" s="119"/>
      <c r="AK27" s="119"/>
      <c r="AL27" s="119"/>
      <c r="AM27" s="119"/>
      <c r="AN27" s="201"/>
    </row>
    <row r="28" spans="1:40" s="46" customFormat="1" ht="15">
      <c r="A28" s="106"/>
      <c r="B28" s="108"/>
      <c r="C28" s="118" t="str">
        <f t="shared" si="0"/>
        <v>ももりん ※札は付きません</v>
      </c>
      <c r="D28" s="119"/>
      <c r="E28" s="119"/>
      <c r="F28" s="119"/>
      <c r="G28" s="119"/>
      <c r="H28" s="120"/>
      <c r="I28" s="106"/>
      <c r="J28" s="142"/>
      <c r="K28" s="118" t="str">
        <f t="shared" si="1"/>
        <v>ももりん ※札は付きません</v>
      </c>
      <c r="L28" s="119"/>
      <c r="M28" s="119"/>
      <c r="N28" s="119"/>
      <c r="O28" s="119"/>
      <c r="P28" s="152"/>
      <c r="Q28" s="106"/>
      <c r="R28" s="159"/>
      <c r="S28" s="118" t="str">
        <f t="shared" si="2"/>
        <v>ももりん ※札は付きません</v>
      </c>
      <c r="T28" s="119"/>
      <c r="U28" s="119"/>
      <c r="V28" s="119"/>
      <c r="W28" s="119"/>
      <c r="X28" s="169"/>
      <c r="Y28" s="106"/>
      <c r="Z28" s="175"/>
      <c r="AA28" s="118" t="str">
        <f t="shared" si="3"/>
        <v>ももりん ※札は付きません</v>
      </c>
      <c r="AB28" s="119"/>
      <c r="AC28" s="119"/>
      <c r="AD28" s="119"/>
      <c r="AE28" s="119"/>
      <c r="AF28" s="185"/>
      <c r="AG28" s="106"/>
      <c r="AH28" s="191"/>
      <c r="AI28" s="118" t="str">
        <f t="shared" si="4"/>
        <v>ももりん ※札は付きません</v>
      </c>
      <c r="AJ28" s="119"/>
      <c r="AK28" s="119"/>
      <c r="AL28" s="119"/>
      <c r="AM28" s="119"/>
      <c r="AN28" s="201"/>
    </row>
    <row r="29" spans="1:40" s="46" customFormat="1" ht="15">
      <c r="A29" s="106"/>
      <c r="B29" s="108"/>
      <c r="C29" s="118" t="str">
        <f t="shared" si="0"/>
        <v>白鳥</v>
      </c>
      <c r="D29" s="119"/>
      <c r="E29" s="119"/>
      <c r="F29" s="119"/>
      <c r="G29" s="119"/>
      <c r="H29" s="120"/>
      <c r="I29" s="106"/>
      <c r="J29" s="142"/>
      <c r="K29" s="118" t="str">
        <f t="shared" si="1"/>
        <v>白鳥</v>
      </c>
      <c r="L29" s="119"/>
      <c r="M29" s="119"/>
      <c r="N29" s="119"/>
      <c r="O29" s="119"/>
      <c r="P29" s="152"/>
      <c r="Q29" s="106"/>
      <c r="R29" s="159"/>
      <c r="S29" s="118" t="str">
        <f t="shared" si="2"/>
        <v>白鳥</v>
      </c>
      <c r="T29" s="119"/>
      <c r="U29" s="119"/>
      <c r="V29" s="119"/>
      <c r="W29" s="119"/>
      <c r="X29" s="169"/>
      <c r="Y29" s="106"/>
      <c r="Z29" s="175"/>
      <c r="AA29" s="118" t="str">
        <f t="shared" si="3"/>
        <v>白鳥</v>
      </c>
      <c r="AB29" s="119"/>
      <c r="AC29" s="119"/>
      <c r="AD29" s="119"/>
      <c r="AE29" s="119"/>
      <c r="AF29" s="185"/>
      <c r="AG29" s="106"/>
      <c r="AH29" s="191"/>
      <c r="AI29" s="118" t="str">
        <f t="shared" si="4"/>
        <v>白鳥</v>
      </c>
      <c r="AJ29" s="119"/>
      <c r="AK29" s="119"/>
      <c r="AL29" s="119"/>
      <c r="AM29" s="119"/>
      <c r="AN29" s="201"/>
    </row>
    <row r="30" spans="1:40" s="46" customFormat="1" ht="15">
      <c r="A30" s="106"/>
      <c r="B30" s="108"/>
      <c r="C30" s="118" t="str">
        <f t="shared" si="0"/>
        <v>斑入りグリーンネックレス</v>
      </c>
      <c r="D30" s="119"/>
      <c r="E30" s="119"/>
      <c r="F30" s="119"/>
      <c r="G30" s="119"/>
      <c r="H30" s="120"/>
      <c r="I30" s="106"/>
      <c r="J30" s="142"/>
      <c r="K30" s="118" t="str">
        <f t="shared" si="1"/>
        <v>斑入りグリーンネックレス</v>
      </c>
      <c r="L30" s="119"/>
      <c r="M30" s="119"/>
      <c r="N30" s="119"/>
      <c r="O30" s="119"/>
      <c r="P30" s="152"/>
      <c r="Q30" s="106"/>
      <c r="R30" s="159"/>
      <c r="S30" s="118" t="str">
        <f t="shared" si="2"/>
        <v>斑入りグリーンネックレス</v>
      </c>
      <c r="T30" s="119"/>
      <c r="U30" s="119"/>
      <c r="V30" s="119"/>
      <c r="W30" s="119"/>
      <c r="X30" s="169"/>
      <c r="Y30" s="106"/>
      <c r="Z30" s="175"/>
      <c r="AA30" s="118" t="str">
        <f t="shared" si="3"/>
        <v>斑入りグリーンネックレス</v>
      </c>
      <c r="AB30" s="119"/>
      <c r="AC30" s="119"/>
      <c r="AD30" s="119"/>
      <c r="AE30" s="119"/>
      <c r="AF30" s="185"/>
      <c r="AG30" s="106"/>
      <c r="AH30" s="191"/>
      <c r="AI30" s="118" t="str">
        <f t="shared" si="4"/>
        <v>斑入りグリーンネックレス</v>
      </c>
      <c r="AJ30" s="119"/>
      <c r="AK30" s="119"/>
      <c r="AL30" s="119"/>
      <c r="AM30" s="119"/>
      <c r="AN30" s="201"/>
    </row>
    <row r="31" spans="1:40" s="46" customFormat="1" ht="15">
      <c r="A31" s="106"/>
      <c r="B31" s="108"/>
      <c r="C31" s="118" t="str">
        <f t="shared" si="0"/>
        <v>エリザベス</v>
      </c>
      <c r="D31" s="119"/>
      <c r="E31" s="119"/>
      <c r="F31" s="119"/>
      <c r="G31" s="119"/>
      <c r="H31" s="120"/>
      <c r="I31" s="106"/>
      <c r="J31" s="142"/>
      <c r="K31" s="118" t="str">
        <f t="shared" si="1"/>
        <v>スノーエンジェル</v>
      </c>
      <c r="L31" s="119"/>
      <c r="M31" s="119"/>
      <c r="N31" s="119"/>
      <c r="O31" s="119"/>
      <c r="P31" s="152"/>
      <c r="Q31" s="106"/>
      <c r="R31" s="159"/>
      <c r="S31" s="118" t="str">
        <f t="shared" si="2"/>
        <v>エリザベス</v>
      </c>
      <c r="T31" s="119"/>
      <c r="U31" s="119"/>
      <c r="V31" s="119"/>
      <c r="W31" s="119"/>
      <c r="X31" s="169"/>
      <c r="Y31" s="106"/>
      <c r="Z31" s="175"/>
      <c r="AA31" s="118" t="str">
        <f t="shared" si="3"/>
        <v>アプス</v>
      </c>
      <c r="AB31" s="119"/>
      <c r="AC31" s="119"/>
      <c r="AD31" s="119"/>
      <c r="AE31" s="119"/>
      <c r="AF31" s="185"/>
      <c r="AG31" s="106"/>
      <c r="AH31" s="191"/>
      <c r="AI31" s="118" t="str">
        <f t="shared" si="4"/>
        <v>アメイジンググレイス</v>
      </c>
      <c r="AJ31" s="119"/>
      <c r="AK31" s="119"/>
      <c r="AL31" s="119"/>
      <c r="AM31" s="119"/>
      <c r="AN31" s="201"/>
    </row>
    <row r="32" spans="1:40" s="46" customFormat="1" ht="15">
      <c r="A32" s="106"/>
      <c r="B32" s="108"/>
      <c r="C32" s="118" t="str">
        <f t="shared" si="0"/>
        <v>ブロードドロップ</v>
      </c>
      <c r="D32" s="119"/>
      <c r="E32" s="119"/>
      <c r="F32" s="119"/>
      <c r="G32" s="119"/>
      <c r="H32" s="120"/>
      <c r="I32" s="106"/>
      <c r="J32" s="142"/>
      <c r="K32" s="118" t="str">
        <f t="shared" si="1"/>
        <v>早春</v>
      </c>
      <c r="L32" s="119"/>
      <c r="M32" s="119"/>
      <c r="N32" s="119"/>
      <c r="O32" s="119"/>
      <c r="P32" s="152"/>
      <c r="Q32" s="106"/>
      <c r="R32" s="159"/>
      <c r="S32" s="118" t="str">
        <f t="shared" si="2"/>
        <v>スノーエンジェル</v>
      </c>
      <c r="T32" s="119"/>
      <c r="U32" s="119"/>
      <c r="V32" s="119"/>
      <c r="W32" s="119"/>
      <c r="X32" s="169"/>
      <c r="Y32" s="106"/>
      <c r="Z32" s="175"/>
      <c r="AA32" s="118" t="str">
        <f t="shared" si="3"/>
        <v>早春</v>
      </c>
      <c r="AB32" s="119"/>
      <c r="AC32" s="119"/>
      <c r="AD32" s="119"/>
      <c r="AE32" s="119"/>
      <c r="AF32" s="185"/>
      <c r="AG32" s="106"/>
      <c r="AH32" s="191"/>
      <c r="AI32" s="118" t="str">
        <f t="shared" si="4"/>
        <v>ブロードドロップ</v>
      </c>
      <c r="AJ32" s="119"/>
      <c r="AK32" s="119"/>
      <c r="AL32" s="119"/>
      <c r="AM32" s="119"/>
      <c r="AN32" s="201"/>
    </row>
    <row r="33" spans="1:40" s="46" customFormat="1" ht="15">
      <c r="A33" s="106"/>
      <c r="B33" s="108"/>
      <c r="C33" s="118"/>
      <c r="D33" s="119"/>
      <c r="E33" s="119"/>
      <c r="F33" s="119"/>
      <c r="G33" s="119"/>
      <c r="H33" s="120"/>
      <c r="I33" s="106"/>
      <c r="J33" s="142"/>
      <c r="K33" s="118"/>
      <c r="L33" s="119"/>
      <c r="M33" s="119"/>
      <c r="N33" s="119"/>
      <c r="O33" s="119"/>
      <c r="P33" s="152"/>
      <c r="Q33" s="106"/>
      <c r="R33" s="159"/>
      <c r="S33" s="118"/>
      <c r="T33" s="119"/>
      <c r="U33" s="119"/>
      <c r="V33" s="119"/>
      <c r="W33" s="119"/>
      <c r="X33" s="169"/>
      <c r="Y33" s="106"/>
      <c r="Z33" s="175"/>
      <c r="AA33" s="118"/>
      <c r="AB33" s="119"/>
      <c r="AC33" s="119"/>
      <c r="AD33" s="119"/>
      <c r="AE33" s="119"/>
      <c r="AF33" s="185"/>
      <c r="AG33" s="106"/>
      <c r="AH33" s="191"/>
      <c r="AI33" s="118"/>
      <c r="AJ33" s="119"/>
      <c r="AK33" s="119"/>
      <c r="AL33" s="119"/>
      <c r="AM33" s="119"/>
      <c r="AN33" s="201"/>
    </row>
    <row r="34" spans="1:40" s="46" customFormat="1" ht="15">
      <c r="A34" s="106"/>
      <c r="B34" s="108"/>
      <c r="C34" s="118" t="str">
        <f>"※7苗全て2号(6cm)ポットです。"</f>
        <v>※7苗全て2号(6cm)ポットです。</v>
      </c>
      <c r="D34" s="119"/>
      <c r="E34" s="119"/>
      <c r="F34" s="119"/>
      <c r="G34" s="119"/>
      <c r="H34" s="120"/>
      <c r="I34" s="106"/>
      <c r="J34" s="142"/>
      <c r="K34" s="118" t="str">
        <f>"※7苗全て2号(6cm)ポットです。"</f>
        <v>※7苗全て2号(6cm)ポットです。</v>
      </c>
      <c r="L34" s="119"/>
      <c r="M34" s="119"/>
      <c r="N34" s="119"/>
      <c r="O34" s="119"/>
      <c r="P34" s="152"/>
      <c r="Q34" s="106"/>
      <c r="R34" s="159"/>
      <c r="S34" s="118" t="str">
        <f>"※7苗全て2号(6cm)ポットです。"</f>
        <v>※7苗全て2号(6cm)ポットです。</v>
      </c>
      <c r="T34" s="119"/>
      <c r="U34" s="119"/>
      <c r="V34" s="119"/>
      <c r="W34" s="119"/>
      <c r="X34" s="169"/>
      <c r="Y34" s="106"/>
      <c r="Z34" s="175"/>
      <c r="AA34" s="118" t="str">
        <f>"※7苗全て2号(6cm)ポットです。"</f>
        <v>※7苗全て2号(6cm)ポットです。</v>
      </c>
      <c r="AB34" s="119"/>
      <c r="AC34" s="119"/>
      <c r="AD34" s="119"/>
      <c r="AE34" s="119"/>
      <c r="AF34" s="185"/>
      <c r="AG34" s="106"/>
      <c r="AH34" s="191"/>
      <c r="AI34" s="118" t="str">
        <f>"※7苗全て2号(6cm)ポットです。"</f>
        <v>※7苗全て2号(6cm)ポットです。</v>
      </c>
      <c r="AJ34" s="119"/>
      <c r="AK34" s="119"/>
      <c r="AL34" s="119"/>
      <c r="AM34" s="119"/>
      <c r="AN34" s="201"/>
    </row>
    <row r="35" spans="1:40" s="46" customFormat="1" ht="15">
      <c r="A35" s="106"/>
      <c r="B35" s="108"/>
      <c r="C35" s="118"/>
      <c r="D35" s="119"/>
      <c r="E35" s="119"/>
      <c r="F35" s="119"/>
      <c r="G35" s="119"/>
      <c r="H35" s="120"/>
      <c r="I35" s="106"/>
      <c r="J35" s="142"/>
      <c r="K35" s="118"/>
      <c r="L35" s="119"/>
      <c r="M35" s="119"/>
      <c r="N35" s="119"/>
      <c r="O35" s="119"/>
      <c r="P35" s="152"/>
      <c r="Q35" s="106"/>
      <c r="R35" s="159"/>
      <c r="S35" s="118"/>
      <c r="T35" s="119"/>
      <c r="U35" s="119"/>
      <c r="V35" s="119"/>
      <c r="W35" s="119"/>
      <c r="X35" s="169"/>
      <c r="Y35" s="106"/>
      <c r="Z35" s="175"/>
      <c r="AA35" s="118"/>
      <c r="AB35" s="119"/>
      <c r="AC35" s="119"/>
      <c r="AD35" s="119"/>
      <c r="AE35" s="119"/>
      <c r="AF35" s="185"/>
      <c r="AG35" s="106"/>
      <c r="AH35" s="191"/>
      <c r="AI35" s="118"/>
      <c r="AJ35" s="119"/>
      <c r="AK35" s="119"/>
      <c r="AL35" s="119"/>
      <c r="AM35" s="119"/>
      <c r="AN35" s="201"/>
    </row>
    <row r="36" spans="1:40" s="46" customFormat="1" ht="15">
      <c r="A36" s="106"/>
      <c r="B36" s="108"/>
      <c r="C36" s="118" t="str">
        <f>"ご購入の前にプロフィールの一読をお願いします。"</f>
        <v>ご購入の前にプロフィールの一読をお願いします。</v>
      </c>
      <c r="D36" s="119"/>
      <c r="E36" s="119"/>
      <c r="F36" s="119"/>
      <c r="G36" s="119"/>
      <c r="H36" s="120"/>
      <c r="I36" s="106"/>
      <c r="J36" s="142"/>
      <c r="K36" s="118" t="str">
        <f>"ご購入の前にプロフィールの一読をお願いします。"</f>
        <v>ご購入の前にプロフィールの一読をお願いします。</v>
      </c>
      <c r="L36" s="119"/>
      <c r="M36" s="119"/>
      <c r="N36" s="119"/>
      <c r="O36" s="119"/>
      <c r="P36" s="152"/>
      <c r="Q36" s="106"/>
      <c r="R36" s="159"/>
      <c r="S36" s="118" t="str">
        <f>"ご購入の前にプロフィールの一読をお願いします。"</f>
        <v>ご購入の前にプロフィールの一読をお願いします。</v>
      </c>
      <c r="T36" s="119"/>
      <c r="U36" s="119"/>
      <c r="V36" s="119"/>
      <c r="W36" s="119"/>
      <c r="X36" s="169"/>
      <c r="Y36" s="106"/>
      <c r="Z36" s="175"/>
      <c r="AA36" s="118" t="str">
        <f>"ご購入の前にプロフィールの一読をお願いします。"</f>
        <v>ご購入の前にプロフィールの一読をお願いします。</v>
      </c>
      <c r="AB36" s="119"/>
      <c r="AC36" s="119"/>
      <c r="AD36" s="119"/>
      <c r="AE36" s="119"/>
      <c r="AF36" s="185"/>
      <c r="AG36" s="106"/>
      <c r="AH36" s="191"/>
      <c r="AI36" s="118" t="str">
        <f>"ご購入の前にプロフィールの一読をお願いします。"</f>
        <v>ご購入の前にプロフィールの一読をお願いします。</v>
      </c>
      <c r="AJ36" s="119"/>
      <c r="AK36" s="119"/>
      <c r="AL36" s="119"/>
      <c r="AM36" s="119"/>
      <c r="AN36" s="201"/>
    </row>
    <row r="37" spans="1:40" s="46" customFormat="1" ht="15">
      <c r="A37" s="106"/>
      <c r="B37" s="108"/>
      <c r="C37" s="118" t="str">
        <f>"本品は、第4種郵便での発送となります。"</f>
        <v>本品は、第4種郵便での発送となります。</v>
      </c>
      <c r="D37" s="119"/>
      <c r="E37" s="119"/>
      <c r="F37" s="119"/>
      <c r="G37" s="119"/>
      <c r="H37" s="120"/>
      <c r="I37" s="106"/>
      <c r="J37" s="142"/>
      <c r="K37" s="118" t="str">
        <f>"本品は、第4種郵便での発送となります。"</f>
        <v>本品は、第4種郵便での発送となります。</v>
      </c>
      <c r="L37" s="119"/>
      <c r="M37" s="119"/>
      <c r="N37" s="119"/>
      <c r="O37" s="119"/>
      <c r="P37" s="152"/>
      <c r="Q37" s="106"/>
      <c r="R37" s="159"/>
      <c r="S37" s="118" t="str">
        <f>"本品は、第4種郵便での発送となります。"</f>
        <v>本品は、第4種郵便での発送となります。</v>
      </c>
      <c r="T37" s="119"/>
      <c r="U37" s="119"/>
      <c r="V37" s="119"/>
      <c r="W37" s="119"/>
      <c r="X37" s="169"/>
      <c r="Y37" s="106"/>
      <c r="Z37" s="175"/>
      <c r="AA37" s="118" t="str">
        <f>"本品は、第4種郵便での発送となります。"</f>
        <v>本品は、第4種郵便での発送となります。</v>
      </c>
      <c r="AB37" s="119"/>
      <c r="AC37" s="119"/>
      <c r="AD37" s="119"/>
      <c r="AE37" s="119"/>
      <c r="AF37" s="185"/>
      <c r="AG37" s="106"/>
      <c r="AH37" s="191"/>
      <c r="AI37" s="118" t="str">
        <f>"本品は、第4種郵便での発送となります。"</f>
        <v>本品は、第4種郵便での発送となります。</v>
      </c>
      <c r="AJ37" s="119"/>
      <c r="AK37" s="119"/>
      <c r="AL37" s="119"/>
      <c r="AM37" s="119"/>
      <c r="AN37" s="201"/>
    </row>
    <row r="38" spans="1:40" s="46" customFormat="1" ht="15">
      <c r="A38" s="106"/>
      <c r="B38" s="108"/>
      <c r="C38" s="118" t="str">
        <f>"品種名はつけませんので、本出品写真でご判断をお願いします。"</f>
        <v>品種名はつけませんので、本出品写真でご判断をお願いします。</v>
      </c>
      <c r="D38" s="119"/>
      <c r="E38" s="119"/>
      <c r="F38" s="119"/>
      <c r="G38" s="119"/>
      <c r="H38" s="120"/>
      <c r="I38" s="106"/>
      <c r="J38" s="142"/>
      <c r="K38" s="118" t="str">
        <f>"品種名はつけませんので、本出品写真でご判断をお願いします。"</f>
        <v>品種名はつけませんので、本出品写真でご判断をお願いします。</v>
      </c>
      <c r="L38" s="119"/>
      <c r="M38" s="119"/>
      <c r="N38" s="119"/>
      <c r="O38" s="119"/>
      <c r="P38" s="152"/>
      <c r="Q38" s="106"/>
      <c r="R38" s="159"/>
      <c r="S38" s="118" t="str">
        <f>"品種名はつけませんので、本出品写真でご判断をお願いします。"</f>
        <v>品種名はつけませんので、本出品写真でご判断をお願いします。</v>
      </c>
      <c r="T38" s="119"/>
      <c r="U38" s="119"/>
      <c r="V38" s="119"/>
      <c r="W38" s="119"/>
      <c r="X38" s="169"/>
      <c r="Y38" s="106"/>
      <c r="Z38" s="175"/>
      <c r="AA38" s="118" t="str">
        <f>"品種名はつけませんので、本出品写真でご判断をお願いします。"</f>
        <v>品種名はつけませんので、本出品写真でご判断をお願いします。</v>
      </c>
      <c r="AB38" s="119"/>
      <c r="AC38" s="119"/>
      <c r="AD38" s="119"/>
      <c r="AE38" s="119"/>
      <c r="AF38" s="185"/>
      <c r="AG38" s="106"/>
      <c r="AH38" s="191"/>
      <c r="AI38" s="118" t="str">
        <f>"品種名はつけませんので、本出品写真でご判断をお願いします。"</f>
        <v>品種名はつけませんので、本出品写真でご判断をお願いします。</v>
      </c>
      <c r="AJ38" s="119"/>
      <c r="AK38" s="119"/>
      <c r="AL38" s="119"/>
      <c r="AM38" s="119"/>
      <c r="AN38" s="201"/>
    </row>
    <row r="39" spans="1:40" s="46" customFormat="1" ht="15">
      <c r="A39" s="106"/>
      <c r="B39" s="108"/>
      <c r="C39" s="118"/>
      <c r="D39" s="119"/>
      <c r="E39" s="119"/>
      <c r="F39" s="119"/>
      <c r="G39" s="119"/>
      <c r="H39" s="120"/>
      <c r="I39" s="106"/>
      <c r="J39" s="142"/>
      <c r="K39" s="118"/>
      <c r="L39" s="119"/>
      <c r="M39" s="119"/>
      <c r="N39" s="119"/>
      <c r="O39" s="119"/>
      <c r="P39" s="152"/>
      <c r="Q39" s="106"/>
      <c r="R39" s="159"/>
      <c r="S39" s="118"/>
      <c r="T39" s="119"/>
      <c r="U39" s="119"/>
      <c r="V39" s="119"/>
      <c r="W39" s="119"/>
      <c r="X39" s="169"/>
      <c r="Y39" s="106"/>
      <c r="Z39" s="175"/>
      <c r="AA39" s="118"/>
      <c r="AB39" s="119"/>
      <c r="AC39" s="119"/>
      <c r="AD39" s="119"/>
      <c r="AE39" s="119"/>
      <c r="AF39" s="185"/>
      <c r="AG39" s="106"/>
      <c r="AH39" s="191"/>
      <c r="AI39" s="118"/>
      <c r="AJ39" s="119"/>
      <c r="AK39" s="119"/>
      <c r="AL39" s="119"/>
      <c r="AM39" s="119"/>
      <c r="AN39" s="201"/>
    </row>
    <row r="40" spans="1:40" s="46" customFormat="1" ht="15">
      <c r="A40" s="106"/>
      <c r="B40" s="108"/>
      <c r="C40" s="118" t="str">
        <f>IF(COUNTIF(G12:H18,"*ポッド*")&lt;&gt;0,"写真の苗を抜き苗で送付します。ポットごと発送は写真のまま発送します。","写真の苗を抜き苗で送付します。ポット、土はつきません。")</f>
        <v>写真の苗を抜き苗で送付します。ポット、土はつきません。</v>
      </c>
      <c r="D40" s="119"/>
      <c r="E40" s="119"/>
      <c r="F40" s="119"/>
      <c r="G40" s="119"/>
      <c r="H40" s="120"/>
      <c r="I40" s="106"/>
      <c r="J40" s="142"/>
      <c r="K40" s="118" t="str">
        <f>IF(COUNTIF(O12:P18,"*ポッド*")&lt;&gt;0,"写真の苗を抜き苗で送付します。ポットごと発送は写真のまま発送します。","写真の苗を抜き苗で送付します。ポット、土はつきません。")</f>
        <v>写真の苗を抜き苗で送付します。ポット、土はつきません。</v>
      </c>
      <c r="L40" s="119"/>
      <c r="M40" s="119"/>
      <c r="N40" s="119"/>
      <c r="O40" s="119"/>
      <c r="P40" s="152"/>
      <c r="Q40" s="106"/>
      <c r="R40" s="159"/>
      <c r="S40" s="118" t="str">
        <f>IF(COUNTIF(W12:X18,"*ポッド*")&lt;&gt;0,"写真の苗を抜き苗で送付します。ポットごと発送は写真のまま発送します。","写真の苗を抜き苗で送付します。ポット、土はつきません。")</f>
        <v>写真の苗を抜き苗で送付します。ポット、土はつきません。</v>
      </c>
      <c r="T40" s="119"/>
      <c r="U40" s="119"/>
      <c r="V40" s="119"/>
      <c r="W40" s="119"/>
      <c r="X40" s="169"/>
      <c r="Y40" s="106"/>
      <c r="Z40" s="175"/>
      <c r="AA40" s="118" t="str">
        <f>IF(COUNTIF(AE12:AF18,"*ポッド*")&lt;&gt;0,"写真の苗を抜き苗で送付します。ポットごと発送は写真のまま発送します。","写真の苗を抜き苗で送付します。ポット、土はつきません。")</f>
        <v>写真の苗を抜き苗で送付します。ポット、土はつきません。</v>
      </c>
      <c r="AB40" s="119"/>
      <c r="AC40" s="119"/>
      <c r="AD40" s="119"/>
      <c r="AE40" s="119"/>
      <c r="AF40" s="185"/>
      <c r="AG40" s="106"/>
      <c r="AH40" s="191"/>
      <c r="AI40" s="118" t="str">
        <f>IF(COUNTIF(AM12:AN18,"*ポッド*")&lt;&gt;0,"写真の苗を抜き苗で送付します。ポットごと発送は写真のまま発送します。","写真の苗を抜き苗で送付します。ポット、土はつきません。")</f>
        <v>写真の苗を抜き苗で送付します。ポット、土はつきません。</v>
      </c>
      <c r="AJ40" s="119"/>
      <c r="AK40" s="119"/>
      <c r="AL40" s="119"/>
      <c r="AM40" s="119"/>
      <c r="AN40" s="201"/>
    </row>
    <row r="41" spans="1:40" s="46" customFormat="1" ht="15">
      <c r="A41" s="106"/>
      <c r="B41" s="108"/>
      <c r="C41" s="118" t="str">
        <f>"細心の注意を払いますが、梱包の際に取れてしまった葉は同梱します。"</f>
        <v>細心の注意を払いますが、梱包の際に取れてしまった葉は同梱します。</v>
      </c>
      <c r="D41" s="119"/>
      <c r="E41" s="119"/>
      <c r="F41" s="119"/>
      <c r="G41" s="119"/>
      <c r="H41" s="120"/>
      <c r="I41" s="106"/>
      <c r="J41" s="142"/>
      <c r="K41" s="118" t="str">
        <f>"細心の注意を払いますが、梱包の際に取れてしまった葉は同梱します。"</f>
        <v>細心の注意を払いますが、梱包の際に取れてしまった葉は同梱します。</v>
      </c>
      <c r="L41" s="119"/>
      <c r="M41" s="119"/>
      <c r="N41" s="119"/>
      <c r="O41" s="119"/>
      <c r="P41" s="152"/>
      <c r="Q41" s="106"/>
      <c r="R41" s="159"/>
      <c r="S41" s="118" t="str">
        <f>"細心の注意を払いますが、梱包の際に取れてしまった葉は同梱します。"</f>
        <v>細心の注意を払いますが、梱包の際に取れてしまった葉は同梱します。</v>
      </c>
      <c r="T41" s="119"/>
      <c r="U41" s="119"/>
      <c r="V41" s="119"/>
      <c r="W41" s="119"/>
      <c r="X41" s="169"/>
      <c r="Y41" s="106"/>
      <c r="Z41" s="175"/>
      <c r="AA41" s="118" t="str">
        <f>"細心の注意を払いますが、梱包の際に取れてしまった葉は同梱します。"</f>
        <v>細心の注意を払いますが、梱包の際に取れてしまった葉は同梱します。</v>
      </c>
      <c r="AB41" s="119"/>
      <c r="AC41" s="119"/>
      <c r="AD41" s="119"/>
      <c r="AE41" s="119"/>
      <c r="AF41" s="185"/>
      <c r="AG41" s="106"/>
      <c r="AH41" s="191"/>
      <c r="AI41" s="118" t="str">
        <f>"細心の注意を払いますが、梱包の際に取れてしまった葉は同梱します。"</f>
        <v>細心の注意を払いますが、梱包の際に取れてしまった葉は同梱します。</v>
      </c>
      <c r="AJ41" s="119"/>
      <c r="AK41" s="119"/>
      <c r="AL41" s="119"/>
      <c r="AM41" s="119"/>
      <c r="AN41" s="201"/>
    </row>
    <row r="42" spans="1:40" s="46" customFormat="1" ht="15">
      <c r="A42" s="106"/>
      <c r="B42" s="108"/>
      <c r="C42" s="118" t="str">
        <f ca="1">"本品は、"&amp;TEXT(C21,"m/d(aaa)")&amp;" 23:00までの出品とします。"</f>
        <v>本品は、4/12(日) 23:00までの出品とします。</v>
      </c>
      <c r="D42" s="119"/>
      <c r="E42" s="119"/>
      <c r="F42" s="119"/>
      <c r="G42" s="119"/>
      <c r="H42" s="120"/>
      <c r="I42" s="106"/>
      <c r="J42" s="142"/>
      <c r="K42" s="118" t="str">
        <f ca="1">"本品は、"&amp;TEXT(K21,"m/d(aaa)")&amp;" 23:00までの出品とします。"</f>
        <v>本品は、4/12(日) 23:00までの出品とします。</v>
      </c>
      <c r="L42" s="119"/>
      <c r="M42" s="119"/>
      <c r="N42" s="119"/>
      <c r="O42" s="119"/>
      <c r="P42" s="152"/>
      <c r="Q42" s="106"/>
      <c r="R42" s="159"/>
      <c r="S42" s="118" t="str">
        <f ca="1">"本品は、"&amp;TEXT(S21,"m/d(aaa)")&amp;" 23:00までの出品とします。"</f>
        <v>本品は、4/12(日) 23:00までの出品とします。</v>
      </c>
      <c r="T42" s="119"/>
      <c r="U42" s="119"/>
      <c r="V42" s="119"/>
      <c r="W42" s="119"/>
      <c r="X42" s="169"/>
      <c r="Y42" s="106"/>
      <c r="Z42" s="175"/>
      <c r="AA42" s="118" t="str">
        <f ca="1">"本品は、"&amp;TEXT(AA21,"m/d(aaa)")&amp;" 23:00までの出品とします。"</f>
        <v>本品は、4/12(日) 23:00までの出品とします。</v>
      </c>
      <c r="AB42" s="119"/>
      <c r="AC42" s="119"/>
      <c r="AD42" s="119"/>
      <c r="AE42" s="119"/>
      <c r="AF42" s="185"/>
      <c r="AG42" s="106"/>
      <c r="AH42" s="191"/>
      <c r="AI42" s="118" t="str">
        <f ca="1">"本品は、"&amp;TEXT(AI21,"m/d(aaa)")&amp;" 23:00までの出品とします。"</f>
        <v>本品は、4/12(日) 23:00までの出品とします。</v>
      </c>
      <c r="AJ42" s="119"/>
      <c r="AK42" s="119"/>
      <c r="AL42" s="119"/>
      <c r="AM42" s="119"/>
      <c r="AN42" s="201"/>
    </row>
    <row r="43" spans="1:40" s="46" customFormat="1" ht="15">
      <c r="A43" s="106"/>
      <c r="B43" s="108"/>
      <c r="C43" s="118"/>
      <c r="D43" s="119"/>
      <c r="E43" s="119"/>
      <c r="F43" s="119"/>
      <c r="G43" s="119"/>
      <c r="H43" s="120"/>
      <c r="I43" s="106"/>
      <c r="J43" s="142"/>
      <c r="K43" s="118"/>
      <c r="L43" s="119"/>
      <c r="M43" s="119"/>
      <c r="N43" s="119"/>
      <c r="O43" s="119"/>
      <c r="P43" s="152"/>
      <c r="Q43" s="106"/>
      <c r="R43" s="159"/>
      <c r="S43" s="118"/>
      <c r="T43" s="119"/>
      <c r="U43" s="119"/>
      <c r="V43" s="119"/>
      <c r="W43" s="119"/>
      <c r="X43" s="169"/>
      <c r="Y43" s="106"/>
      <c r="Z43" s="175"/>
      <c r="AA43" s="118"/>
      <c r="AB43" s="119"/>
      <c r="AC43" s="119"/>
      <c r="AD43" s="119"/>
      <c r="AE43" s="119"/>
      <c r="AF43" s="185"/>
      <c r="AG43" s="106"/>
      <c r="AH43" s="191"/>
      <c r="AI43" s="118"/>
      <c r="AJ43" s="119"/>
      <c r="AK43" s="119"/>
      <c r="AL43" s="119"/>
      <c r="AM43" s="119"/>
      <c r="AN43" s="201"/>
    </row>
    <row r="44" spans="1:40" s="46" customFormat="1" ht="15">
      <c r="A44" s="106"/>
      <c r="B44" s="108"/>
      <c r="C44" s="121" t="str">
        <f>"#多肉植物 #エケベリア #セダム #寄せ植え"&amp;" #"&amp;IF(F13="#",C13&amp;" #","")&amp;IF(F14="#",C14&amp;" #","")&amp;IF(F15="#",C15&amp;" #","")&amp;IF(F16="#",C16&amp;" #","")&amp;IF(F17="#",C17&amp;" #","")&amp;IF(F18="#",C18&amp;" #","")&amp;"ガーデニング #観葉植物"</f>
        <v>#多肉植物 #エケベリア #セダム #寄せ植え #ガーデニング #観葉植物</v>
      </c>
      <c r="D44" s="119"/>
      <c r="E44" s="119"/>
      <c r="F44" s="119"/>
      <c r="G44" s="119"/>
      <c r="H44" s="120"/>
      <c r="I44" s="106"/>
      <c r="J44" s="142"/>
      <c r="K44" s="121" t="str">
        <f>"#多肉植物 #エケベリア #セダム #寄せ植え"&amp;" #"&amp;IF(N13="#",K13&amp;" #","")&amp;IF(N14="#",K14&amp;" #","")&amp;IF(N15="#",K15&amp;" #","")&amp;IF(N16="#",K16&amp;" #","")&amp;IF(N17="#",K17&amp;" #","")&amp;IF(N18="#",K18&amp;" #","")&amp;"ガーデニング #観葉植物"</f>
        <v>#多肉植物 #エケベリア #セダム #寄せ植え #ガーデニング #観葉植物</v>
      </c>
      <c r="L44" s="119"/>
      <c r="M44" s="119"/>
      <c r="N44" s="119"/>
      <c r="O44" s="119"/>
      <c r="P44" s="152"/>
      <c r="Q44" s="106"/>
      <c r="R44" s="159"/>
      <c r="S44" s="121" t="str">
        <f>"#多肉植物 #エケベリア #セダム #寄せ植え"&amp;" #"&amp;IF(V13="#",S13&amp;" #","")&amp;IF(V14="#",S14&amp;" #","")&amp;IF(V15="#",S15&amp;" #","")&amp;IF(V16="#",S16&amp;" #","")&amp;IF(V17="#",S17&amp;" #","")&amp;IF(V18="#",S18&amp;" #","")&amp;"ガーデニング #観葉植物"</f>
        <v>#多肉植物 #エケベリア #セダム #寄せ植え #ガーデニング #観葉植物</v>
      </c>
      <c r="T44" s="119"/>
      <c r="U44" s="119"/>
      <c r="V44" s="119"/>
      <c r="W44" s="119"/>
      <c r="X44" s="169"/>
      <c r="Y44" s="106"/>
      <c r="Z44" s="175"/>
      <c r="AA44" s="121" t="str">
        <f>"#多肉植物 #エケベリア #セダム #寄せ植え"&amp;" #"&amp;IF(AD13="#",AA13&amp;" #","")&amp;IF(AD14="#",AA14&amp;" #","")&amp;IF(AD15="#",AA15&amp;" #","")&amp;IF(AD16="#",AA16&amp;" #","")&amp;IF(AD17="#",AA17&amp;" #","")&amp;IF(AD18="#",AA18&amp;" #","")&amp;"ガーデニング #観葉植物"</f>
        <v>#多肉植物 #エケベリア #セダム #寄せ植え #ガーデニング #観葉植物</v>
      </c>
      <c r="AB44" s="119"/>
      <c r="AC44" s="119"/>
      <c r="AD44" s="119"/>
      <c r="AE44" s="119"/>
      <c r="AF44" s="185"/>
      <c r="AG44" s="106"/>
      <c r="AH44" s="191"/>
      <c r="AI44" s="121" t="str">
        <f>"#多肉植物 #エケベリア #セダム #寄せ植え"&amp;" #"&amp;IF(AL13="#",AI13&amp;" #","")&amp;IF(AL14="#",AI14&amp;" #","")&amp;IF(AL15="#",AI15&amp;" #","")&amp;IF(AL16="#",AI16&amp;" #","")&amp;IF(AL17="#",AI17&amp;" #","")&amp;IF(AL18="#",AI18&amp;" #","")&amp;"ガーデニング #観葉植物"</f>
        <v>#多肉植物 #エケベリア #セダム #寄せ植え #ガーデニング #観葉植物</v>
      </c>
      <c r="AJ44" s="119"/>
      <c r="AK44" s="119"/>
      <c r="AL44" s="119"/>
      <c r="AM44" s="119"/>
      <c r="AN44" s="201"/>
    </row>
    <row r="45" spans="1:40" s="46" customFormat="1" ht="15">
      <c r="A45" s="106"/>
      <c r="B45" s="108"/>
      <c r="C45" s="118"/>
      <c r="D45" s="119"/>
      <c r="E45" s="119"/>
      <c r="F45" s="119"/>
      <c r="G45" s="119"/>
      <c r="H45" s="120"/>
      <c r="I45" s="106"/>
      <c r="J45" s="142"/>
      <c r="K45" s="153"/>
      <c r="L45" s="119"/>
      <c r="M45" s="119"/>
      <c r="N45" s="119"/>
      <c r="O45" s="119"/>
      <c r="P45" s="152"/>
      <c r="Q45" s="106"/>
      <c r="R45" s="159"/>
      <c r="S45" s="153"/>
      <c r="T45" s="119"/>
      <c r="U45" s="119"/>
      <c r="V45" s="119"/>
      <c r="W45" s="119"/>
      <c r="X45" s="169"/>
      <c r="Y45" s="106"/>
      <c r="Z45" s="175"/>
      <c r="AA45" s="153"/>
      <c r="AB45" s="119"/>
      <c r="AC45" s="119"/>
      <c r="AD45" s="119"/>
      <c r="AE45" s="119"/>
      <c r="AF45" s="185"/>
      <c r="AG45" s="106"/>
      <c r="AH45" s="191"/>
      <c r="AI45" s="153"/>
      <c r="AJ45" s="119"/>
      <c r="AK45" s="119"/>
      <c r="AL45" s="119"/>
      <c r="AM45" s="119"/>
      <c r="AN45" s="201"/>
    </row>
    <row r="46" spans="1:40" s="46" customFormat="1" ht="15">
      <c r="A46" s="106"/>
      <c r="B46" s="122"/>
      <c r="C46" s="123"/>
      <c r="D46" s="124"/>
      <c r="E46" s="124"/>
      <c r="F46" s="124"/>
      <c r="G46" s="124"/>
      <c r="H46" s="125"/>
      <c r="I46" s="106"/>
      <c r="J46" s="154"/>
      <c r="K46" s="155"/>
      <c r="L46" s="156"/>
      <c r="M46" s="156"/>
      <c r="N46" s="156"/>
      <c r="O46" s="156"/>
      <c r="P46" s="157"/>
      <c r="Q46" s="106"/>
      <c r="R46" s="170"/>
      <c r="S46" s="171"/>
      <c r="T46" s="172"/>
      <c r="U46" s="172"/>
      <c r="V46" s="172"/>
      <c r="W46" s="172"/>
      <c r="X46" s="173"/>
      <c r="Y46" s="106"/>
      <c r="Z46" s="186"/>
      <c r="AA46" s="187"/>
      <c r="AB46" s="188"/>
      <c r="AC46" s="188"/>
      <c r="AD46" s="188"/>
      <c r="AE46" s="188"/>
      <c r="AF46" s="189"/>
      <c r="AG46" s="106"/>
      <c r="AH46" s="202"/>
      <c r="AI46" s="203"/>
      <c r="AJ46" s="204"/>
      <c r="AK46" s="204"/>
      <c r="AL46" s="204"/>
      <c r="AM46" s="204"/>
      <c r="AN46" s="205"/>
    </row>
    <row r="47" spans="1:40" s="46" customFormat="1" ht="15">
      <c r="A47" s="106"/>
      <c r="B47" s="54"/>
      <c r="I47" s="106"/>
      <c r="Q47" s="106"/>
      <c r="Y47" s="106"/>
      <c r="AG47" s="106"/>
    </row>
    <row r="48" spans="1:40" s="46" customFormat="1" ht="15">
      <c r="A48" s="106"/>
      <c r="B48" s="126" t="s">
        <v>1620</v>
      </c>
      <c r="C48" s="127"/>
      <c r="D48" s="128"/>
      <c r="E48" s="129" t="s">
        <v>1614</v>
      </c>
      <c r="F48" s="129" t="s">
        <v>1613</v>
      </c>
      <c r="G48" s="129" t="s">
        <v>3</v>
      </c>
      <c r="H48" s="130" t="s">
        <v>1621</v>
      </c>
      <c r="I48" s="106"/>
      <c r="Q48" s="106"/>
      <c r="Y48" s="106"/>
      <c r="AG48" s="106"/>
    </row>
    <row r="49" spans="1:33" s="46" customFormat="1" ht="15">
      <c r="A49" s="106"/>
      <c r="B49" s="131"/>
      <c r="C49" s="132"/>
      <c r="D49" s="133"/>
      <c r="E49" s="134" t="s">
        <v>1622</v>
      </c>
      <c r="F49" s="135" t="s">
        <v>16</v>
      </c>
      <c r="G49" s="135" t="s">
        <v>1623</v>
      </c>
      <c r="H49" s="134" t="s">
        <v>1624</v>
      </c>
      <c r="I49" s="106"/>
      <c r="Q49" s="106"/>
      <c r="Y49" s="106"/>
      <c r="AG49" s="106"/>
    </row>
    <row r="50" spans="1:33" s="46" customFormat="1" ht="15">
      <c r="A50" s="106"/>
      <c r="B50" s="136" t="s">
        <v>1625</v>
      </c>
      <c r="C50" s="137"/>
      <c r="D50" s="138"/>
      <c r="E50" s="134" t="s">
        <v>1626</v>
      </c>
      <c r="F50" s="139" t="s">
        <v>172</v>
      </c>
      <c r="G50" s="135" t="s">
        <v>1627</v>
      </c>
      <c r="H50" s="135"/>
      <c r="I50" s="106"/>
      <c r="Q50" s="106"/>
      <c r="Y50" s="106"/>
      <c r="AG50" s="106"/>
    </row>
    <row r="51" spans="1:33" s="46" customFormat="1" ht="15">
      <c r="A51" s="106"/>
      <c r="B51" s="136" t="s">
        <v>1628</v>
      </c>
      <c r="C51" s="137"/>
      <c r="D51" s="138"/>
      <c r="E51" s="57" t="s">
        <v>1629</v>
      </c>
      <c r="F51" s="139" t="s">
        <v>1630</v>
      </c>
      <c r="G51" s="135" t="s">
        <v>1631</v>
      </c>
      <c r="H51" s="139"/>
      <c r="I51" s="106"/>
      <c r="Q51" s="106"/>
      <c r="Y51" s="106"/>
      <c r="AG51" s="106"/>
    </row>
    <row r="52" spans="1:33" s="46" customFormat="1" ht="15">
      <c r="A52" s="106"/>
      <c r="B52" s="136" t="s">
        <v>239</v>
      </c>
      <c r="C52" s="137"/>
      <c r="D52" s="138"/>
      <c r="E52" s="57" t="s">
        <v>1632</v>
      </c>
      <c r="F52" s="139" t="s">
        <v>1633</v>
      </c>
      <c r="G52" s="135" t="s">
        <v>1634</v>
      </c>
      <c r="H52" s="139"/>
      <c r="I52" s="106"/>
      <c r="Q52" s="106"/>
      <c r="Y52" s="106"/>
      <c r="AG52" s="106"/>
    </row>
    <row r="53" spans="1:33" s="46" customFormat="1" ht="15">
      <c r="A53" s="106"/>
      <c r="B53" s="136" t="s">
        <v>259</v>
      </c>
      <c r="C53" s="137"/>
      <c r="D53" s="138"/>
      <c r="E53" s="57" t="s">
        <v>1635</v>
      </c>
      <c r="F53" s="139"/>
      <c r="G53" s="135" t="s">
        <v>1636</v>
      </c>
      <c r="H53" s="139"/>
      <c r="I53" s="106"/>
      <c r="Q53" s="106"/>
      <c r="Y53" s="106"/>
      <c r="AG53" s="106"/>
    </row>
    <row r="54" spans="1:33" s="46" customFormat="1" ht="15">
      <c r="A54" s="106"/>
      <c r="B54" s="136" t="s">
        <v>256</v>
      </c>
      <c r="C54" s="137"/>
      <c r="D54" s="138"/>
      <c r="E54" s="57" t="s">
        <v>1637</v>
      </c>
      <c r="F54" s="139"/>
      <c r="G54" s="135" t="s">
        <v>1638</v>
      </c>
      <c r="H54" s="139"/>
      <c r="I54" s="106"/>
      <c r="Q54" s="106"/>
      <c r="Y54" s="106"/>
      <c r="AG54" s="106"/>
    </row>
    <row r="55" spans="1:33" s="46" customFormat="1" ht="15">
      <c r="A55" s="106"/>
      <c r="B55" s="136" t="s">
        <v>257</v>
      </c>
      <c r="C55" s="137"/>
      <c r="D55" s="138"/>
      <c r="E55" s="57" t="s">
        <v>1639</v>
      </c>
      <c r="F55" s="139"/>
      <c r="G55" s="135" t="s">
        <v>1640</v>
      </c>
      <c r="H55" s="139"/>
      <c r="I55" s="106"/>
      <c r="Q55" s="106"/>
      <c r="Y55" s="106"/>
      <c r="AG55" s="106"/>
    </row>
    <row r="56" spans="1:33" s="46" customFormat="1" ht="15">
      <c r="A56" s="106"/>
      <c r="B56" s="136" t="s">
        <v>264</v>
      </c>
      <c r="C56" s="137"/>
      <c r="D56" s="138"/>
      <c r="E56" s="57"/>
      <c r="F56" s="139"/>
      <c r="G56" s="135"/>
      <c r="H56" s="139"/>
      <c r="I56" s="106"/>
      <c r="Q56" s="106"/>
      <c r="Y56" s="106"/>
      <c r="AG56" s="106"/>
    </row>
    <row r="57" spans="1:33" s="46" customFormat="1" ht="15">
      <c r="A57" s="106"/>
      <c r="B57" s="136" t="s">
        <v>267</v>
      </c>
      <c r="C57" s="137"/>
      <c r="D57" s="138"/>
      <c r="E57" s="57"/>
      <c r="F57" s="139"/>
      <c r="G57" s="139"/>
      <c r="H57" s="139"/>
      <c r="I57" s="106"/>
      <c r="Q57" s="106"/>
      <c r="Y57" s="106"/>
      <c r="AG57" s="106"/>
    </row>
    <row r="58" spans="1:33" s="46" customFormat="1" ht="15">
      <c r="A58" s="106"/>
      <c r="B58" s="136" t="s">
        <v>1641</v>
      </c>
      <c r="C58" s="137"/>
      <c r="D58" s="138"/>
      <c r="E58" s="57"/>
      <c r="F58" s="139"/>
      <c r="G58" s="139"/>
      <c r="H58" s="139"/>
      <c r="I58" s="106"/>
      <c r="Q58" s="106"/>
      <c r="Y58" s="106"/>
      <c r="AG58" s="106"/>
    </row>
    <row r="59" spans="1:33" s="46" customFormat="1" ht="15">
      <c r="A59" s="106"/>
      <c r="B59" s="136" t="s">
        <v>1642</v>
      </c>
      <c r="C59" s="137"/>
      <c r="D59" s="138"/>
      <c r="E59" s="57"/>
      <c r="F59" s="139"/>
      <c r="G59" s="139"/>
      <c r="H59" s="139"/>
      <c r="I59" s="106"/>
      <c r="Q59" s="106"/>
      <c r="Y59" s="106"/>
      <c r="AG59" s="106"/>
    </row>
    <row r="60" spans="1:33" s="46" customFormat="1" ht="15">
      <c r="A60" s="106"/>
      <c r="B60" s="136" t="s">
        <v>1643</v>
      </c>
      <c r="C60" s="137"/>
      <c r="D60" s="138"/>
      <c r="E60" s="57"/>
      <c r="F60" s="139"/>
      <c r="G60" s="139"/>
      <c r="H60" s="139"/>
      <c r="I60" s="106"/>
      <c r="Q60" s="106"/>
      <c r="Y60" s="106"/>
      <c r="AG60" s="106"/>
    </row>
    <row r="61" spans="1:33" s="46" customFormat="1" ht="15">
      <c r="A61" s="106"/>
      <c r="B61" s="136" t="s">
        <v>275</v>
      </c>
      <c r="C61" s="137"/>
      <c r="D61" s="138"/>
      <c r="E61" s="139"/>
      <c r="F61" s="139"/>
      <c r="G61" s="139"/>
      <c r="H61" s="139"/>
      <c r="I61" s="106"/>
      <c r="Q61" s="106"/>
      <c r="Y61" s="106"/>
      <c r="AG61" s="106"/>
    </row>
    <row r="62" spans="1:33" s="46" customFormat="1" ht="15">
      <c r="A62" s="106"/>
      <c r="B62" s="136" t="s">
        <v>278</v>
      </c>
      <c r="C62" s="137"/>
      <c r="D62" s="138"/>
      <c r="E62" s="139"/>
      <c r="F62" s="139"/>
      <c r="G62" s="139"/>
      <c r="H62" s="139"/>
      <c r="I62" s="106"/>
      <c r="Q62" s="106"/>
      <c r="Y62" s="106"/>
      <c r="AG62" s="106"/>
    </row>
    <row r="63" spans="1:33" s="46" customFormat="1" ht="15">
      <c r="A63" s="106"/>
      <c r="B63" s="136" t="s">
        <v>290</v>
      </c>
      <c r="C63" s="137"/>
      <c r="D63" s="138"/>
      <c r="E63" s="139"/>
      <c r="F63" s="139"/>
      <c r="G63" s="139"/>
      <c r="H63" s="139"/>
      <c r="I63" s="106"/>
      <c r="Q63" s="106"/>
      <c r="Y63" s="106"/>
      <c r="AG63" s="106"/>
    </row>
    <row r="64" spans="1:33" s="46" customFormat="1" ht="15">
      <c r="A64" s="106"/>
      <c r="B64" s="136" t="s">
        <v>1047</v>
      </c>
      <c r="C64" s="137"/>
      <c r="D64" s="138"/>
      <c r="E64" s="57"/>
      <c r="F64" s="139"/>
      <c r="G64" s="139"/>
      <c r="H64" s="139"/>
      <c r="I64" s="106"/>
      <c r="Q64" s="106"/>
      <c r="Y64" s="106"/>
      <c r="AG64" s="106"/>
    </row>
    <row r="65" spans="1:33" s="46" customFormat="1" ht="15">
      <c r="A65" s="106"/>
      <c r="B65" s="136" t="s">
        <v>307</v>
      </c>
      <c r="C65" s="137"/>
      <c r="D65" s="138"/>
      <c r="E65" s="57"/>
      <c r="F65" s="139"/>
      <c r="G65" s="139"/>
      <c r="H65" s="139"/>
      <c r="I65" s="106"/>
      <c r="Q65" s="106"/>
      <c r="Y65" s="106"/>
      <c r="AG65" s="106"/>
    </row>
    <row r="66" spans="1:33" s="46" customFormat="1" ht="15">
      <c r="A66" s="106"/>
      <c r="B66" s="136" t="s">
        <v>308</v>
      </c>
      <c r="C66" s="137"/>
      <c r="D66" s="138"/>
      <c r="E66" s="139"/>
      <c r="F66" s="139"/>
      <c r="G66" s="139"/>
      <c r="H66" s="139"/>
      <c r="I66" s="106"/>
      <c r="Q66" s="106"/>
      <c r="Y66" s="106"/>
      <c r="AG66" s="106"/>
    </row>
    <row r="67" spans="1:33" s="46" customFormat="1" ht="15">
      <c r="A67" s="106"/>
      <c r="B67" s="136" t="s">
        <v>301</v>
      </c>
      <c r="C67" s="137"/>
      <c r="D67" s="138"/>
      <c r="E67" s="139"/>
      <c r="F67" s="139"/>
      <c r="G67" s="139"/>
      <c r="H67" s="139"/>
      <c r="I67" s="106"/>
      <c r="Q67" s="106"/>
      <c r="Y67" s="106"/>
      <c r="AG67" s="106"/>
    </row>
    <row r="68" spans="1:33" s="46" customFormat="1" ht="15">
      <c r="A68" s="106"/>
      <c r="B68" s="136" t="s">
        <v>309</v>
      </c>
      <c r="C68" s="137"/>
      <c r="D68" s="138"/>
      <c r="E68" s="139"/>
      <c r="F68" s="139"/>
      <c r="G68" s="139"/>
      <c r="H68" s="139"/>
      <c r="I68" s="106"/>
      <c r="Q68" s="106"/>
      <c r="Y68" s="106"/>
      <c r="AG68" s="106"/>
    </row>
    <row r="69" spans="1:33" s="46" customFormat="1" ht="15">
      <c r="A69" s="106"/>
      <c r="B69" s="136" t="s">
        <v>311</v>
      </c>
      <c r="C69" s="137"/>
      <c r="D69" s="138"/>
      <c r="E69" s="139"/>
      <c r="F69" s="139"/>
      <c r="G69" s="139"/>
      <c r="H69" s="139"/>
      <c r="I69" s="106"/>
      <c r="Q69" s="106"/>
      <c r="Y69" s="106"/>
      <c r="AG69" s="106"/>
    </row>
    <row r="70" spans="1:33" s="46" customFormat="1" ht="15">
      <c r="A70" s="106"/>
      <c r="B70" s="206"/>
      <c r="C70" s="207"/>
      <c r="D70" s="208"/>
      <c r="E70" s="139"/>
      <c r="F70" s="139"/>
      <c r="G70" s="139"/>
      <c r="H70" s="139"/>
      <c r="I70" s="106"/>
      <c r="Q70" s="106"/>
      <c r="Y70" s="106"/>
      <c r="AG70" s="106"/>
    </row>
    <row r="71" spans="1:33" s="46" customFormat="1" ht="15">
      <c r="A71" s="106"/>
      <c r="B71" s="209" t="s">
        <v>1644</v>
      </c>
      <c r="C71" s="210"/>
      <c r="D71" s="211"/>
      <c r="E71" s="139"/>
      <c r="F71" s="139"/>
      <c r="G71" s="139"/>
      <c r="H71" s="139"/>
      <c r="I71" s="106"/>
      <c r="Q71" s="106"/>
      <c r="Y71" s="106"/>
      <c r="AG71" s="106"/>
    </row>
    <row r="72" spans="1:33" s="46" customFormat="1" ht="15">
      <c r="A72" s="106"/>
      <c r="B72" s="209" t="s">
        <v>337</v>
      </c>
      <c r="C72" s="210"/>
      <c r="D72" s="211"/>
      <c r="E72" s="139"/>
      <c r="F72" s="139"/>
      <c r="G72" s="139"/>
      <c r="H72" s="139"/>
      <c r="I72" s="106"/>
      <c r="Q72" s="106"/>
      <c r="Y72" s="106"/>
      <c r="AG72" s="106"/>
    </row>
    <row r="73" spans="1:33" s="46" customFormat="1" ht="15">
      <c r="A73" s="106"/>
      <c r="B73" s="209" t="s">
        <v>339</v>
      </c>
      <c r="C73" s="210"/>
      <c r="D73" s="211"/>
      <c r="E73" s="139"/>
      <c r="F73" s="139"/>
      <c r="G73" s="139"/>
      <c r="H73" s="139"/>
      <c r="I73" s="106"/>
      <c r="Q73" s="106"/>
      <c r="Y73" s="106"/>
      <c r="AG73" s="106"/>
    </row>
    <row r="74" spans="1:33" s="46" customFormat="1" ht="15">
      <c r="A74" s="106"/>
      <c r="B74" s="209" t="s">
        <v>341</v>
      </c>
      <c r="C74" s="210"/>
      <c r="D74" s="211"/>
      <c r="E74" s="139"/>
      <c r="F74" s="139"/>
      <c r="G74" s="139"/>
      <c r="H74" s="139"/>
      <c r="I74" s="106"/>
      <c r="Q74" s="106"/>
      <c r="Y74" s="106"/>
      <c r="AG74" s="106"/>
    </row>
    <row r="75" spans="1:33" s="46" customFormat="1" ht="15">
      <c r="A75" s="106"/>
      <c r="B75" s="209" t="s">
        <v>348</v>
      </c>
      <c r="C75" s="210"/>
      <c r="D75" s="211"/>
      <c r="E75" s="139"/>
      <c r="F75" s="139"/>
      <c r="G75" s="139"/>
      <c r="H75" s="139"/>
      <c r="I75" s="106"/>
      <c r="Q75" s="106"/>
      <c r="Y75" s="106"/>
      <c r="AG75" s="106"/>
    </row>
    <row r="76" spans="1:33" s="46" customFormat="1" ht="15">
      <c r="A76" s="106"/>
      <c r="B76" s="209" t="s">
        <v>359</v>
      </c>
      <c r="C76" s="210"/>
      <c r="D76" s="211"/>
      <c r="E76" s="139"/>
      <c r="F76" s="139"/>
      <c r="G76" s="139"/>
      <c r="H76" s="139"/>
      <c r="I76" s="106"/>
      <c r="Q76" s="106"/>
      <c r="Y76" s="106"/>
      <c r="AG76" s="106"/>
    </row>
    <row r="77" spans="1:33" s="46" customFormat="1" ht="15">
      <c r="A77" s="106"/>
      <c r="B77" s="209" t="s">
        <v>1645</v>
      </c>
      <c r="C77" s="210"/>
      <c r="D77" s="211"/>
      <c r="E77" s="139"/>
      <c r="F77" s="139"/>
      <c r="G77" s="139"/>
      <c r="H77" s="139"/>
      <c r="I77" s="106"/>
      <c r="Q77" s="106"/>
      <c r="Y77" s="106"/>
      <c r="AG77" s="106"/>
    </row>
    <row r="78" spans="1:33" s="46" customFormat="1" ht="15">
      <c r="A78" s="106"/>
      <c r="B78" s="209" t="s">
        <v>387</v>
      </c>
      <c r="C78" s="210"/>
      <c r="D78" s="211"/>
      <c r="E78" s="139"/>
      <c r="F78" s="139"/>
      <c r="G78" s="139"/>
      <c r="H78" s="139"/>
      <c r="I78" s="106"/>
      <c r="Q78" s="106"/>
      <c r="Y78" s="106"/>
      <c r="AG78" s="106"/>
    </row>
    <row r="79" spans="1:33" s="46" customFormat="1" ht="15">
      <c r="A79" s="106"/>
      <c r="B79" s="209" t="s">
        <v>1646</v>
      </c>
      <c r="C79" s="210"/>
      <c r="D79" s="211"/>
      <c r="E79" s="139"/>
      <c r="F79" s="139"/>
      <c r="G79" s="139"/>
      <c r="H79" s="139"/>
      <c r="I79" s="106"/>
      <c r="Q79" s="106"/>
      <c r="Y79" s="106"/>
      <c r="AG79" s="106"/>
    </row>
    <row r="80" spans="1:33" s="46" customFormat="1" ht="15">
      <c r="A80" s="106"/>
      <c r="B80" s="209" t="s">
        <v>383</v>
      </c>
      <c r="C80" s="210"/>
      <c r="D80" s="211"/>
      <c r="E80" s="139"/>
      <c r="F80" s="139"/>
      <c r="G80" s="139"/>
      <c r="H80" s="139"/>
      <c r="I80" s="106"/>
      <c r="Q80" s="106"/>
      <c r="Y80" s="106"/>
      <c r="AG80" s="106"/>
    </row>
    <row r="81" spans="1:33" s="46" customFormat="1" ht="15">
      <c r="A81" s="106"/>
      <c r="B81" s="209" t="s">
        <v>384</v>
      </c>
      <c r="C81" s="210"/>
      <c r="D81" s="211"/>
      <c r="E81" s="139"/>
      <c r="F81" s="139"/>
      <c r="G81" s="139"/>
      <c r="H81" s="139"/>
      <c r="I81" s="106"/>
      <c r="Q81" s="106"/>
      <c r="Y81" s="106"/>
      <c r="AG81" s="106"/>
    </row>
    <row r="82" spans="1:33" s="46" customFormat="1" ht="15">
      <c r="A82" s="106"/>
      <c r="B82" s="209" t="s">
        <v>1647</v>
      </c>
      <c r="C82" s="210"/>
      <c r="D82" s="211"/>
      <c r="E82" s="139"/>
      <c r="F82" s="139"/>
      <c r="G82" s="139"/>
      <c r="H82" s="139"/>
      <c r="I82" s="106"/>
      <c r="Q82" s="106"/>
      <c r="Y82" s="106"/>
      <c r="AG82" s="106"/>
    </row>
    <row r="83" spans="1:33" s="46" customFormat="1" ht="15">
      <c r="A83" s="106"/>
      <c r="B83" s="209" t="s">
        <v>394</v>
      </c>
      <c r="C83" s="210"/>
      <c r="D83" s="211"/>
      <c r="E83" s="139"/>
      <c r="F83" s="139"/>
      <c r="G83" s="139"/>
      <c r="H83" s="139"/>
      <c r="I83" s="106"/>
      <c r="Q83" s="106"/>
      <c r="Y83" s="106"/>
      <c r="AG83" s="106"/>
    </row>
    <row r="84" spans="1:33" s="46" customFormat="1" ht="15">
      <c r="A84" s="106"/>
      <c r="B84" s="209" t="s">
        <v>398</v>
      </c>
      <c r="C84" s="210"/>
      <c r="D84" s="211"/>
      <c r="E84" s="139"/>
      <c r="F84" s="139"/>
      <c r="G84" s="139"/>
      <c r="H84" s="139"/>
      <c r="I84" s="106"/>
      <c r="Q84" s="106"/>
      <c r="Y84" s="106"/>
      <c r="AG84" s="106"/>
    </row>
    <row r="85" spans="1:33" s="46" customFormat="1" ht="15">
      <c r="A85" s="106"/>
      <c r="B85" s="209" t="s">
        <v>405</v>
      </c>
      <c r="C85" s="210"/>
      <c r="D85" s="211"/>
      <c r="E85" s="139"/>
      <c r="F85" s="139"/>
      <c r="G85" s="139"/>
      <c r="H85" s="139"/>
      <c r="I85" s="106"/>
      <c r="Q85" s="106"/>
      <c r="Y85" s="106"/>
      <c r="AG85" s="106"/>
    </row>
    <row r="86" spans="1:33" s="46" customFormat="1" ht="15">
      <c r="A86" s="106"/>
      <c r="B86" s="209" t="s">
        <v>1648</v>
      </c>
      <c r="C86" s="210"/>
      <c r="D86" s="211"/>
      <c r="E86" s="139"/>
      <c r="F86" s="139"/>
      <c r="G86" s="139"/>
      <c r="H86" s="139"/>
      <c r="I86" s="106"/>
      <c r="Q86" s="106"/>
      <c r="Y86" s="106"/>
      <c r="AG86" s="106"/>
    </row>
    <row r="87" spans="1:33" s="46" customFormat="1" ht="15">
      <c r="A87" s="106"/>
      <c r="B87" s="209" t="s">
        <v>1649</v>
      </c>
      <c r="C87" s="210"/>
      <c r="D87" s="211"/>
      <c r="E87" s="139"/>
      <c r="F87" s="139"/>
      <c r="G87" s="139"/>
      <c r="H87" s="139"/>
      <c r="I87" s="106"/>
      <c r="Q87" s="106"/>
      <c r="Y87" s="106"/>
      <c r="AG87" s="106"/>
    </row>
    <row r="88" spans="1:33" s="46" customFormat="1" ht="15">
      <c r="A88" s="106"/>
      <c r="B88" s="212"/>
      <c r="C88" s="213"/>
      <c r="D88" s="214"/>
      <c r="E88" s="139"/>
      <c r="F88" s="139"/>
      <c r="G88" s="139"/>
      <c r="H88" s="139"/>
      <c r="I88" s="106"/>
      <c r="Q88" s="106"/>
      <c r="Y88" s="106"/>
      <c r="AG88" s="106"/>
    </row>
    <row r="89" spans="1:33" s="46" customFormat="1" ht="15">
      <c r="A89" s="106"/>
      <c r="B89" s="215" t="s">
        <v>425</v>
      </c>
      <c r="C89" s="216"/>
      <c r="D89" s="217"/>
      <c r="E89" s="139"/>
      <c r="F89" s="139"/>
      <c r="G89" s="139"/>
      <c r="H89" s="139"/>
      <c r="I89" s="106"/>
      <c r="Q89" s="106"/>
      <c r="Y89" s="106"/>
      <c r="AG89" s="106"/>
    </row>
    <row r="90" spans="1:33" s="46" customFormat="1" ht="15">
      <c r="A90" s="106"/>
      <c r="B90" s="215" t="s">
        <v>1650</v>
      </c>
      <c r="C90" s="216"/>
      <c r="D90" s="217"/>
      <c r="E90" s="139"/>
      <c r="F90" s="139"/>
      <c r="G90" s="139"/>
      <c r="H90" s="139"/>
      <c r="I90" s="106"/>
      <c r="Q90" s="106"/>
      <c r="Y90" s="106"/>
      <c r="AG90" s="106"/>
    </row>
    <row r="91" spans="1:33" s="46" customFormat="1" ht="15">
      <c r="A91" s="106"/>
      <c r="B91" s="215" t="s">
        <v>1651</v>
      </c>
      <c r="C91" s="216"/>
      <c r="D91" s="217"/>
      <c r="E91" s="139"/>
      <c r="F91" s="139"/>
      <c r="G91" s="139"/>
      <c r="H91" s="139"/>
      <c r="I91" s="106"/>
      <c r="Q91" s="106"/>
      <c r="Y91" s="106"/>
      <c r="AG91" s="106"/>
    </row>
    <row r="92" spans="1:33" s="46" customFormat="1" ht="15">
      <c r="A92" s="106"/>
      <c r="B92" s="218" t="s">
        <v>1652</v>
      </c>
      <c r="C92" s="219"/>
      <c r="D92" s="220"/>
      <c r="E92" s="139"/>
      <c r="F92" s="139"/>
      <c r="G92" s="139"/>
      <c r="H92" s="139"/>
      <c r="I92" s="106"/>
      <c r="Q92" s="106"/>
      <c r="Y92" s="106"/>
      <c r="AG92" s="106"/>
    </row>
    <row r="93" spans="1:33" s="46" customFormat="1" ht="15">
      <c r="A93" s="106"/>
      <c r="B93" s="215" t="s">
        <v>442</v>
      </c>
      <c r="C93" s="216"/>
      <c r="D93" s="217"/>
      <c r="E93" s="139"/>
      <c r="F93" s="139"/>
      <c r="G93" s="139"/>
      <c r="H93" s="139"/>
      <c r="I93" s="106"/>
      <c r="Q93" s="106"/>
      <c r="Y93" s="106"/>
      <c r="AG93" s="106"/>
    </row>
    <row r="94" spans="1:33" ht="15">
      <c r="B94" s="215" t="s">
        <v>455</v>
      </c>
      <c r="C94" s="216"/>
      <c r="D94" s="217"/>
      <c r="E94" s="221"/>
      <c r="F94" s="221"/>
      <c r="G94" s="221"/>
      <c r="H94" s="221"/>
    </row>
    <row r="95" spans="1:33" ht="15">
      <c r="B95" s="215" t="s">
        <v>1653</v>
      </c>
      <c r="C95" s="216"/>
      <c r="D95" s="217"/>
      <c r="E95" s="221"/>
      <c r="F95" s="221"/>
      <c r="G95" s="221"/>
      <c r="H95" s="221"/>
    </row>
    <row r="96" spans="1:33" ht="15">
      <c r="B96" s="215" t="s">
        <v>463</v>
      </c>
      <c r="C96" s="216"/>
      <c r="D96" s="217"/>
      <c r="E96" s="221"/>
      <c r="F96" s="221"/>
      <c r="G96" s="221"/>
      <c r="H96" s="221"/>
    </row>
    <row r="97" spans="2:8" ht="15">
      <c r="B97" s="215" t="s">
        <v>462</v>
      </c>
      <c r="C97" s="216"/>
      <c r="D97" s="217"/>
      <c r="E97" s="221"/>
      <c r="F97" s="221"/>
      <c r="G97" s="221"/>
      <c r="H97" s="221"/>
    </row>
    <row r="98" spans="2:8" ht="15">
      <c r="B98" s="215" t="s">
        <v>1654</v>
      </c>
      <c r="C98" s="216"/>
      <c r="D98" s="217"/>
      <c r="E98" s="221"/>
      <c r="F98" s="221"/>
      <c r="G98" s="221"/>
      <c r="H98" s="221"/>
    </row>
    <row r="99" spans="2:8" ht="15">
      <c r="B99" s="215" t="s">
        <v>480</v>
      </c>
      <c r="C99" s="216"/>
      <c r="D99" s="217"/>
      <c r="E99" s="221"/>
      <c r="F99" s="221"/>
      <c r="G99" s="221"/>
      <c r="H99" s="221"/>
    </row>
    <row r="100" spans="2:8" ht="15">
      <c r="B100" s="215" t="s">
        <v>497</v>
      </c>
      <c r="C100" s="216"/>
      <c r="D100" s="217"/>
      <c r="E100" s="221"/>
      <c r="F100" s="221"/>
      <c r="G100" s="221"/>
      <c r="H100" s="221"/>
    </row>
    <row r="101" spans="2:8" ht="15">
      <c r="B101" s="222"/>
      <c r="C101" s="223"/>
      <c r="D101" s="224"/>
      <c r="E101" s="221"/>
      <c r="F101" s="221"/>
      <c r="G101" s="221"/>
      <c r="H101" s="221"/>
    </row>
    <row r="102" spans="2:8" ht="15">
      <c r="B102" s="225" t="s">
        <v>503</v>
      </c>
      <c r="C102" s="226"/>
      <c r="D102" s="227"/>
      <c r="E102" s="221"/>
      <c r="F102" s="221"/>
      <c r="G102" s="221"/>
      <c r="H102" s="221"/>
    </row>
    <row r="103" spans="2:8" ht="15">
      <c r="B103" s="225" t="s">
        <v>188</v>
      </c>
      <c r="C103" s="226"/>
      <c r="D103" s="227"/>
      <c r="E103" s="221"/>
      <c r="F103" s="221"/>
      <c r="G103" s="221"/>
      <c r="H103" s="221"/>
    </row>
    <row r="104" spans="2:8" ht="15">
      <c r="B104" s="225" t="s">
        <v>512</v>
      </c>
      <c r="C104" s="226"/>
      <c r="D104" s="227"/>
      <c r="E104" s="221"/>
      <c r="F104" s="221"/>
      <c r="G104" s="221"/>
      <c r="H104" s="221"/>
    </row>
    <row r="105" spans="2:8" ht="15">
      <c r="B105" s="225" t="s">
        <v>1655</v>
      </c>
      <c r="C105" s="226"/>
      <c r="D105" s="227"/>
      <c r="E105" s="221"/>
      <c r="F105" s="221"/>
      <c r="G105" s="221"/>
      <c r="H105" s="221"/>
    </row>
    <row r="106" spans="2:8" ht="15">
      <c r="B106" s="225" t="s">
        <v>536</v>
      </c>
      <c r="C106" s="226"/>
      <c r="D106" s="227"/>
      <c r="E106" s="221"/>
      <c r="F106" s="221"/>
      <c r="G106" s="221"/>
      <c r="H106" s="221"/>
    </row>
    <row r="107" spans="2:8" ht="15">
      <c r="B107" s="225" t="s">
        <v>537</v>
      </c>
      <c r="C107" s="226"/>
      <c r="D107" s="227"/>
      <c r="E107" s="221"/>
      <c r="F107" s="221"/>
      <c r="G107" s="221"/>
      <c r="H107" s="221"/>
    </row>
    <row r="108" spans="2:8" ht="15">
      <c r="B108" s="225" t="s">
        <v>543</v>
      </c>
      <c r="C108" s="226"/>
      <c r="D108" s="227"/>
      <c r="E108" s="221"/>
      <c r="F108" s="221"/>
      <c r="G108" s="221"/>
      <c r="H108" s="221"/>
    </row>
    <row r="109" spans="2:8" ht="15">
      <c r="B109" s="225" t="s">
        <v>546</v>
      </c>
      <c r="C109" s="226"/>
      <c r="D109" s="227"/>
      <c r="E109" s="221"/>
      <c r="F109" s="221"/>
      <c r="G109" s="221"/>
      <c r="H109" s="221"/>
    </row>
    <row r="110" spans="2:8" ht="15">
      <c r="B110" s="225" t="s">
        <v>545</v>
      </c>
      <c r="C110" s="226"/>
      <c r="D110" s="227"/>
      <c r="E110" s="221"/>
      <c r="F110" s="221"/>
      <c r="G110" s="221"/>
      <c r="H110" s="221"/>
    </row>
    <row r="111" spans="2:8" ht="15">
      <c r="B111" s="228"/>
      <c r="C111" s="229"/>
      <c r="D111" s="230"/>
      <c r="E111" s="221"/>
      <c r="F111" s="221"/>
      <c r="G111" s="221"/>
      <c r="H111" s="221"/>
    </row>
    <row r="112" spans="2:8" ht="15">
      <c r="B112" s="231" t="s">
        <v>1656</v>
      </c>
      <c r="C112" s="232"/>
      <c r="D112" s="233"/>
      <c r="E112" s="221"/>
      <c r="F112" s="221"/>
      <c r="G112" s="221"/>
      <c r="H112" s="221"/>
    </row>
    <row r="113" spans="2:8" ht="15">
      <c r="B113" s="234"/>
      <c r="C113" s="235"/>
      <c r="D113" s="236"/>
      <c r="E113" s="221"/>
      <c r="F113" s="221"/>
      <c r="G113" s="221"/>
      <c r="H113" s="221"/>
    </row>
    <row r="114" spans="2:8" ht="15">
      <c r="B114" s="237" t="s">
        <v>574</v>
      </c>
      <c r="C114" s="238"/>
      <c r="D114" s="239"/>
      <c r="E114" s="221"/>
      <c r="F114" s="221"/>
      <c r="G114" s="221"/>
      <c r="H114" s="221"/>
    </row>
    <row r="115" spans="2:8" ht="15">
      <c r="B115" s="237" t="s">
        <v>578</v>
      </c>
      <c r="C115" s="238"/>
      <c r="D115" s="239"/>
      <c r="E115" s="221"/>
      <c r="F115" s="221"/>
      <c r="G115" s="221"/>
      <c r="H115" s="221"/>
    </row>
    <row r="116" spans="2:8" ht="15">
      <c r="B116" s="237" t="s">
        <v>1657</v>
      </c>
      <c r="C116" s="238"/>
      <c r="D116" s="239"/>
      <c r="E116" s="221"/>
      <c r="F116" s="221"/>
      <c r="G116" s="221"/>
      <c r="H116" s="221"/>
    </row>
    <row r="117" spans="2:8" ht="15">
      <c r="B117" s="237" t="s">
        <v>248</v>
      </c>
      <c r="C117" s="238"/>
      <c r="D117" s="239"/>
      <c r="E117" s="221"/>
      <c r="F117" s="221"/>
      <c r="G117" s="221"/>
      <c r="H117" s="221"/>
    </row>
    <row r="118" spans="2:8" ht="15">
      <c r="B118" s="237" t="s">
        <v>1658</v>
      </c>
      <c r="C118" s="238"/>
      <c r="D118" s="239"/>
      <c r="E118" s="221"/>
      <c r="F118" s="221"/>
      <c r="G118" s="221"/>
      <c r="H118" s="221"/>
    </row>
    <row r="119" spans="2:8" ht="15">
      <c r="B119" s="237" t="s">
        <v>604</v>
      </c>
      <c r="C119" s="238"/>
      <c r="D119" s="239"/>
      <c r="E119" s="221"/>
      <c r="F119" s="221"/>
      <c r="G119" s="221"/>
      <c r="H119" s="221"/>
    </row>
    <row r="120" spans="2:8" ht="15">
      <c r="B120" s="237" t="s">
        <v>591</v>
      </c>
      <c r="C120" s="238"/>
      <c r="D120" s="239"/>
      <c r="E120" s="221"/>
      <c r="F120" s="221"/>
      <c r="G120" s="221"/>
      <c r="H120" s="221"/>
    </row>
    <row r="121" spans="2:8" ht="15">
      <c r="B121" s="237" t="s">
        <v>1659</v>
      </c>
      <c r="C121" s="238"/>
      <c r="D121" s="239"/>
      <c r="E121" s="221"/>
      <c r="F121" s="221"/>
      <c r="G121" s="221"/>
      <c r="H121" s="221"/>
    </row>
    <row r="122" spans="2:8" ht="15">
      <c r="B122" s="237" t="s">
        <v>1660</v>
      </c>
      <c r="C122" s="238"/>
      <c r="D122" s="239"/>
      <c r="E122" s="221"/>
      <c r="F122" s="221"/>
      <c r="G122" s="221"/>
      <c r="H122" s="221"/>
    </row>
    <row r="123" spans="2:8" ht="15">
      <c r="B123" s="237" t="s">
        <v>204</v>
      </c>
      <c r="C123" s="238"/>
      <c r="D123" s="239"/>
      <c r="E123" s="221"/>
      <c r="F123" s="221"/>
      <c r="G123" s="221"/>
      <c r="H123" s="221"/>
    </row>
    <row r="124" spans="2:8" ht="15">
      <c r="B124" s="237" t="s">
        <v>617</v>
      </c>
      <c r="C124" s="238"/>
      <c r="D124" s="239"/>
      <c r="E124" s="221"/>
      <c r="F124" s="221"/>
      <c r="G124" s="221"/>
      <c r="H124" s="221"/>
    </row>
    <row r="125" spans="2:8" ht="15">
      <c r="B125" s="237" t="s">
        <v>625</v>
      </c>
      <c r="C125" s="238"/>
      <c r="D125" s="239"/>
      <c r="E125" s="221"/>
      <c r="F125" s="221"/>
      <c r="G125" s="221"/>
      <c r="H125" s="221"/>
    </row>
    <row r="126" spans="2:8" ht="15">
      <c r="B126" s="237" t="s">
        <v>636</v>
      </c>
      <c r="C126" s="238"/>
      <c r="D126" s="239"/>
      <c r="E126" s="221"/>
      <c r="F126" s="221"/>
      <c r="G126" s="221"/>
      <c r="H126" s="221"/>
    </row>
    <row r="127" spans="2:8" ht="15">
      <c r="B127" s="237" t="s">
        <v>639</v>
      </c>
      <c r="C127" s="238"/>
      <c r="D127" s="239"/>
      <c r="E127" s="221"/>
      <c r="F127" s="221"/>
      <c r="G127" s="221"/>
      <c r="H127" s="221"/>
    </row>
    <row r="128" spans="2:8" ht="15">
      <c r="B128" s="237" t="s">
        <v>640</v>
      </c>
      <c r="C128" s="238"/>
      <c r="D128" s="239"/>
      <c r="E128" s="221"/>
      <c r="F128" s="221"/>
      <c r="G128" s="221"/>
      <c r="H128" s="221"/>
    </row>
    <row r="129" spans="2:8" ht="15">
      <c r="B129" s="237" t="s">
        <v>642</v>
      </c>
      <c r="C129" s="238"/>
      <c r="D129" s="239"/>
      <c r="E129" s="221"/>
      <c r="F129" s="221"/>
      <c r="G129" s="221"/>
      <c r="H129" s="221"/>
    </row>
    <row r="130" spans="2:8" ht="15">
      <c r="B130" s="237" t="s">
        <v>645</v>
      </c>
      <c r="C130" s="238"/>
      <c r="D130" s="239"/>
      <c r="E130" s="221"/>
      <c r="F130" s="221"/>
      <c r="G130" s="221"/>
      <c r="H130" s="221"/>
    </row>
    <row r="131" spans="2:8" ht="15">
      <c r="B131" s="237" t="s">
        <v>654</v>
      </c>
      <c r="C131" s="238"/>
      <c r="D131" s="239"/>
      <c r="E131" s="221"/>
      <c r="F131" s="221"/>
      <c r="G131" s="221"/>
      <c r="H131" s="221"/>
    </row>
    <row r="132" spans="2:8" ht="15">
      <c r="B132" s="237" t="s">
        <v>667</v>
      </c>
      <c r="C132" s="238"/>
      <c r="D132" s="239"/>
      <c r="E132" s="221"/>
      <c r="F132" s="221"/>
      <c r="G132" s="221"/>
      <c r="H132" s="221"/>
    </row>
    <row r="133" spans="2:8" ht="15">
      <c r="B133" s="237" t="s">
        <v>661</v>
      </c>
      <c r="C133" s="238"/>
      <c r="D133" s="239"/>
      <c r="E133" s="221"/>
      <c r="F133" s="221"/>
      <c r="G133" s="221"/>
      <c r="H133" s="221"/>
    </row>
    <row r="134" spans="2:8" ht="15">
      <c r="B134" s="237" t="s">
        <v>1661</v>
      </c>
      <c r="C134" s="238"/>
      <c r="D134" s="239"/>
      <c r="E134" s="221"/>
      <c r="F134" s="221"/>
      <c r="G134" s="221"/>
      <c r="H134" s="221"/>
    </row>
    <row r="135" spans="2:8" ht="15">
      <c r="B135" s="237" t="s">
        <v>676</v>
      </c>
      <c r="C135" s="238"/>
      <c r="D135" s="239"/>
      <c r="E135" s="221"/>
      <c r="F135" s="221"/>
      <c r="G135" s="221"/>
      <c r="H135" s="221"/>
    </row>
    <row r="136" spans="2:8" ht="15">
      <c r="B136" s="237" t="s">
        <v>1662</v>
      </c>
      <c r="C136" s="238"/>
      <c r="D136" s="239"/>
      <c r="E136" s="221"/>
      <c r="F136" s="221"/>
      <c r="G136" s="221"/>
      <c r="H136" s="221"/>
    </row>
    <row r="137" spans="2:8" ht="15">
      <c r="B137" s="237" t="s">
        <v>1663</v>
      </c>
      <c r="C137" s="238"/>
      <c r="D137" s="239"/>
      <c r="E137" s="221"/>
      <c r="F137" s="221"/>
      <c r="G137" s="221"/>
      <c r="H137" s="221"/>
    </row>
    <row r="138" spans="2:8" ht="15">
      <c r="B138" s="237" t="s">
        <v>161</v>
      </c>
      <c r="C138" s="238"/>
      <c r="D138" s="239"/>
      <c r="E138" s="221"/>
      <c r="F138" s="221"/>
      <c r="G138" s="221"/>
      <c r="H138" s="221"/>
    </row>
    <row r="139" spans="2:8" ht="15">
      <c r="B139" s="237" t="s">
        <v>1664</v>
      </c>
      <c r="C139" s="238"/>
      <c r="D139" s="239"/>
      <c r="E139" s="221"/>
      <c r="F139" s="221"/>
      <c r="G139" s="221"/>
      <c r="H139" s="221"/>
    </row>
    <row r="140" spans="2:8" ht="15">
      <c r="B140" s="237" t="s">
        <v>228</v>
      </c>
      <c r="C140" s="238"/>
      <c r="D140" s="239"/>
      <c r="E140" s="221"/>
      <c r="F140" s="221"/>
      <c r="G140" s="221"/>
      <c r="H140" s="221"/>
    </row>
    <row r="141" spans="2:8" ht="15">
      <c r="B141" s="237" t="s">
        <v>710</v>
      </c>
      <c r="C141" s="238"/>
      <c r="D141" s="239"/>
      <c r="E141" s="221"/>
      <c r="F141" s="221"/>
      <c r="G141" s="221"/>
      <c r="H141" s="221"/>
    </row>
    <row r="142" spans="2:8" ht="15">
      <c r="B142" s="237" t="s">
        <v>716</v>
      </c>
      <c r="C142" s="238"/>
      <c r="D142" s="239"/>
      <c r="E142" s="221"/>
      <c r="F142" s="221"/>
      <c r="G142" s="221"/>
      <c r="H142" s="221"/>
    </row>
    <row r="143" spans="2:8" ht="15">
      <c r="B143" s="237" t="s">
        <v>713</v>
      </c>
      <c r="C143" s="238"/>
      <c r="D143" s="239"/>
      <c r="E143" s="221"/>
      <c r="F143" s="221"/>
      <c r="G143" s="221"/>
      <c r="H143" s="221"/>
    </row>
    <row r="144" spans="2:8" ht="15">
      <c r="B144" s="237" t="s">
        <v>718</v>
      </c>
      <c r="C144" s="238"/>
      <c r="D144" s="239"/>
      <c r="E144" s="221"/>
      <c r="F144" s="221"/>
      <c r="G144" s="221"/>
      <c r="H144" s="221"/>
    </row>
    <row r="145" spans="2:8" ht="15">
      <c r="B145" s="237" t="s">
        <v>694</v>
      </c>
      <c r="C145" s="238"/>
      <c r="D145" s="239"/>
      <c r="E145" s="221"/>
      <c r="F145" s="221"/>
      <c r="G145" s="221"/>
      <c r="H145" s="221"/>
    </row>
    <row r="146" spans="2:8" ht="15">
      <c r="B146" s="237" t="s">
        <v>697</v>
      </c>
      <c r="C146" s="238"/>
      <c r="D146" s="239"/>
      <c r="E146" s="221"/>
      <c r="F146" s="221"/>
      <c r="G146" s="221"/>
      <c r="H146" s="221"/>
    </row>
    <row r="147" spans="2:8" ht="15">
      <c r="B147" s="237" t="s">
        <v>1665</v>
      </c>
      <c r="C147" s="238"/>
      <c r="D147" s="239"/>
      <c r="E147" s="221"/>
      <c r="F147" s="221"/>
      <c r="G147" s="221"/>
      <c r="H147" s="221"/>
    </row>
    <row r="148" spans="2:8" ht="15">
      <c r="B148" s="237" t="s">
        <v>704</v>
      </c>
      <c r="C148" s="238"/>
      <c r="D148" s="239"/>
      <c r="E148" s="221"/>
      <c r="F148" s="221"/>
      <c r="G148" s="221"/>
      <c r="H148" s="221"/>
    </row>
    <row r="149" spans="2:8" ht="15">
      <c r="B149" s="237" t="s">
        <v>1666</v>
      </c>
      <c r="C149" s="238"/>
      <c r="D149" s="239"/>
      <c r="E149" s="221"/>
      <c r="F149" s="221"/>
      <c r="G149" s="221"/>
      <c r="H149" s="221"/>
    </row>
    <row r="150" spans="2:8" ht="15">
      <c r="B150" s="237" t="s">
        <v>1667</v>
      </c>
      <c r="C150" s="238"/>
      <c r="D150" s="239"/>
      <c r="E150" s="221"/>
      <c r="F150" s="221"/>
      <c r="G150" s="221"/>
      <c r="H150" s="221"/>
    </row>
    <row r="151" spans="2:8" ht="15">
      <c r="B151" s="237" t="s">
        <v>1668</v>
      </c>
      <c r="C151" s="238"/>
      <c r="D151" s="239"/>
      <c r="E151" s="221"/>
      <c r="F151" s="221"/>
      <c r="G151" s="221"/>
      <c r="H151" s="221"/>
    </row>
    <row r="152" spans="2:8" ht="15">
      <c r="B152" s="237" t="s">
        <v>730</v>
      </c>
      <c r="C152" s="238"/>
      <c r="D152" s="239"/>
      <c r="E152" s="221"/>
      <c r="F152" s="221"/>
      <c r="G152" s="221"/>
      <c r="H152" s="221"/>
    </row>
    <row r="153" spans="2:8" ht="15">
      <c r="B153" s="237" t="s">
        <v>732</v>
      </c>
      <c r="C153" s="238"/>
      <c r="D153" s="239"/>
      <c r="E153" s="221"/>
      <c r="F153" s="221"/>
      <c r="G153" s="221"/>
      <c r="H153" s="221"/>
    </row>
    <row r="154" spans="2:8" ht="15">
      <c r="B154" s="237" t="s">
        <v>735</v>
      </c>
      <c r="C154" s="238"/>
      <c r="D154" s="239"/>
      <c r="E154" s="221"/>
      <c r="F154" s="221"/>
      <c r="G154" s="221"/>
      <c r="H154" s="221"/>
    </row>
    <row r="155" spans="2:8" ht="15">
      <c r="B155" s="237" t="s">
        <v>243</v>
      </c>
      <c r="C155" s="238"/>
      <c r="D155" s="239"/>
      <c r="E155" s="221"/>
      <c r="F155" s="221"/>
      <c r="G155" s="221"/>
      <c r="H155" s="221"/>
    </row>
    <row r="156" spans="2:8" ht="15">
      <c r="B156" s="237" t="s">
        <v>1669</v>
      </c>
      <c r="C156" s="238"/>
      <c r="D156" s="239"/>
      <c r="E156" s="221"/>
      <c r="F156" s="221"/>
      <c r="G156" s="221"/>
      <c r="H156" s="221"/>
    </row>
    <row r="157" spans="2:8" ht="15">
      <c r="B157" s="240"/>
      <c r="C157" s="241"/>
      <c r="D157" s="242"/>
      <c r="E157" s="221"/>
      <c r="F157" s="221"/>
      <c r="G157" s="221"/>
      <c r="H157" s="221"/>
    </row>
    <row r="158" spans="2:8" ht="15">
      <c r="B158" s="243" t="s">
        <v>1670</v>
      </c>
      <c r="C158" s="244"/>
      <c r="D158" s="245"/>
      <c r="E158" s="221"/>
      <c r="F158" s="221"/>
      <c r="G158" s="221"/>
      <c r="H158" s="221"/>
    </row>
    <row r="159" spans="2:8" ht="15">
      <c r="B159" s="243" t="s">
        <v>763</v>
      </c>
      <c r="C159" s="244"/>
      <c r="D159" s="245"/>
      <c r="E159" s="221"/>
      <c r="F159" s="221"/>
      <c r="G159" s="221"/>
      <c r="H159" s="221"/>
    </row>
    <row r="160" spans="2:8" ht="15">
      <c r="B160" s="243" t="s">
        <v>770</v>
      </c>
      <c r="C160" s="244"/>
      <c r="D160" s="245"/>
      <c r="E160" s="221"/>
      <c r="F160" s="221"/>
      <c r="G160" s="221"/>
      <c r="H160" s="221"/>
    </row>
    <row r="161" spans="2:8" ht="15">
      <c r="B161" s="243" t="s">
        <v>523</v>
      </c>
      <c r="C161" s="244"/>
      <c r="D161" s="245"/>
      <c r="E161" s="221"/>
      <c r="F161" s="221"/>
      <c r="G161" s="221"/>
      <c r="H161" s="221"/>
    </row>
    <row r="162" spans="2:8" ht="15">
      <c r="B162" s="243" t="s">
        <v>1671</v>
      </c>
      <c r="C162" s="244"/>
      <c r="D162" s="245"/>
      <c r="E162" s="221"/>
      <c r="F162" s="221"/>
      <c r="G162" s="221"/>
      <c r="H162" s="221"/>
    </row>
    <row r="163" spans="2:8" ht="15">
      <c r="B163" s="243" t="s">
        <v>1672</v>
      </c>
      <c r="C163" s="244"/>
      <c r="D163" s="245"/>
      <c r="E163" s="221"/>
      <c r="F163" s="221"/>
      <c r="G163" s="221"/>
      <c r="H163" s="221"/>
    </row>
    <row r="164" spans="2:8" ht="15">
      <c r="B164" s="243" t="s">
        <v>1673</v>
      </c>
      <c r="C164" s="244"/>
      <c r="D164" s="245"/>
      <c r="E164" s="221"/>
      <c r="F164" s="221"/>
      <c r="G164" s="221"/>
      <c r="H164" s="221"/>
    </row>
    <row r="165" spans="2:8" ht="15">
      <c r="B165" s="243" t="s">
        <v>805</v>
      </c>
      <c r="C165" s="244"/>
      <c r="D165" s="245"/>
      <c r="E165" s="221"/>
      <c r="F165" s="221"/>
      <c r="G165" s="221"/>
      <c r="H165" s="221"/>
    </row>
    <row r="166" spans="2:8" ht="15">
      <c r="B166" s="206"/>
      <c r="C166" s="207"/>
      <c r="D166" s="208"/>
      <c r="E166" s="221"/>
      <c r="F166" s="221"/>
      <c r="G166" s="221"/>
      <c r="H166" s="221"/>
    </row>
    <row r="167" spans="2:8" ht="15">
      <c r="B167" s="209" t="s">
        <v>823</v>
      </c>
      <c r="C167" s="210"/>
      <c r="D167" s="211"/>
      <c r="E167" s="221"/>
      <c r="F167" s="221"/>
      <c r="G167" s="221"/>
      <c r="H167" s="221"/>
    </row>
    <row r="168" spans="2:8" ht="15">
      <c r="B168" s="209" t="s">
        <v>165</v>
      </c>
      <c r="C168" s="210"/>
      <c r="D168" s="211"/>
      <c r="E168" s="221"/>
      <c r="F168" s="221"/>
      <c r="G168" s="221"/>
      <c r="H168" s="221"/>
    </row>
    <row r="169" spans="2:8" ht="15">
      <c r="B169" s="209" t="s">
        <v>829</v>
      </c>
      <c r="C169" s="210"/>
      <c r="D169" s="211"/>
      <c r="E169" s="221"/>
      <c r="F169" s="221"/>
      <c r="G169" s="221"/>
      <c r="H169" s="221"/>
    </row>
    <row r="170" spans="2:8" ht="15">
      <c r="B170" s="209" t="s">
        <v>1674</v>
      </c>
      <c r="C170" s="210"/>
      <c r="D170" s="211"/>
      <c r="E170" s="221"/>
      <c r="F170" s="221"/>
      <c r="G170" s="221"/>
      <c r="H170" s="221"/>
    </row>
    <row r="171" spans="2:8" ht="15">
      <c r="B171" s="209" t="s">
        <v>840</v>
      </c>
      <c r="C171" s="210"/>
      <c r="D171" s="211"/>
      <c r="E171" s="221"/>
      <c r="F171" s="221"/>
      <c r="G171" s="221"/>
      <c r="H171" s="221"/>
    </row>
    <row r="172" spans="2:8" ht="15">
      <c r="B172" s="209" t="s">
        <v>1675</v>
      </c>
      <c r="C172" s="210"/>
      <c r="D172" s="211"/>
      <c r="E172" s="221"/>
      <c r="F172" s="221"/>
      <c r="G172" s="221"/>
      <c r="H172" s="221"/>
    </row>
    <row r="173" spans="2:8" ht="15">
      <c r="B173" s="209" t="s">
        <v>860</v>
      </c>
      <c r="C173" s="210"/>
      <c r="D173" s="211"/>
      <c r="E173" s="221"/>
      <c r="F173" s="221"/>
      <c r="G173" s="221"/>
      <c r="H173" s="221"/>
    </row>
    <row r="174" spans="2:8" ht="15">
      <c r="B174" s="209" t="s">
        <v>209</v>
      </c>
      <c r="C174" s="210"/>
      <c r="D174" s="211"/>
      <c r="E174" s="221"/>
      <c r="F174" s="221"/>
      <c r="G174" s="221"/>
      <c r="H174" s="221"/>
    </row>
    <row r="175" spans="2:8" ht="15">
      <c r="B175" s="209" t="s">
        <v>870</v>
      </c>
      <c r="C175" s="210"/>
      <c r="D175" s="211"/>
      <c r="E175" s="221"/>
      <c r="F175" s="221"/>
      <c r="G175" s="221"/>
      <c r="H175" s="221"/>
    </row>
    <row r="176" spans="2:8" ht="15">
      <c r="B176" s="209" t="s">
        <v>874</v>
      </c>
      <c r="C176" s="210"/>
      <c r="D176" s="211"/>
      <c r="E176" s="221"/>
      <c r="F176" s="221"/>
      <c r="G176" s="221"/>
      <c r="H176" s="221"/>
    </row>
    <row r="177" spans="2:8" ht="15">
      <c r="B177" s="209" t="s">
        <v>877</v>
      </c>
      <c r="C177" s="210"/>
      <c r="D177" s="211"/>
      <c r="E177" s="221"/>
      <c r="F177" s="221"/>
      <c r="G177" s="221"/>
      <c r="H177" s="221"/>
    </row>
    <row r="178" spans="2:8" ht="15">
      <c r="B178" s="209" t="s">
        <v>880</v>
      </c>
      <c r="C178" s="210"/>
      <c r="D178" s="211"/>
      <c r="E178" s="221"/>
      <c r="F178" s="221"/>
      <c r="G178" s="221"/>
      <c r="H178" s="221"/>
    </row>
    <row r="179" spans="2:8" ht="15">
      <c r="B179" s="246"/>
      <c r="C179" s="247"/>
      <c r="D179" s="248"/>
      <c r="E179" s="221"/>
      <c r="F179" s="221"/>
      <c r="G179" s="221"/>
      <c r="H179" s="221"/>
    </row>
    <row r="180" spans="2:8" ht="15">
      <c r="B180" s="249" t="s">
        <v>1676</v>
      </c>
      <c r="C180" s="250"/>
      <c r="D180" s="251"/>
      <c r="E180" s="221"/>
      <c r="F180" s="221"/>
      <c r="G180" s="221"/>
      <c r="H180" s="221"/>
    </row>
    <row r="181" spans="2:8" ht="15">
      <c r="B181" s="252"/>
      <c r="C181" s="253"/>
      <c r="D181" s="254"/>
      <c r="E181" s="221"/>
      <c r="F181" s="221"/>
      <c r="G181" s="221"/>
      <c r="H181" s="221"/>
    </row>
    <row r="182" spans="2:8" ht="15">
      <c r="B182" s="252"/>
      <c r="C182" s="253"/>
      <c r="D182" s="254"/>
      <c r="E182" s="221"/>
      <c r="F182" s="221"/>
      <c r="G182" s="221"/>
      <c r="H182" s="221"/>
    </row>
    <row r="183" spans="2:8" ht="15">
      <c r="B183" s="252"/>
      <c r="C183" s="253"/>
      <c r="D183" s="254"/>
      <c r="E183" s="221"/>
      <c r="F183" s="221"/>
      <c r="G183" s="221"/>
      <c r="H183" s="221"/>
    </row>
    <row r="184" spans="2:8" ht="15">
      <c r="B184" s="252"/>
      <c r="C184" s="253"/>
      <c r="D184" s="254"/>
      <c r="E184" s="221"/>
      <c r="F184" s="221"/>
      <c r="G184" s="221"/>
      <c r="H184" s="221"/>
    </row>
    <row r="185" spans="2:8" ht="15">
      <c r="B185" s="252"/>
      <c r="C185" s="253"/>
      <c r="D185" s="254"/>
      <c r="E185" s="221"/>
      <c r="F185" s="221"/>
      <c r="G185" s="221"/>
      <c r="H185" s="221"/>
    </row>
    <row r="186" spans="2:8" ht="15">
      <c r="B186" s="252"/>
      <c r="C186" s="253"/>
      <c r="D186" s="254"/>
      <c r="E186" s="221"/>
      <c r="F186" s="221"/>
      <c r="G186" s="221"/>
      <c r="H186" s="221"/>
    </row>
    <row r="187" spans="2:8" ht="15">
      <c r="B187" s="252"/>
      <c r="C187" s="253"/>
      <c r="D187" s="254"/>
      <c r="E187" s="221"/>
      <c r="F187" s="221"/>
      <c r="G187" s="221"/>
      <c r="H187" s="221"/>
    </row>
    <row r="188" spans="2:8" ht="15">
      <c r="B188" s="252"/>
      <c r="C188" s="253"/>
      <c r="D188" s="254"/>
      <c r="E188" s="221"/>
      <c r="F188" s="221"/>
      <c r="G188" s="221"/>
      <c r="H188" s="221"/>
    </row>
    <row r="189" spans="2:8" ht="15">
      <c r="B189" s="252"/>
      <c r="C189" s="253"/>
      <c r="D189" s="254"/>
      <c r="E189" s="221"/>
      <c r="F189" s="221"/>
      <c r="G189" s="221"/>
      <c r="H189" s="221"/>
    </row>
    <row r="190" spans="2:8" ht="15">
      <c r="B190" s="252"/>
      <c r="C190" s="253"/>
      <c r="D190" s="254"/>
      <c r="E190" s="221"/>
      <c r="F190" s="221"/>
      <c r="G190" s="221"/>
      <c r="H190" s="221"/>
    </row>
    <row r="191" spans="2:8" ht="15">
      <c r="B191" s="252"/>
      <c r="C191" s="253"/>
      <c r="D191" s="254"/>
      <c r="E191" s="221"/>
      <c r="F191" s="221"/>
      <c r="G191" s="221"/>
      <c r="H191" s="221"/>
    </row>
    <row r="192" spans="2:8" ht="15">
      <c r="B192" s="252"/>
      <c r="C192" s="253"/>
      <c r="D192" s="254"/>
      <c r="E192" s="221"/>
      <c r="F192" s="221"/>
      <c r="G192" s="221"/>
      <c r="H192" s="221"/>
    </row>
    <row r="193" spans="2:8" ht="15">
      <c r="B193" s="252"/>
      <c r="C193" s="253"/>
      <c r="D193" s="254"/>
      <c r="E193" s="221"/>
      <c r="F193" s="221"/>
      <c r="G193" s="221"/>
      <c r="H193" s="221"/>
    </row>
    <row r="194" spans="2:8" ht="15">
      <c r="B194" s="252"/>
      <c r="C194" s="253"/>
      <c r="D194" s="254"/>
      <c r="E194" s="221"/>
      <c r="F194" s="221"/>
      <c r="G194" s="221"/>
      <c r="H194" s="221"/>
    </row>
    <row r="195" spans="2:8" ht="15">
      <c r="B195" s="252"/>
      <c r="C195" s="253"/>
      <c r="D195" s="254"/>
      <c r="E195" s="221"/>
      <c r="F195" s="221"/>
      <c r="G195" s="221"/>
      <c r="H195" s="221"/>
    </row>
    <row r="196" spans="2:8" ht="15">
      <c r="B196" s="252"/>
      <c r="C196" s="253"/>
      <c r="D196" s="254"/>
      <c r="E196" s="221"/>
      <c r="F196" s="221"/>
      <c r="G196" s="221"/>
      <c r="H196" s="221"/>
    </row>
    <row r="197" spans="2:8" ht="15">
      <c r="B197" s="252"/>
      <c r="C197" s="253"/>
      <c r="D197" s="254"/>
      <c r="E197" s="221"/>
      <c r="F197" s="221"/>
      <c r="G197" s="221"/>
      <c r="H197" s="221"/>
    </row>
    <row r="198" spans="2:8" ht="15">
      <c r="B198" s="252"/>
      <c r="C198" s="253"/>
      <c r="D198" s="254"/>
      <c r="E198" s="221"/>
      <c r="F198" s="221"/>
      <c r="G198" s="221"/>
      <c r="H198" s="221"/>
    </row>
    <row r="199" spans="2:8" ht="15">
      <c r="B199" s="252"/>
      <c r="C199" s="253"/>
      <c r="D199" s="254"/>
      <c r="E199" s="221"/>
      <c r="F199" s="221"/>
      <c r="G199" s="221"/>
      <c r="H199" s="221"/>
    </row>
    <row r="200" spans="2:8" ht="15">
      <c r="B200" s="252"/>
      <c r="C200" s="253"/>
      <c r="D200" s="254"/>
      <c r="E200" s="221"/>
      <c r="F200" s="221"/>
      <c r="G200" s="221"/>
      <c r="H200" s="221"/>
    </row>
    <row r="201" spans="2:8" ht="15">
      <c r="B201" s="252"/>
      <c r="C201" s="253"/>
      <c r="D201" s="254"/>
      <c r="E201" s="221"/>
      <c r="F201" s="221"/>
      <c r="G201" s="221"/>
      <c r="H201" s="221"/>
    </row>
    <row r="202" spans="2:8" ht="15">
      <c r="B202" s="252"/>
      <c r="C202" s="253"/>
      <c r="D202" s="254"/>
      <c r="E202" s="221"/>
      <c r="F202" s="221"/>
      <c r="G202" s="221"/>
      <c r="H202" s="221"/>
    </row>
    <row r="203" spans="2:8" ht="15">
      <c r="B203" s="252"/>
      <c r="C203" s="253"/>
      <c r="D203" s="254"/>
      <c r="E203" s="221"/>
      <c r="F203" s="221"/>
      <c r="G203" s="221"/>
      <c r="H203" s="221"/>
    </row>
    <row r="204" spans="2:8" ht="15">
      <c r="B204" s="252"/>
      <c r="C204" s="253"/>
      <c r="D204" s="254"/>
      <c r="E204" s="221"/>
      <c r="F204" s="221"/>
      <c r="G204" s="221"/>
      <c r="H204" s="221"/>
    </row>
    <row r="205" spans="2:8" ht="15">
      <c r="B205" s="252"/>
      <c r="C205" s="253"/>
      <c r="D205" s="254"/>
      <c r="E205" s="221"/>
      <c r="F205" s="221"/>
      <c r="G205" s="221"/>
      <c r="H205" s="221"/>
    </row>
    <row r="206" spans="2:8" ht="15">
      <c r="B206" s="252"/>
      <c r="C206" s="253"/>
      <c r="D206" s="254"/>
      <c r="E206" s="221"/>
      <c r="F206" s="221"/>
      <c r="G206" s="221"/>
      <c r="H206" s="221"/>
    </row>
    <row r="207" spans="2:8" ht="15">
      <c r="B207" s="252"/>
      <c r="C207" s="253"/>
      <c r="D207" s="254"/>
      <c r="E207" s="221"/>
      <c r="F207" s="221"/>
      <c r="G207" s="221"/>
      <c r="H207" s="221"/>
    </row>
    <row r="208" spans="2:8" ht="15">
      <c r="B208" s="252"/>
      <c r="C208" s="253"/>
      <c r="D208" s="254"/>
      <c r="E208" s="255"/>
      <c r="F208" s="255"/>
      <c r="G208" s="255"/>
      <c r="H208" s="255"/>
    </row>
    <row r="209" spans="2:8" ht="15">
      <c r="B209" s="252"/>
      <c r="C209" s="253"/>
      <c r="D209" s="254"/>
      <c r="E209" s="255"/>
      <c r="F209" s="255"/>
      <c r="G209" s="255"/>
      <c r="H209" s="255"/>
    </row>
    <row r="210" spans="2:8" ht="15">
      <c r="B210" s="252"/>
      <c r="C210" s="253"/>
      <c r="D210" s="254"/>
      <c r="E210" s="255"/>
      <c r="F210" s="255"/>
      <c r="G210" s="255"/>
      <c r="H210" s="255"/>
    </row>
    <row r="211" spans="2:8" ht="15">
      <c r="B211" s="252"/>
      <c r="C211" s="253"/>
      <c r="D211" s="254"/>
      <c r="E211" s="255"/>
      <c r="F211" s="255"/>
      <c r="G211" s="255"/>
      <c r="H211" s="255"/>
    </row>
    <row r="212" spans="2:8" ht="15">
      <c r="B212" s="252"/>
      <c r="C212" s="253"/>
      <c r="D212" s="254"/>
      <c r="E212" s="255"/>
      <c r="F212" s="255"/>
      <c r="G212" s="255"/>
      <c r="H212" s="255"/>
    </row>
    <row r="213" spans="2:8" ht="15">
      <c r="B213" s="252"/>
      <c r="C213" s="253"/>
      <c r="D213" s="254"/>
      <c r="E213" s="255"/>
      <c r="F213" s="255"/>
      <c r="G213" s="255"/>
      <c r="H213" s="255"/>
    </row>
    <row r="214" spans="2:8" ht="15">
      <c r="B214" s="252"/>
      <c r="C214" s="253"/>
      <c r="D214" s="254"/>
      <c r="E214" s="255"/>
      <c r="F214" s="255"/>
      <c r="G214" s="255"/>
      <c r="H214" s="255"/>
    </row>
    <row r="215" spans="2:8" ht="15">
      <c r="B215" s="252"/>
      <c r="C215" s="253"/>
      <c r="D215" s="254"/>
      <c r="E215" s="255"/>
      <c r="F215" s="255"/>
      <c r="G215" s="255"/>
      <c r="H215" s="255"/>
    </row>
    <row r="216" spans="2:8" ht="15">
      <c r="B216" s="252"/>
      <c r="C216" s="253"/>
      <c r="D216" s="254"/>
      <c r="E216" s="255"/>
      <c r="F216" s="255"/>
      <c r="G216" s="255"/>
      <c r="H216" s="255"/>
    </row>
    <row r="217" spans="2:8" ht="15">
      <c r="B217" s="252"/>
      <c r="C217" s="253"/>
      <c r="D217" s="254"/>
      <c r="E217" s="255"/>
      <c r="F217" s="255"/>
      <c r="G217" s="255"/>
      <c r="H217" s="255"/>
    </row>
    <row r="218" spans="2:8" ht="15">
      <c r="B218" s="252"/>
      <c r="C218" s="253"/>
      <c r="D218" s="254"/>
      <c r="E218" s="255"/>
      <c r="F218" s="255"/>
      <c r="G218" s="255"/>
      <c r="H218" s="255"/>
    </row>
    <row r="219" spans="2:8" ht="15">
      <c r="B219" s="252"/>
      <c r="C219" s="253"/>
      <c r="D219" s="254"/>
      <c r="E219" s="255"/>
      <c r="F219" s="255"/>
      <c r="G219" s="255"/>
      <c r="H219" s="255"/>
    </row>
    <row r="220" spans="2:8" ht="15">
      <c r="B220" s="252"/>
      <c r="C220" s="253"/>
      <c r="D220" s="254"/>
      <c r="E220" s="255"/>
      <c r="F220" s="255"/>
      <c r="G220" s="255"/>
      <c r="H220" s="255"/>
    </row>
    <row r="221" spans="2:8" ht="15">
      <c r="B221" s="252"/>
      <c r="C221" s="253"/>
      <c r="D221" s="254"/>
      <c r="E221" s="255"/>
      <c r="F221" s="255"/>
      <c r="G221" s="255"/>
      <c r="H221" s="255"/>
    </row>
    <row r="222" spans="2:8" ht="15">
      <c r="B222" s="252"/>
      <c r="C222" s="253"/>
      <c r="D222" s="254"/>
      <c r="E222" s="255"/>
      <c r="F222" s="255"/>
      <c r="G222" s="255"/>
      <c r="H222" s="255"/>
    </row>
    <row r="223" spans="2:8" ht="15">
      <c r="B223" s="252"/>
      <c r="C223" s="253"/>
      <c r="D223" s="254"/>
      <c r="E223" s="255"/>
      <c r="F223" s="255"/>
      <c r="G223" s="255"/>
      <c r="H223" s="255"/>
    </row>
    <row r="224" spans="2:8" ht="15">
      <c r="B224" s="252"/>
      <c r="C224" s="253"/>
      <c r="D224" s="254"/>
      <c r="E224" s="255"/>
      <c r="F224" s="255"/>
      <c r="G224" s="255"/>
      <c r="H224" s="255"/>
    </row>
    <row r="225" spans="2:8">
      <c r="B225" s="256"/>
      <c r="C225" s="257"/>
      <c r="D225" s="258"/>
      <c r="E225" s="255"/>
      <c r="F225" s="255"/>
      <c r="G225" s="255"/>
      <c r="H225" s="255"/>
    </row>
    <row r="226" spans="2:8">
      <c r="B226" s="256"/>
      <c r="C226" s="257"/>
      <c r="D226" s="258"/>
      <c r="E226" s="255"/>
      <c r="F226" s="255"/>
      <c r="G226" s="255"/>
      <c r="H226" s="255"/>
    </row>
    <row r="227" spans="2:8">
      <c r="B227" s="256"/>
      <c r="C227" s="257"/>
      <c r="D227" s="258"/>
      <c r="E227" s="255"/>
      <c r="F227" s="255"/>
      <c r="G227" s="255"/>
      <c r="H227" s="255"/>
    </row>
    <row r="228" spans="2:8">
      <c r="B228" s="256"/>
      <c r="C228" s="257"/>
      <c r="D228" s="258"/>
      <c r="E228" s="255"/>
      <c r="F228" s="255"/>
      <c r="G228" s="255"/>
      <c r="H228" s="255"/>
    </row>
    <row r="229" spans="2:8">
      <c r="B229" s="256"/>
      <c r="C229" s="257"/>
      <c r="D229" s="258"/>
      <c r="E229" s="255"/>
      <c r="F229" s="255"/>
      <c r="G229" s="255"/>
      <c r="H229" s="255"/>
    </row>
    <row r="230" spans="2:8">
      <c r="B230" s="256"/>
      <c r="C230" s="257"/>
      <c r="D230" s="258"/>
      <c r="E230" s="255"/>
      <c r="F230" s="255"/>
      <c r="G230" s="255"/>
      <c r="H230" s="255"/>
    </row>
    <row r="231" spans="2:8">
      <c r="B231" s="256"/>
      <c r="C231" s="257"/>
      <c r="D231" s="258"/>
      <c r="E231" s="255"/>
      <c r="F231" s="255"/>
      <c r="G231" s="255"/>
      <c r="H231" s="255"/>
    </row>
    <row r="232" spans="2:8">
      <c r="B232" s="256"/>
      <c r="C232" s="257"/>
      <c r="D232" s="258"/>
      <c r="E232" s="255"/>
      <c r="F232" s="255"/>
      <c r="G232" s="255"/>
      <c r="H232" s="255"/>
    </row>
    <row r="233" spans="2:8">
      <c r="B233" s="256"/>
      <c r="C233" s="257"/>
      <c r="D233" s="258"/>
      <c r="E233" s="255"/>
      <c r="F233" s="255"/>
      <c r="G233" s="255"/>
      <c r="H233" s="255"/>
    </row>
    <row r="234" spans="2:8">
      <c r="B234" s="256"/>
      <c r="C234" s="257"/>
      <c r="D234" s="258"/>
      <c r="E234" s="255"/>
      <c r="F234" s="255"/>
      <c r="G234" s="255"/>
      <c r="H234" s="255"/>
    </row>
    <row r="235" spans="2:8">
      <c r="B235" s="256"/>
      <c r="C235" s="257"/>
      <c r="D235" s="258"/>
      <c r="E235" s="255"/>
      <c r="F235" s="255"/>
      <c r="G235" s="255"/>
      <c r="H235" s="255"/>
    </row>
    <row r="236" spans="2:8">
      <c r="B236" s="256"/>
      <c r="C236" s="257"/>
      <c r="D236" s="258"/>
      <c r="E236" s="255"/>
      <c r="F236" s="255"/>
      <c r="G236" s="255"/>
      <c r="H236" s="255"/>
    </row>
    <row r="237" spans="2:8">
      <c r="B237" s="256"/>
      <c r="C237" s="257"/>
      <c r="D237" s="258"/>
      <c r="E237" s="255"/>
      <c r="F237" s="255"/>
      <c r="G237" s="255"/>
      <c r="H237" s="255"/>
    </row>
    <row r="238" spans="2:8">
      <c r="B238" s="256"/>
      <c r="C238" s="257"/>
      <c r="D238" s="258"/>
      <c r="E238" s="255"/>
      <c r="F238" s="255"/>
      <c r="G238" s="255"/>
      <c r="H238" s="255"/>
    </row>
    <row r="239" spans="2:8">
      <c r="B239" s="256"/>
      <c r="C239" s="257"/>
      <c r="D239" s="258"/>
      <c r="E239" s="255"/>
      <c r="F239" s="255"/>
      <c r="G239" s="255"/>
      <c r="H239" s="255"/>
    </row>
    <row r="240" spans="2:8">
      <c r="B240" s="256"/>
      <c r="C240" s="257"/>
      <c r="D240" s="258"/>
      <c r="E240" s="255"/>
      <c r="F240" s="255"/>
      <c r="G240" s="255"/>
      <c r="H240" s="255"/>
    </row>
    <row r="241" spans="2:8">
      <c r="B241" s="256"/>
      <c r="C241" s="257"/>
      <c r="D241" s="258"/>
      <c r="E241" s="255"/>
      <c r="F241" s="255"/>
      <c r="G241" s="255"/>
      <c r="H241" s="255"/>
    </row>
    <row r="242" spans="2:8">
      <c r="B242" s="256"/>
      <c r="C242" s="257"/>
      <c r="D242" s="258"/>
      <c r="E242" s="255"/>
      <c r="F242" s="255"/>
      <c r="G242" s="255"/>
      <c r="H242" s="255"/>
    </row>
    <row r="243" spans="2:8">
      <c r="B243" s="256"/>
      <c r="C243" s="257"/>
      <c r="D243" s="258"/>
      <c r="E243" s="255"/>
      <c r="F243" s="255"/>
      <c r="G243" s="255"/>
      <c r="H243" s="255"/>
    </row>
    <row r="244" spans="2:8">
      <c r="B244" s="256"/>
      <c r="C244" s="257"/>
      <c r="D244" s="258"/>
      <c r="E244" s="255"/>
      <c r="F244" s="255"/>
      <c r="G244" s="255"/>
      <c r="H244" s="255"/>
    </row>
    <row r="245" spans="2:8">
      <c r="B245" s="256"/>
      <c r="C245" s="257"/>
      <c r="D245" s="258"/>
      <c r="E245" s="255"/>
      <c r="F245" s="255"/>
      <c r="G245" s="255"/>
      <c r="H245" s="255"/>
    </row>
    <row r="246" spans="2:8">
      <c r="B246" s="256"/>
      <c r="C246" s="257"/>
      <c r="D246" s="258"/>
      <c r="E246" s="255"/>
      <c r="F246" s="255"/>
      <c r="G246" s="255"/>
      <c r="H246" s="255"/>
    </row>
    <row r="247" spans="2:8">
      <c r="B247" s="256"/>
      <c r="C247" s="257"/>
      <c r="D247" s="258"/>
      <c r="E247" s="255"/>
      <c r="F247" s="255"/>
      <c r="G247" s="255"/>
      <c r="H247" s="255"/>
    </row>
    <row r="248" spans="2:8">
      <c r="B248" s="256"/>
      <c r="C248" s="257"/>
      <c r="D248" s="258"/>
      <c r="E248" s="255"/>
      <c r="F248" s="255"/>
      <c r="G248" s="255"/>
      <c r="H248" s="255"/>
    </row>
    <row r="249" spans="2:8">
      <c r="B249" s="256"/>
      <c r="C249" s="257"/>
      <c r="D249" s="258"/>
      <c r="E249" s="255"/>
      <c r="F249" s="255"/>
      <c r="G249" s="255"/>
      <c r="H249" s="255"/>
    </row>
    <row r="250" spans="2:8">
      <c r="B250" s="256"/>
      <c r="C250" s="257"/>
      <c r="D250" s="258"/>
      <c r="E250" s="255"/>
      <c r="F250" s="255"/>
      <c r="G250" s="255"/>
      <c r="H250" s="255"/>
    </row>
    <row r="251" spans="2:8">
      <c r="B251" s="256"/>
      <c r="C251" s="257"/>
      <c r="D251" s="258"/>
      <c r="E251" s="255"/>
      <c r="F251" s="255"/>
      <c r="G251" s="255"/>
      <c r="H251" s="255"/>
    </row>
    <row r="252" spans="2:8">
      <c r="B252" s="256"/>
      <c r="C252" s="257"/>
      <c r="D252" s="258"/>
      <c r="E252" s="255"/>
      <c r="F252" s="255"/>
      <c r="G252" s="255"/>
      <c r="H252" s="255"/>
    </row>
    <row r="253" spans="2:8">
      <c r="B253" s="256"/>
      <c r="C253" s="257"/>
      <c r="D253" s="258"/>
      <c r="E253" s="255"/>
      <c r="F253" s="255"/>
      <c r="G253" s="255"/>
      <c r="H253" s="255"/>
    </row>
    <row r="254" spans="2:8">
      <c r="B254" s="256"/>
      <c r="C254" s="257"/>
      <c r="D254" s="258"/>
      <c r="E254" s="255"/>
      <c r="F254" s="255"/>
      <c r="G254" s="255"/>
      <c r="H254" s="255"/>
    </row>
    <row r="255" spans="2:8">
      <c r="B255" s="256"/>
      <c r="C255" s="257"/>
      <c r="D255" s="258"/>
      <c r="E255" s="255"/>
      <c r="F255" s="255"/>
      <c r="G255" s="255"/>
      <c r="H255" s="255"/>
    </row>
    <row r="256" spans="2:8">
      <c r="B256" s="256"/>
      <c r="C256" s="257"/>
      <c r="D256" s="258"/>
      <c r="E256" s="255"/>
      <c r="F256" s="255"/>
      <c r="G256" s="255"/>
      <c r="H256" s="255"/>
    </row>
    <row r="257" spans="2:8">
      <c r="B257" s="256"/>
      <c r="C257" s="257"/>
      <c r="D257" s="258"/>
      <c r="E257" s="255"/>
      <c r="F257" s="255"/>
      <c r="G257" s="255"/>
      <c r="H257" s="255"/>
    </row>
    <row r="258" spans="2:8">
      <c r="B258" s="256"/>
      <c r="C258" s="257"/>
      <c r="D258" s="258"/>
      <c r="E258" s="255"/>
      <c r="F258" s="255"/>
      <c r="G258" s="255"/>
      <c r="H258" s="255"/>
    </row>
    <row r="259" spans="2:8">
      <c r="B259" s="256"/>
      <c r="C259" s="257"/>
      <c r="D259" s="258"/>
      <c r="E259" s="255"/>
      <c r="F259" s="255"/>
      <c r="G259" s="255"/>
      <c r="H259" s="255"/>
    </row>
    <row r="260" spans="2:8">
      <c r="B260" s="256"/>
      <c r="C260" s="257"/>
      <c r="D260" s="258"/>
      <c r="E260" s="255"/>
      <c r="F260" s="255"/>
      <c r="G260" s="255"/>
      <c r="H260" s="255"/>
    </row>
    <row r="261" spans="2:8">
      <c r="B261" s="256"/>
      <c r="C261" s="257"/>
      <c r="D261" s="258"/>
      <c r="E261" s="255"/>
      <c r="F261" s="255"/>
      <c r="G261" s="255"/>
      <c r="H261" s="255"/>
    </row>
    <row r="262" spans="2:8">
      <c r="B262" s="256"/>
      <c r="C262" s="257"/>
      <c r="D262" s="258"/>
      <c r="E262" s="255"/>
      <c r="F262" s="255"/>
      <c r="G262" s="255"/>
      <c r="H262" s="255"/>
    </row>
    <row r="263" spans="2:8">
      <c r="B263" s="256"/>
      <c r="C263" s="257"/>
      <c r="D263" s="258"/>
      <c r="E263" s="255"/>
      <c r="F263" s="255"/>
      <c r="G263" s="255"/>
      <c r="H263" s="255"/>
    </row>
    <row r="264" spans="2:8">
      <c r="B264" s="256"/>
      <c r="C264" s="257"/>
      <c r="D264" s="258"/>
      <c r="E264" s="255"/>
      <c r="F264" s="255"/>
      <c r="G264" s="255"/>
      <c r="H264" s="255"/>
    </row>
    <row r="265" spans="2:8">
      <c r="B265" s="256"/>
      <c r="C265" s="257"/>
      <c r="D265" s="258"/>
      <c r="E265" s="255"/>
      <c r="F265" s="255"/>
      <c r="G265" s="255"/>
      <c r="H265" s="255"/>
    </row>
    <row r="266" spans="2:8">
      <c r="B266" s="256"/>
      <c r="C266" s="257"/>
      <c r="D266" s="258"/>
      <c r="E266" s="255"/>
      <c r="F266" s="255"/>
      <c r="G266" s="255"/>
      <c r="H266" s="255"/>
    </row>
    <row r="267" spans="2:8">
      <c r="B267" s="256"/>
      <c r="C267" s="257"/>
      <c r="D267" s="258"/>
      <c r="E267" s="255"/>
      <c r="F267" s="255"/>
      <c r="G267" s="255"/>
      <c r="H267" s="255"/>
    </row>
    <row r="268" spans="2:8">
      <c r="B268" s="256"/>
      <c r="C268" s="257"/>
      <c r="D268" s="258"/>
      <c r="E268" s="255"/>
      <c r="F268" s="255"/>
      <c r="G268" s="255"/>
      <c r="H268" s="255"/>
    </row>
    <row r="269" spans="2:8">
      <c r="B269" s="256"/>
      <c r="C269" s="257"/>
      <c r="D269" s="258"/>
      <c r="E269" s="255"/>
      <c r="F269" s="255"/>
      <c r="G269" s="255"/>
      <c r="H269" s="255"/>
    </row>
    <row r="270" spans="2:8">
      <c r="B270" s="256"/>
      <c r="C270" s="257"/>
      <c r="D270" s="258"/>
      <c r="E270" s="255"/>
      <c r="F270" s="255"/>
      <c r="G270" s="255"/>
      <c r="H270" s="255"/>
    </row>
    <row r="271" spans="2:8">
      <c r="B271" s="256"/>
      <c r="C271" s="257"/>
      <c r="D271" s="258"/>
      <c r="E271" s="255"/>
      <c r="F271" s="255"/>
      <c r="G271" s="255"/>
      <c r="H271" s="255"/>
    </row>
    <row r="272" spans="2:8">
      <c r="B272" s="256"/>
      <c r="C272" s="257"/>
      <c r="D272" s="258"/>
      <c r="E272" s="255"/>
      <c r="F272" s="255"/>
      <c r="G272" s="255"/>
      <c r="H272" s="255"/>
    </row>
    <row r="273" spans="2:8">
      <c r="B273" s="256"/>
      <c r="C273" s="257"/>
      <c r="D273" s="258"/>
      <c r="E273" s="255"/>
      <c r="F273" s="255"/>
      <c r="G273" s="255"/>
      <c r="H273" s="255"/>
    </row>
    <row r="274" spans="2:8">
      <c r="B274" s="256"/>
      <c r="C274" s="257"/>
      <c r="D274" s="258"/>
      <c r="E274" s="255"/>
      <c r="F274" s="255"/>
      <c r="G274" s="255"/>
      <c r="H274" s="255"/>
    </row>
    <row r="275" spans="2:8">
      <c r="B275" s="256"/>
      <c r="C275" s="257"/>
      <c r="D275" s="258"/>
      <c r="E275" s="255"/>
      <c r="F275" s="255"/>
      <c r="G275" s="255"/>
      <c r="H275" s="255"/>
    </row>
    <row r="276" spans="2:8">
      <c r="B276" s="256"/>
      <c r="C276" s="257"/>
      <c r="D276" s="258"/>
      <c r="E276" s="255"/>
      <c r="F276" s="255"/>
      <c r="G276" s="255"/>
      <c r="H276" s="255"/>
    </row>
    <row r="277" spans="2:8">
      <c r="B277" s="256"/>
      <c r="C277" s="257"/>
      <c r="D277" s="258"/>
      <c r="E277" s="255"/>
      <c r="F277" s="255"/>
      <c r="G277" s="255"/>
      <c r="H277" s="255"/>
    </row>
    <row r="278" spans="2:8">
      <c r="B278" s="256"/>
      <c r="C278" s="257"/>
      <c r="D278" s="258"/>
      <c r="E278" s="255"/>
      <c r="F278" s="255"/>
      <c r="G278" s="255"/>
      <c r="H278" s="255"/>
    </row>
    <row r="279" spans="2:8">
      <c r="B279" s="256"/>
      <c r="C279" s="257"/>
      <c r="D279" s="258"/>
      <c r="E279" s="255"/>
      <c r="F279" s="255"/>
      <c r="G279" s="255"/>
      <c r="H279" s="255"/>
    </row>
    <row r="280" spans="2:8">
      <c r="B280" s="256"/>
      <c r="C280" s="257"/>
      <c r="D280" s="258"/>
      <c r="E280" s="255"/>
      <c r="F280" s="255"/>
      <c r="G280" s="255"/>
      <c r="H280" s="255"/>
    </row>
    <row r="281" spans="2:8">
      <c r="B281" s="256"/>
      <c r="C281" s="257"/>
      <c r="D281" s="258"/>
      <c r="E281" s="255"/>
      <c r="F281" s="255"/>
      <c r="G281" s="255"/>
      <c r="H281" s="255"/>
    </row>
    <row r="282" spans="2:8">
      <c r="B282" s="256"/>
      <c r="C282" s="257"/>
      <c r="D282" s="258"/>
      <c r="E282" s="255"/>
      <c r="F282" s="255"/>
      <c r="G282" s="255"/>
      <c r="H282" s="255"/>
    </row>
    <row r="283" spans="2:8">
      <c r="B283" s="256"/>
      <c r="C283" s="257"/>
      <c r="D283" s="258"/>
      <c r="E283" s="255"/>
      <c r="F283" s="255"/>
      <c r="G283" s="255"/>
      <c r="H283" s="255"/>
    </row>
    <row r="284" spans="2:8">
      <c r="B284" s="256"/>
      <c r="C284" s="257"/>
      <c r="D284" s="258"/>
      <c r="E284" s="255"/>
      <c r="F284" s="255"/>
      <c r="G284" s="255"/>
      <c r="H284" s="255"/>
    </row>
    <row r="285" spans="2:8">
      <c r="B285" s="256"/>
      <c r="C285" s="257"/>
      <c r="D285" s="258"/>
      <c r="E285" s="255"/>
      <c r="F285" s="255"/>
      <c r="G285" s="255"/>
      <c r="H285" s="255"/>
    </row>
    <row r="286" spans="2:8">
      <c r="B286" s="256"/>
      <c r="C286" s="257"/>
      <c r="D286" s="258"/>
      <c r="E286" s="255"/>
      <c r="F286" s="255"/>
      <c r="G286" s="255"/>
      <c r="H286" s="255"/>
    </row>
    <row r="287" spans="2:8">
      <c r="B287" s="256"/>
      <c r="C287" s="257"/>
      <c r="D287" s="258"/>
      <c r="E287" s="255"/>
      <c r="F287" s="255"/>
      <c r="G287" s="255"/>
      <c r="H287" s="255"/>
    </row>
    <row r="288" spans="2:8">
      <c r="B288" s="256"/>
      <c r="C288" s="257"/>
      <c r="D288" s="258"/>
      <c r="E288" s="255"/>
      <c r="F288" s="255"/>
      <c r="G288" s="255"/>
      <c r="H288" s="255"/>
    </row>
    <row r="289" spans="2:8">
      <c r="B289" s="256"/>
      <c r="C289" s="257"/>
      <c r="D289" s="258"/>
      <c r="E289" s="255"/>
      <c r="F289" s="255"/>
      <c r="G289" s="255"/>
      <c r="H289" s="255"/>
    </row>
    <row r="290" spans="2:8">
      <c r="B290" s="256"/>
      <c r="C290" s="257"/>
      <c r="D290" s="258"/>
      <c r="E290" s="255"/>
      <c r="F290" s="255"/>
      <c r="G290" s="255"/>
      <c r="H290" s="255"/>
    </row>
    <row r="291" spans="2:8">
      <c r="B291" s="256"/>
      <c r="C291" s="257"/>
      <c r="D291" s="258"/>
      <c r="E291" s="255"/>
      <c r="F291" s="255"/>
      <c r="G291" s="255"/>
      <c r="H291" s="255"/>
    </row>
    <row r="292" spans="2:8">
      <c r="B292" s="256"/>
      <c r="C292" s="257"/>
      <c r="D292" s="258"/>
      <c r="E292" s="255"/>
      <c r="F292" s="255"/>
      <c r="G292" s="255"/>
      <c r="H292" s="255"/>
    </row>
    <row r="293" spans="2:8">
      <c r="B293" s="256"/>
      <c r="C293" s="257"/>
      <c r="D293" s="258"/>
      <c r="E293" s="255"/>
      <c r="F293" s="255"/>
      <c r="G293" s="255"/>
      <c r="H293" s="255"/>
    </row>
    <row r="294" spans="2:8">
      <c r="B294" s="256"/>
      <c r="C294" s="257"/>
      <c r="D294" s="258"/>
      <c r="E294" s="255"/>
      <c r="F294" s="255"/>
      <c r="G294" s="255"/>
      <c r="H294" s="255"/>
    </row>
    <row r="295" spans="2:8">
      <c r="B295" s="256"/>
      <c r="C295" s="257"/>
      <c r="D295" s="258"/>
      <c r="E295" s="255"/>
      <c r="F295" s="255"/>
      <c r="G295" s="255"/>
      <c r="H295" s="255"/>
    </row>
    <row r="296" spans="2:8">
      <c r="B296" s="256"/>
      <c r="C296" s="257"/>
      <c r="D296" s="258"/>
      <c r="E296" s="255"/>
      <c r="F296" s="255"/>
      <c r="G296" s="255"/>
      <c r="H296" s="255"/>
    </row>
    <row r="297" spans="2:8">
      <c r="B297" s="256"/>
      <c r="C297" s="257"/>
      <c r="D297" s="258"/>
      <c r="E297" s="255"/>
      <c r="F297" s="255"/>
      <c r="G297" s="255"/>
      <c r="H297" s="255"/>
    </row>
    <row r="298" spans="2:8">
      <c r="B298" s="256"/>
      <c r="C298" s="257"/>
      <c r="D298" s="258"/>
      <c r="E298" s="255"/>
      <c r="F298" s="255"/>
      <c r="G298" s="255"/>
      <c r="H298" s="255"/>
    </row>
    <row r="299" spans="2:8">
      <c r="B299" s="256"/>
      <c r="C299" s="257"/>
      <c r="D299" s="258"/>
      <c r="E299" s="255"/>
      <c r="F299" s="255"/>
      <c r="G299" s="255"/>
      <c r="H299" s="255"/>
    </row>
    <row r="300" spans="2:8">
      <c r="B300" s="256"/>
      <c r="C300" s="257"/>
      <c r="D300" s="258"/>
      <c r="E300" s="255"/>
      <c r="F300" s="255"/>
      <c r="G300" s="255"/>
      <c r="H300" s="255"/>
    </row>
    <row r="301" spans="2:8">
      <c r="B301" s="256"/>
      <c r="C301" s="257"/>
      <c r="D301" s="258"/>
      <c r="E301" s="255"/>
      <c r="F301" s="255"/>
      <c r="G301" s="255"/>
      <c r="H301" s="255"/>
    </row>
    <row r="302" spans="2:8">
      <c r="B302" s="256"/>
      <c r="C302" s="257"/>
      <c r="D302" s="258"/>
      <c r="E302" s="255"/>
      <c r="F302" s="255"/>
      <c r="G302" s="255"/>
      <c r="H302" s="255"/>
    </row>
    <row r="303" spans="2:8">
      <c r="B303" s="256"/>
      <c r="C303" s="257"/>
      <c r="D303" s="258"/>
      <c r="E303" s="255"/>
      <c r="F303" s="255"/>
      <c r="G303" s="255"/>
      <c r="H303" s="255"/>
    </row>
    <row r="304" spans="2:8">
      <c r="B304" s="256"/>
      <c r="C304" s="257"/>
      <c r="D304" s="258"/>
      <c r="E304" s="255"/>
      <c r="F304" s="255"/>
      <c r="G304" s="255"/>
      <c r="H304" s="255"/>
    </row>
    <row r="305" spans="2:8">
      <c r="B305" s="256"/>
      <c r="C305" s="257"/>
      <c r="D305" s="258"/>
      <c r="E305" s="255"/>
      <c r="F305" s="255"/>
      <c r="G305" s="255"/>
      <c r="H305" s="255"/>
    </row>
    <row r="306" spans="2:8">
      <c r="B306" s="256"/>
      <c r="C306" s="257"/>
      <c r="D306" s="258"/>
      <c r="E306" s="255"/>
      <c r="F306" s="255"/>
      <c r="G306" s="255"/>
      <c r="H306" s="255"/>
    </row>
    <row r="307" spans="2:8">
      <c r="B307" s="256"/>
      <c r="C307" s="257"/>
      <c r="D307" s="258"/>
      <c r="E307" s="255"/>
      <c r="F307" s="255"/>
      <c r="G307" s="255"/>
      <c r="H307" s="255"/>
    </row>
    <row r="308" spans="2:8">
      <c r="B308" s="256"/>
      <c r="C308" s="257"/>
      <c r="D308" s="258"/>
      <c r="E308" s="255"/>
      <c r="F308" s="255"/>
      <c r="G308" s="255"/>
      <c r="H308" s="255"/>
    </row>
    <row r="309" spans="2:8">
      <c r="B309" s="256"/>
      <c r="C309" s="257"/>
      <c r="D309" s="258"/>
      <c r="E309" s="255"/>
      <c r="F309" s="255"/>
      <c r="G309" s="255"/>
      <c r="H309" s="255"/>
    </row>
    <row r="310" spans="2:8">
      <c r="B310" s="256"/>
      <c r="C310" s="257"/>
      <c r="D310" s="258"/>
      <c r="E310" s="255"/>
      <c r="F310" s="255"/>
      <c r="G310" s="255"/>
      <c r="H310" s="255"/>
    </row>
    <row r="311" spans="2:8">
      <c r="B311" s="256"/>
      <c r="C311" s="257"/>
      <c r="D311" s="258"/>
      <c r="E311" s="255"/>
      <c r="F311" s="255"/>
      <c r="G311" s="255"/>
      <c r="H311" s="255"/>
    </row>
    <row r="312" spans="2:8">
      <c r="B312" s="256"/>
      <c r="C312" s="257"/>
      <c r="D312" s="258"/>
      <c r="E312" s="255"/>
      <c r="F312" s="255"/>
      <c r="G312" s="255"/>
      <c r="H312" s="255"/>
    </row>
    <row r="313" spans="2:8">
      <c r="B313" s="256"/>
      <c r="C313" s="257"/>
      <c r="D313" s="258"/>
      <c r="E313" s="255"/>
      <c r="F313" s="255"/>
      <c r="G313" s="255"/>
      <c r="H313" s="255"/>
    </row>
    <row r="314" spans="2:8">
      <c r="B314" s="256"/>
      <c r="C314" s="257"/>
      <c r="D314" s="258"/>
      <c r="E314" s="255"/>
      <c r="F314" s="255"/>
      <c r="G314" s="255"/>
      <c r="H314" s="255"/>
    </row>
    <row r="315" spans="2:8">
      <c r="B315" s="256"/>
      <c r="C315" s="257"/>
      <c r="D315" s="258"/>
      <c r="E315" s="255"/>
      <c r="F315" s="255"/>
      <c r="G315" s="255"/>
      <c r="H315" s="255"/>
    </row>
    <row r="316" spans="2:8">
      <c r="B316" s="256"/>
      <c r="C316" s="257"/>
      <c r="D316" s="258"/>
      <c r="E316" s="255"/>
      <c r="F316" s="255"/>
      <c r="G316" s="255"/>
      <c r="H316" s="255"/>
    </row>
    <row r="317" spans="2:8">
      <c r="B317" s="256"/>
      <c r="C317" s="257"/>
      <c r="D317" s="258"/>
      <c r="E317" s="255"/>
      <c r="F317" s="255"/>
      <c r="G317" s="255"/>
      <c r="H317" s="255"/>
    </row>
    <row r="318" spans="2:8">
      <c r="B318" s="256"/>
      <c r="C318" s="257"/>
      <c r="D318" s="258"/>
      <c r="E318" s="255"/>
      <c r="F318" s="255"/>
      <c r="G318" s="255"/>
      <c r="H318" s="255"/>
    </row>
    <row r="319" spans="2:8">
      <c r="B319" s="256"/>
      <c r="C319" s="257"/>
      <c r="D319" s="258"/>
      <c r="E319" s="255"/>
      <c r="F319" s="255"/>
      <c r="G319" s="255"/>
      <c r="H319" s="255"/>
    </row>
    <row r="320" spans="2:8">
      <c r="B320" s="256"/>
      <c r="C320" s="257"/>
      <c r="D320" s="258"/>
      <c r="E320" s="255"/>
      <c r="F320" s="255"/>
      <c r="G320" s="255"/>
      <c r="H320" s="255"/>
    </row>
    <row r="321" spans="2:8">
      <c r="B321" s="256"/>
      <c r="C321" s="257"/>
      <c r="D321" s="258"/>
      <c r="E321" s="255"/>
      <c r="F321" s="255"/>
      <c r="G321" s="255"/>
      <c r="H321" s="255"/>
    </row>
    <row r="322" spans="2:8">
      <c r="B322" s="256"/>
      <c r="C322" s="257"/>
      <c r="D322" s="258"/>
      <c r="E322" s="255"/>
      <c r="F322" s="255"/>
      <c r="G322" s="255"/>
      <c r="H322" s="255"/>
    </row>
    <row r="323" spans="2:8">
      <c r="B323" s="256"/>
      <c r="C323" s="257"/>
      <c r="D323" s="258"/>
      <c r="E323" s="255"/>
      <c r="F323" s="255"/>
      <c r="G323" s="255"/>
      <c r="H323" s="255"/>
    </row>
    <row r="324" spans="2:8">
      <c r="B324" s="256"/>
      <c r="C324" s="257"/>
      <c r="D324" s="258"/>
      <c r="E324" s="255"/>
      <c r="F324" s="255"/>
      <c r="G324" s="255"/>
      <c r="H324" s="255"/>
    </row>
    <row r="325" spans="2:8">
      <c r="B325" s="256"/>
      <c r="C325" s="257"/>
      <c r="D325" s="258"/>
      <c r="E325" s="255"/>
      <c r="F325" s="255"/>
      <c r="G325" s="255"/>
      <c r="H325" s="255"/>
    </row>
    <row r="326" spans="2:8">
      <c r="B326" s="256"/>
      <c r="C326" s="257"/>
      <c r="D326" s="258"/>
      <c r="E326" s="255"/>
      <c r="F326" s="255"/>
      <c r="G326" s="255"/>
      <c r="H326" s="255"/>
    </row>
    <row r="327" spans="2:8">
      <c r="B327" s="256"/>
      <c r="C327" s="257"/>
      <c r="D327" s="258"/>
      <c r="E327" s="255"/>
      <c r="F327" s="255"/>
      <c r="G327" s="255"/>
      <c r="H327" s="255"/>
    </row>
    <row r="328" spans="2:8">
      <c r="B328" s="256"/>
      <c r="C328" s="257"/>
      <c r="D328" s="258"/>
      <c r="E328" s="255"/>
      <c r="F328" s="255"/>
      <c r="G328" s="255"/>
      <c r="H328" s="255"/>
    </row>
    <row r="329" spans="2:8">
      <c r="B329" s="256"/>
      <c r="C329" s="257"/>
      <c r="D329" s="258"/>
      <c r="E329" s="255"/>
      <c r="F329" s="255"/>
      <c r="G329" s="255"/>
      <c r="H329" s="255"/>
    </row>
    <row r="330" spans="2:8">
      <c r="B330" s="256"/>
      <c r="C330" s="257"/>
      <c r="D330" s="258"/>
      <c r="E330" s="255"/>
      <c r="F330" s="255"/>
      <c r="G330" s="255"/>
      <c r="H330" s="255"/>
    </row>
    <row r="331" spans="2:8">
      <c r="B331" s="256"/>
      <c r="C331" s="257"/>
      <c r="D331" s="258"/>
      <c r="E331" s="255"/>
      <c r="F331" s="255"/>
      <c r="G331" s="255"/>
      <c r="H331" s="255"/>
    </row>
    <row r="332" spans="2:8">
      <c r="B332" s="256"/>
      <c r="C332" s="257"/>
      <c r="D332" s="258"/>
      <c r="E332" s="255"/>
      <c r="F332" s="255"/>
      <c r="G332" s="255"/>
      <c r="H332" s="255"/>
    </row>
    <row r="333" spans="2:8">
      <c r="B333" s="256"/>
      <c r="C333" s="257"/>
      <c r="D333" s="258"/>
      <c r="E333" s="255"/>
      <c r="F333" s="255"/>
      <c r="G333" s="255"/>
      <c r="H333" s="255"/>
    </row>
    <row r="334" spans="2:8">
      <c r="B334" s="256"/>
      <c r="C334" s="257"/>
      <c r="D334" s="258"/>
      <c r="E334" s="255"/>
      <c r="F334" s="255"/>
      <c r="G334" s="255"/>
      <c r="H334" s="255"/>
    </row>
    <row r="335" spans="2:8">
      <c r="B335" s="256"/>
      <c r="C335" s="257"/>
      <c r="D335" s="258"/>
      <c r="E335" s="255"/>
      <c r="F335" s="255"/>
      <c r="G335" s="255"/>
      <c r="H335" s="255"/>
    </row>
    <row r="336" spans="2:8">
      <c r="B336" s="256"/>
      <c r="C336" s="257"/>
      <c r="D336" s="258"/>
      <c r="E336" s="255"/>
      <c r="F336" s="255"/>
      <c r="G336" s="255"/>
      <c r="H336" s="255"/>
    </row>
    <row r="337" spans="2:8">
      <c r="B337" s="256"/>
      <c r="C337" s="257"/>
      <c r="D337" s="258"/>
      <c r="E337" s="255"/>
      <c r="F337" s="255"/>
      <c r="G337" s="255"/>
      <c r="H337" s="255"/>
    </row>
    <row r="338" spans="2:8">
      <c r="B338" s="256"/>
      <c r="C338" s="257"/>
      <c r="D338" s="258"/>
      <c r="E338" s="255"/>
      <c r="F338" s="255"/>
      <c r="G338" s="255"/>
      <c r="H338" s="255"/>
    </row>
    <row r="339" spans="2:8">
      <c r="B339" s="256"/>
      <c r="C339" s="257"/>
      <c r="D339" s="258"/>
      <c r="E339" s="255"/>
      <c r="F339" s="255"/>
      <c r="G339" s="255"/>
      <c r="H339" s="255"/>
    </row>
    <row r="340" spans="2:8">
      <c r="B340" s="256"/>
      <c r="C340" s="257"/>
      <c r="D340" s="258"/>
      <c r="E340" s="255"/>
      <c r="F340" s="255"/>
      <c r="G340" s="255"/>
      <c r="H340" s="255"/>
    </row>
    <row r="341" spans="2:8">
      <c r="B341" s="256"/>
      <c r="C341" s="257"/>
      <c r="D341" s="258"/>
      <c r="E341" s="255"/>
      <c r="F341" s="255"/>
      <c r="G341" s="255"/>
      <c r="H341" s="255"/>
    </row>
    <row r="342" spans="2:8">
      <c r="B342" s="256"/>
      <c r="C342" s="257"/>
      <c r="D342" s="258"/>
      <c r="E342" s="255"/>
      <c r="F342" s="255"/>
      <c r="G342" s="255"/>
      <c r="H342" s="255"/>
    </row>
    <row r="343" spans="2:8">
      <c r="B343" s="256"/>
      <c r="C343" s="257"/>
      <c r="D343" s="258"/>
      <c r="E343" s="255"/>
      <c r="F343" s="255"/>
      <c r="G343" s="255"/>
      <c r="H343" s="255"/>
    </row>
    <row r="344" spans="2:8">
      <c r="B344" s="256"/>
      <c r="C344" s="257"/>
      <c r="D344" s="258"/>
      <c r="E344" s="255"/>
      <c r="F344" s="255"/>
      <c r="G344" s="255"/>
      <c r="H344" s="255"/>
    </row>
    <row r="345" spans="2:8">
      <c r="B345" s="256"/>
      <c r="C345" s="257"/>
      <c r="D345" s="258"/>
      <c r="E345" s="255"/>
      <c r="F345" s="255"/>
      <c r="G345" s="255"/>
      <c r="H345" s="255"/>
    </row>
    <row r="346" spans="2:8">
      <c r="B346" s="256"/>
      <c r="C346" s="257"/>
      <c r="D346" s="258"/>
      <c r="E346" s="255"/>
      <c r="F346" s="255"/>
      <c r="G346" s="255"/>
      <c r="H346" s="255"/>
    </row>
    <row r="347" spans="2:8">
      <c r="B347" s="256"/>
      <c r="C347" s="257"/>
      <c r="D347" s="258"/>
      <c r="E347" s="255"/>
      <c r="F347" s="255"/>
      <c r="G347" s="255"/>
      <c r="H347" s="255"/>
    </row>
    <row r="348" spans="2:8">
      <c r="B348" s="256"/>
      <c r="C348" s="257"/>
      <c r="D348" s="258"/>
      <c r="E348" s="255"/>
      <c r="F348" s="255"/>
      <c r="G348" s="255"/>
      <c r="H348" s="255"/>
    </row>
    <row r="349" spans="2:8">
      <c r="B349" s="256"/>
      <c r="C349" s="257"/>
      <c r="D349" s="258"/>
      <c r="E349" s="255"/>
      <c r="F349" s="255"/>
      <c r="G349" s="255"/>
      <c r="H349" s="255"/>
    </row>
    <row r="350" spans="2:8">
      <c r="B350" s="256"/>
      <c r="C350" s="257"/>
      <c r="D350" s="258"/>
      <c r="E350" s="255"/>
      <c r="F350" s="255"/>
      <c r="G350" s="255"/>
      <c r="H350" s="255"/>
    </row>
    <row r="351" spans="2:8">
      <c r="B351" s="256"/>
      <c r="C351" s="257"/>
      <c r="D351" s="258"/>
      <c r="E351" s="255"/>
      <c r="F351" s="255"/>
      <c r="G351" s="255"/>
      <c r="H351" s="255"/>
    </row>
    <row r="352" spans="2:8">
      <c r="B352" s="256"/>
      <c r="C352" s="257"/>
      <c r="D352" s="258"/>
      <c r="E352" s="255"/>
      <c r="F352" s="255"/>
      <c r="G352" s="255"/>
      <c r="H352" s="255"/>
    </row>
    <row r="353" spans="2:8">
      <c r="B353" s="256"/>
      <c r="C353" s="257"/>
      <c r="D353" s="258"/>
      <c r="E353" s="255"/>
      <c r="F353" s="255"/>
      <c r="G353" s="255"/>
      <c r="H353" s="255"/>
    </row>
    <row r="354" spans="2:8">
      <c r="B354" s="256"/>
      <c r="C354" s="257"/>
      <c r="D354" s="258"/>
      <c r="E354" s="255"/>
      <c r="F354" s="255"/>
      <c r="G354" s="255"/>
      <c r="H354" s="255"/>
    </row>
    <row r="355" spans="2:8">
      <c r="B355" s="256"/>
      <c r="C355" s="257"/>
      <c r="D355" s="258"/>
      <c r="E355" s="255"/>
      <c r="F355" s="255"/>
      <c r="G355" s="255"/>
      <c r="H355" s="255"/>
    </row>
    <row r="356" spans="2:8">
      <c r="B356" s="256"/>
      <c r="C356" s="257"/>
      <c r="D356" s="258"/>
      <c r="E356" s="255"/>
      <c r="F356" s="255"/>
      <c r="G356" s="255"/>
      <c r="H356" s="255"/>
    </row>
    <row r="357" spans="2:8">
      <c r="B357" s="256"/>
      <c r="C357" s="257"/>
      <c r="D357" s="258"/>
      <c r="E357" s="255"/>
      <c r="F357" s="255"/>
      <c r="G357" s="255"/>
      <c r="H357" s="255"/>
    </row>
    <row r="358" spans="2:8">
      <c r="B358" s="256"/>
      <c r="C358" s="257"/>
      <c r="D358" s="258"/>
      <c r="E358" s="255"/>
      <c r="F358" s="255"/>
      <c r="G358" s="255"/>
      <c r="H358" s="255"/>
    </row>
    <row r="359" spans="2:8">
      <c r="B359" s="256"/>
      <c r="C359" s="257"/>
      <c r="D359" s="258"/>
      <c r="E359" s="255"/>
      <c r="F359" s="255"/>
      <c r="G359" s="255"/>
      <c r="H359" s="255"/>
    </row>
    <row r="360" spans="2:8">
      <c r="B360" s="256"/>
      <c r="C360" s="257"/>
      <c r="D360" s="258"/>
      <c r="E360" s="255"/>
      <c r="F360" s="255"/>
      <c r="G360" s="255"/>
      <c r="H360" s="255"/>
    </row>
    <row r="361" spans="2:8">
      <c r="B361" s="256"/>
      <c r="C361" s="257"/>
      <c r="D361" s="258"/>
      <c r="E361" s="255"/>
      <c r="F361" s="255"/>
      <c r="G361" s="255"/>
      <c r="H361" s="255"/>
    </row>
    <row r="362" spans="2:8">
      <c r="B362" s="256"/>
      <c r="C362" s="257"/>
      <c r="D362" s="258"/>
      <c r="E362" s="255"/>
      <c r="F362" s="255"/>
      <c r="G362" s="255"/>
      <c r="H362" s="255"/>
    </row>
    <row r="363" spans="2:8">
      <c r="B363" s="256"/>
      <c r="C363" s="257"/>
      <c r="D363" s="258"/>
      <c r="E363" s="255"/>
      <c r="F363" s="255"/>
      <c r="G363" s="255"/>
      <c r="H363" s="255"/>
    </row>
    <row r="364" spans="2:8">
      <c r="B364" s="256"/>
      <c r="C364" s="257"/>
      <c r="D364" s="258"/>
      <c r="E364" s="255"/>
      <c r="F364" s="255"/>
      <c r="G364" s="255"/>
      <c r="H364" s="255"/>
    </row>
    <row r="365" spans="2:8">
      <c r="B365" s="256"/>
      <c r="C365" s="257"/>
      <c r="D365" s="258"/>
      <c r="E365" s="255"/>
      <c r="F365" s="255"/>
      <c r="G365" s="255"/>
      <c r="H365" s="255"/>
    </row>
    <row r="366" spans="2:8">
      <c r="B366" s="256"/>
      <c r="C366" s="257"/>
      <c r="D366" s="258"/>
      <c r="E366" s="255"/>
      <c r="F366" s="255"/>
      <c r="G366" s="255"/>
      <c r="H366" s="255"/>
    </row>
    <row r="367" spans="2:8">
      <c r="B367" s="256"/>
      <c r="C367" s="257"/>
      <c r="D367" s="258"/>
      <c r="E367" s="255"/>
      <c r="F367" s="255"/>
      <c r="G367" s="255"/>
      <c r="H367" s="255"/>
    </row>
    <row r="368" spans="2:8">
      <c r="B368" s="256"/>
      <c r="C368" s="257"/>
      <c r="D368" s="258"/>
      <c r="E368" s="255"/>
      <c r="F368" s="255"/>
      <c r="G368" s="255"/>
      <c r="H368" s="255"/>
    </row>
    <row r="369" spans="2:8">
      <c r="B369" s="256"/>
      <c r="C369" s="257"/>
      <c r="D369" s="258"/>
      <c r="E369" s="255"/>
      <c r="F369" s="255"/>
      <c r="G369" s="255"/>
      <c r="H369" s="255"/>
    </row>
    <row r="370" spans="2:8">
      <c r="B370" s="256"/>
      <c r="C370" s="257"/>
      <c r="D370" s="258"/>
      <c r="E370" s="255"/>
      <c r="F370" s="255"/>
      <c r="G370" s="255"/>
      <c r="H370" s="255"/>
    </row>
    <row r="371" spans="2:8">
      <c r="B371" s="256"/>
      <c r="C371" s="257"/>
      <c r="D371" s="258"/>
      <c r="E371" s="255"/>
      <c r="F371" s="255"/>
      <c r="G371" s="255"/>
      <c r="H371" s="255"/>
    </row>
    <row r="372" spans="2:8">
      <c r="B372" s="256"/>
      <c r="C372" s="257"/>
      <c r="D372" s="258"/>
      <c r="E372" s="255"/>
      <c r="F372" s="255"/>
      <c r="G372" s="255"/>
      <c r="H372" s="255"/>
    </row>
    <row r="373" spans="2:8">
      <c r="B373" s="256"/>
      <c r="C373" s="257"/>
      <c r="D373" s="258"/>
      <c r="E373" s="255"/>
      <c r="F373" s="255"/>
      <c r="G373" s="255"/>
      <c r="H373" s="255"/>
    </row>
    <row r="374" spans="2:8">
      <c r="B374" s="256"/>
      <c r="C374" s="257"/>
      <c r="D374" s="258"/>
      <c r="E374" s="255"/>
      <c r="F374" s="255"/>
      <c r="G374" s="255"/>
      <c r="H374" s="255"/>
    </row>
    <row r="375" spans="2:8">
      <c r="B375" s="256"/>
      <c r="C375" s="257"/>
      <c r="D375" s="258"/>
      <c r="E375" s="255"/>
      <c r="F375" s="255"/>
      <c r="G375" s="255"/>
      <c r="H375" s="255"/>
    </row>
    <row r="376" spans="2:8">
      <c r="B376" s="256"/>
      <c r="C376" s="257"/>
      <c r="D376" s="258"/>
      <c r="E376" s="255"/>
      <c r="F376" s="255"/>
      <c r="G376" s="255"/>
      <c r="H376" s="255"/>
    </row>
    <row r="377" spans="2:8">
      <c r="B377" s="256"/>
      <c r="C377" s="257"/>
      <c r="D377" s="258"/>
      <c r="E377" s="255"/>
      <c r="F377" s="255"/>
      <c r="G377" s="255"/>
      <c r="H377" s="255"/>
    </row>
    <row r="378" spans="2:8">
      <c r="B378" s="256"/>
      <c r="C378" s="257"/>
      <c r="D378" s="258"/>
      <c r="E378" s="255"/>
      <c r="F378" s="255"/>
      <c r="G378" s="255"/>
      <c r="H378" s="255"/>
    </row>
    <row r="379" spans="2:8">
      <c r="B379" s="256"/>
      <c r="C379" s="257"/>
      <c r="D379" s="258"/>
      <c r="E379" s="255"/>
      <c r="F379" s="255"/>
      <c r="G379" s="255"/>
      <c r="H379" s="255"/>
    </row>
    <row r="380" spans="2:8">
      <c r="B380" s="256"/>
      <c r="C380" s="257"/>
      <c r="D380" s="258"/>
      <c r="E380" s="255"/>
      <c r="F380" s="255"/>
      <c r="G380" s="255"/>
      <c r="H380" s="255"/>
    </row>
    <row r="381" spans="2:8">
      <c r="B381" s="256"/>
      <c r="C381" s="257"/>
      <c r="D381" s="258"/>
      <c r="E381" s="255"/>
      <c r="F381" s="255"/>
      <c r="G381" s="255"/>
      <c r="H381" s="255"/>
    </row>
    <row r="382" spans="2:8">
      <c r="B382" s="256"/>
      <c r="C382" s="257"/>
      <c r="D382" s="258"/>
      <c r="E382" s="255"/>
      <c r="F382" s="255"/>
      <c r="G382" s="255"/>
      <c r="H382" s="255"/>
    </row>
    <row r="383" spans="2:8">
      <c r="B383" s="256"/>
      <c r="C383" s="257"/>
      <c r="D383" s="258"/>
      <c r="E383" s="255"/>
      <c r="F383" s="255"/>
      <c r="G383" s="255"/>
      <c r="H383" s="255"/>
    </row>
    <row r="384" spans="2:8">
      <c r="B384" s="256"/>
      <c r="C384" s="257"/>
      <c r="D384" s="258"/>
      <c r="E384" s="255"/>
      <c r="F384" s="255"/>
      <c r="G384" s="255"/>
      <c r="H384" s="255"/>
    </row>
    <row r="385" spans="2:8">
      <c r="B385" s="256"/>
      <c r="C385" s="257"/>
      <c r="D385" s="258"/>
      <c r="E385" s="255"/>
      <c r="F385" s="255"/>
      <c r="G385" s="255"/>
      <c r="H385" s="255"/>
    </row>
    <row r="386" spans="2:8">
      <c r="B386" s="256"/>
      <c r="C386" s="257"/>
      <c r="D386" s="258"/>
      <c r="E386" s="255"/>
      <c r="F386" s="255"/>
      <c r="G386" s="255"/>
      <c r="H386" s="255"/>
    </row>
    <row r="387" spans="2:8">
      <c r="B387" s="256"/>
      <c r="C387" s="257"/>
      <c r="D387" s="258"/>
      <c r="E387" s="255"/>
      <c r="F387" s="255"/>
      <c r="G387" s="255"/>
      <c r="H387" s="255"/>
    </row>
    <row r="388" spans="2:8">
      <c r="B388" s="256"/>
      <c r="C388" s="257"/>
      <c r="D388" s="258"/>
      <c r="E388" s="255"/>
      <c r="F388" s="255"/>
      <c r="G388" s="255"/>
      <c r="H388" s="255"/>
    </row>
    <row r="389" spans="2:8">
      <c r="B389" s="256"/>
      <c r="C389" s="257"/>
      <c r="D389" s="258"/>
      <c r="E389" s="255"/>
      <c r="F389" s="255"/>
      <c r="G389" s="255"/>
      <c r="H389" s="255"/>
    </row>
    <row r="390" spans="2:8">
      <c r="B390" s="256"/>
      <c r="C390" s="257"/>
      <c r="D390" s="258"/>
      <c r="E390" s="255"/>
      <c r="F390" s="255"/>
      <c r="G390" s="255"/>
      <c r="H390" s="255"/>
    </row>
    <row r="391" spans="2:8">
      <c r="B391" s="256"/>
      <c r="C391" s="257"/>
      <c r="D391" s="258"/>
      <c r="E391" s="255"/>
      <c r="F391" s="255"/>
      <c r="G391" s="255"/>
      <c r="H391" s="255"/>
    </row>
    <row r="392" spans="2:8">
      <c r="B392" s="256"/>
      <c r="C392" s="257"/>
      <c r="D392" s="258"/>
      <c r="E392" s="255"/>
      <c r="F392" s="255"/>
      <c r="G392" s="255"/>
      <c r="H392" s="255"/>
    </row>
    <row r="393" spans="2:8">
      <c r="B393" s="256"/>
      <c r="C393" s="257"/>
      <c r="D393" s="258"/>
      <c r="E393" s="255"/>
      <c r="F393" s="255"/>
      <c r="G393" s="255"/>
      <c r="H393" s="255"/>
    </row>
    <row r="394" spans="2:8">
      <c r="B394" s="256"/>
      <c r="C394" s="257"/>
      <c r="D394" s="258"/>
      <c r="E394" s="255"/>
      <c r="F394" s="255"/>
      <c r="G394" s="255"/>
      <c r="H394" s="255"/>
    </row>
    <row r="395" spans="2:8">
      <c r="B395" s="256"/>
      <c r="C395" s="257"/>
      <c r="D395" s="258"/>
      <c r="E395" s="255"/>
      <c r="F395" s="255"/>
      <c r="G395" s="255"/>
      <c r="H395" s="255"/>
    </row>
    <row r="396" spans="2:8">
      <c r="B396" s="256"/>
      <c r="C396" s="257"/>
      <c r="D396" s="258"/>
      <c r="E396" s="255"/>
      <c r="F396" s="255"/>
      <c r="G396" s="255"/>
      <c r="H396" s="255"/>
    </row>
    <row r="397" spans="2:8">
      <c r="B397" s="256"/>
      <c r="C397" s="257"/>
      <c r="D397" s="258"/>
      <c r="E397" s="255"/>
      <c r="F397" s="255"/>
      <c r="G397" s="255"/>
      <c r="H397" s="255"/>
    </row>
    <row r="398" spans="2:8">
      <c r="B398" s="256"/>
      <c r="C398" s="257"/>
      <c r="D398" s="258"/>
      <c r="E398" s="255"/>
      <c r="F398" s="255"/>
      <c r="G398" s="255"/>
      <c r="H398" s="255"/>
    </row>
    <row r="399" spans="2:8">
      <c r="B399" s="256"/>
      <c r="C399" s="257"/>
      <c r="D399" s="258"/>
      <c r="E399" s="255"/>
      <c r="F399" s="255"/>
      <c r="G399" s="255"/>
      <c r="H399" s="255"/>
    </row>
    <row r="400" spans="2:8">
      <c r="B400" s="256"/>
      <c r="C400" s="257"/>
      <c r="D400" s="258"/>
      <c r="E400" s="255"/>
      <c r="F400" s="255"/>
      <c r="G400" s="255"/>
      <c r="H400" s="255"/>
    </row>
    <row r="401" spans="2:8">
      <c r="B401" s="256"/>
      <c r="C401" s="257"/>
      <c r="D401" s="258"/>
      <c r="E401" s="255"/>
      <c r="F401" s="255"/>
      <c r="G401" s="255"/>
      <c r="H401" s="255"/>
    </row>
    <row r="402" spans="2:8">
      <c r="B402" s="256"/>
      <c r="C402" s="257"/>
      <c r="D402" s="258"/>
      <c r="E402" s="255"/>
      <c r="F402" s="255"/>
      <c r="G402" s="255"/>
      <c r="H402" s="255"/>
    </row>
    <row r="403" spans="2:8">
      <c r="B403" s="256"/>
      <c r="C403" s="257"/>
      <c r="D403" s="258"/>
      <c r="E403" s="255"/>
      <c r="F403" s="255"/>
      <c r="G403" s="255"/>
      <c r="H403" s="255"/>
    </row>
    <row r="404" spans="2:8">
      <c r="B404" s="256"/>
      <c r="C404" s="257"/>
      <c r="D404" s="258"/>
      <c r="E404" s="255"/>
      <c r="F404" s="255"/>
      <c r="G404" s="255"/>
      <c r="H404" s="255"/>
    </row>
    <row r="405" spans="2:8">
      <c r="B405" s="256"/>
      <c r="C405" s="257"/>
      <c r="D405" s="258"/>
      <c r="E405" s="255"/>
      <c r="F405" s="255"/>
      <c r="G405" s="255"/>
      <c r="H405" s="255"/>
    </row>
    <row r="406" spans="2:8">
      <c r="B406" s="256"/>
      <c r="C406" s="257"/>
      <c r="D406" s="258"/>
      <c r="E406" s="255"/>
      <c r="F406" s="255"/>
      <c r="G406" s="255"/>
      <c r="H406" s="255"/>
    </row>
    <row r="407" spans="2:8">
      <c r="B407" s="256"/>
      <c r="C407" s="257"/>
      <c r="D407" s="258"/>
      <c r="E407" s="255"/>
      <c r="F407" s="255"/>
      <c r="G407" s="255"/>
      <c r="H407" s="255"/>
    </row>
    <row r="408" spans="2:8">
      <c r="B408" s="256"/>
      <c r="C408" s="257"/>
      <c r="D408" s="258"/>
      <c r="E408" s="255"/>
      <c r="F408" s="255"/>
      <c r="G408" s="255"/>
      <c r="H408" s="255"/>
    </row>
    <row r="409" spans="2:8">
      <c r="B409" s="256"/>
      <c r="C409" s="257"/>
      <c r="D409" s="258"/>
      <c r="E409" s="255"/>
      <c r="F409" s="255"/>
      <c r="G409" s="255"/>
      <c r="H409" s="255"/>
    </row>
    <row r="410" spans="2:8">
      <c r="B410" s="256"/>
      <c r="C410" s="257"/>
      <c r="D410" s="258"/>
      <c r="E410" s="255"/>
      <c r="F410" s="255"/>
      <c r="G410" s="255"/>
      <c r="H410" s="255"/>
    </row>
    <row r="411" spans="2:8">
      <c r="B411" s="256"/>
      <c r="C411" s="257"/>
      <c r="D411" s="258"/>
      <c r="E411" s="255"/>
      <c r="F411" s="255"/>
      <c r="G411" s="255"/>
      <c r="H411" s="255"/>
    </row>
    <row r="412" spans="2:8">
      <c r="B412" s="256"/>
      <c r="C412" s="257"/>
      <c r="D412" s="258"/>
      <c r="E412" s="255"/>
      <c r="F412" s="255"/>
      <c r="G412" s="255"/>
      <c r="H412" s="255"/>
    </row>
    <row r="413" spans="2:8">
      <c r="B413" s="256"/>
      <c r="C413" s="257"/>
      <c r="D413" s="258"/>
      <c r="E413" s="255"/>
      <c r="F413" s="255"/>
      <c r="G413" s="255"/>
      <c r="H413" s="255"/>
    </row>
    <row r="414" spans="2:8">
      <c r="B414" s="256"/>
      <c r="C414" s="257"/>
      <c r="D414" s="258"/>
      <c r="E414" s="255"/>
      <c r="F414" s="255"/>
      <c r="G414" s="255"/>
      <c r="H414" s="255"/>
    </row>
    <row r="415" spans="2:8">
      <c r="B415" s="256"/>
      <c r="C415" s="257"/>
      <c r="D415" s="258"/>
      <c r="E415" s="255"/>
      <c r="F415" s="255"/>
      <c r="G415" s="255"/>
      <c r="H415" s="255"/>
    </row>
    <row r="416" spans="2:8">
      <c r="B416" s="256"/>
      <c r="C416" s="257"/>
      <c r="D416" s="258"/>
      <c r="E416" s="255"/>
      <c r="F416" s="255"/>
      <c r="G416" s="255"/>
      <c r="H416" s="255"/>
    </row>
    <row r="417" spans="2:8">
      <c r="B417" s="256"/>
      <c r="C417" s="257"/>
      <c r="D417" s="258"/>
      <c r="E417" s="255"/>
      <c r="F417" s="255"/>
      <c r="G417" s="255"/>
      <c r="H417" s="255"/>
    </row>
    <row r="418" spans="2:8">
      <c r="B418" s="256"/>
      <c r="C418" s="257"/>
      <c r="D418" s="258"/>
      <c r="E418" s="255"/>
      <c r="F418" s="255"/>
      <c r="G418" s="255"/>
      <c r="H418" s="255"/>
    </row>
    <row r="419" spans="2:8">
      <c r="B419" s="256"/>
      <c r="C419" s="257"/>
      <c r="D419" s="258"/>
      <c r="E419" s="255"/>
      <c r="F419" s="255"/>
      <c r="G419" s="255"/>
      <c r="H419" s="255"/>
    </row>
    <row r="420" spans="2:8">
      <c r="B420" s="256"/>
      <c r="C420" s="257"/>
      <c r="D420" s="258"/>
      <c r="E420" s="255"/>
      <c r="F420" s="255"/>
      <c r="G420" s="255"/>
      <c r="H420" s="255"/>
    </row>
    <row r="421" spans="2:8">
      <c r="B421" s="256"/>
      <c r="C421" s="257"/>
      <c r="D421" s="258"/>
      <c r="E421" s="255"/>
      <c r="F421" s="255"/>
      <c r="G421" s="255"/>
      <c r="H421" s="255"/>
    </row>
    <row r="422" spans="2:8">
      <c r="B422" s="256"/>
      <c r="C422" s="257"/>
      <c r="D422" s="258"/>
      <c r="E422" s="255"/>
      <c r="F422" s="255"/>
      <c r="G422" s="255"/>
      <c r="H422" s="255"/>
    </row>
    <row r="423" spans="2:8">
      <c r="B423" s="256"/>
      <c r="C423" s="257"/>
      <c r="D423" s="258"/>
      <c r="E423" s="255"/>
      <c r="F423" s="255"/>
      <c r="G423" s="255"/>
      <c r="H423" s="255"/>
    </row>
    <row r="424" spans="2:8">
      <c r="B424" s="256"/>
      <c r="C424" s="257"/>
      <c r="D424" s="258"/>
      <c r="E424" s="255"/>
      <c r="F424" s="255"/>
      <c r="G424" s="255"/>
      <c r="H424" s="255"/>
    </row>
    <row r="425" spans="2:8">
      <c r="B425" s="256"/>
      <c r="C425" s="257"/>
      <c r="D425" s="258"/>
      <c r="E425" s="255"/>
      <c r="F425" s="255"/>
      <c r="G425" s="255"/>
      <c r="H425" s="255"/>
    </row>
    <row r="426" spans="2:8">
      <c r="B426" s="256"/>
      <c r="C426" s="257"/>
      <c r="D426" s="258"/>
      <c r="E426" s="255"/>
      <c r="F426" s="255"/>
      <c r="G426" s="255"/>
      <c r="H426" s="255"/>
    </row>
    <row r="427" spans="2:8">
      <c r="B427" s="256"/>
      <c r="C427" s="257"/>
      <c r="D427" s="258"/>
      <c r="E427" s="255"/>
      <c r="F427" s="255"/>
      <c r="G427" s="255"/>
      <c r="H427" s="255"/>
    </row>
    <row r="428" spans="2:8">
      <c r="B428" s="256"/>
      <c r="C428" s="257"/>
      <c r="D428" s="258"/>
      <c r="E428" s="255"/>
      <c r="F428" s="255"/>
      <c r="G428" s="255"/>
      <c r="H428" s="255"/>
    </row>
    <row r="429" spans="2:8">
      <c r="B429" s="256"/>
      <c r="C429" s="257"/>
      <c r="D429" s="258"/>
      <c r="E429" s="255"/>
      <c r="F429" s="255"/>
      <c r="G429" s="255"/>
      <c r="H429" s="255"/>
    </row>
    <row r="430" spans="2:8">
      <c r="B430" s="256"/>
      <c r="C430" s="257"/>
      <c r="D430" s="258"/>
      <c r="E430" s="255"/>
      <c r="F430" s="255"/>
      <c r="G430" s="255"/>
      <c r="H430" s="255"/>
    </row>
    <row r="431" spans="2:8">
      <c r="B431" s="256"/>
      <c r="C431" s="257"/>
      <c r="D431" s="258"/>
      <c r="E431" s="255"/>
      <c r="F431" s="255"/>
      <c r="G431" s="255"/>
      <c r="H431" s="255"/>
    </row>
    <row r="432" spans="2:8">
      <c r="B432" s="256"/>
      <c r="C432" s="257"/>
      <c r="D432" s="258"/>
      <c r="E432" s="255"/>
      <c r="F432" s="255"/>
      <c r="G432" s="255"/>
      <c r="H432" s="255"/>
    </row>
    <row r="433" spans="2:8">
      <c r="B433" s="256"/>
      <c r="C433" s="257"/>
      <c r="D433" s="258"/>
      <c r="E433" s="255"/>
      <c r="F433" s="255"/>
      <c r="G433" s="255"/>
      <c r="H433" s="255"/>
    </row>
    <row r="434" spans="2:8">
      <c r="B434" s="256"/>
      <c r="C434" s="257"/>
      <c r="D434" s="258"/>
      <c r="E434" s="255"/>
      <c r="F434" s="255"/>
      <c r="G434" s="255"/>
      <c r="H434" s="255"/>
    </row>
    <row r="435" spans="2:8">
      <c r="B435" s="256"/>
      <c r="C435" s="257"/>
      <c r="D435" s="258"/>
      <c r="E435" s="255"/>
      <c r="F435" s="255"/>
      <c r="G435" s="255"/>
      <c r="H435" s="255"/>
    </row>
    <row r="436" spans="2:8">
      <c r="B436" s="256"/>
      <c r="C436" s="257"/>
      <c r="D436" s="258"/>
      <c r="E436" s="255"/>
      <c r="F436" s="255"/>
      <c r="G436" s="255"/>
      <c r="H436" s="255"/>
    </row>
    <row r="437" spans="2:8">
      <c r="B437" s="256"/>
      <c r="C437" s="257"/>
      <c r="D437" s="258"/>
      <c r="E437" s="255"/>
      <c r="F437" s="255"/>
      <c r="G437" s="255"/>
      <c r="H437" s="255"/>
    </row>
    <row r="438" spans="2:8">
      <c r="B438" s="256"/>
      <c r="C438" s="257"/>
      <c r="D438" s="258"/>
      <c r="E438" s="255"/>
      <c r="F438" s="255"/>
      <c r="G438" s="255"/>
      <c r="H438" s="255"/>
    </row>
    <row r="439" spans="2:8">
      <c r="B439" s="256"/>
      <c r="C439" s="257"/>
      <c r="D439" s="258"/>
      <c r="E439" s="255"/>
      <c r="F439" s="255"/>
      <c r="G439" s="255"/>
      <c r="H439" s="255"/>
    </row>
    <row r="440" spans="2:8">
      <c r="B440" s="256"/>
      <c r="C440" s="257"/>
      <c r="D440" s="258"/>
      <c r="E440" s="255"/>
      <c r="F440" s="255"/>
      <c r="G440" s="255"/>
      <c r="H440" s="255"/>
    </row>
    <row r="441" spans="2:8">
      <c r="B441" s="256"/>
      <c r="C441" s="257"/>
      <c r="D441" s="258"/>
      <c r="E441" s="255"/>
      <c r="F441" s="255"/>
      <c r="G441" s="255"/>
      <c r="H441" s="255"/>
    </row>
    <row r="442" spans="2:8">
      <c r="B442" s="256"/>
      <c r="C442" s="257"/>
      <c r="D442" s="258"/>
      <c r="E442" s="255"/>
      <c r="F442" s="255"/>
      <c r="G442" s="255"/>
      <c r="H442" s="255"/>
    </row>
    <row r="443" spans="2:8">
      <c r="B443" s="256"/>
      <c r="C443" s="257"/>
      <c r="D443" s="258"/>
      <c r="E443" s="255"/>
      <c r="F443" s="255"/>
      <c r="G443" s="255"/>
      <c r="H443" s="255"/>
    </row>
    <row r="444" spans="2:8">
      <c r="B444" s="256"/>
      <c r="C444" s="257"/>
      <c r="D444" s="258"/>
      <c r="E444" s="255"/>
      <c r="F444" s="255"/>
      <c r="G444" s="255"/>
      <c r="H444" s="255"/>
    </row>
    <row r="445" spans="2:8">
      <c r="B445" s="256"/>
      <c r="C445" s="257"/>
      <c r="D445" s="258"/>
      <c r="E445" s="255"/>
      <c r="F445" s="255"/>
      <c r="G445" s="255"/>
      <c r="H445" s="255"/>
    </row>
    <row r="446" spans="2:8">
      <c r="B446" s="256"/>
      <c r="C446" s="257"/>
      <c r="D446" s="258"/>
      <c r="E446" s="255"/>
      <c r="F446" s="255"/>
      <c r="G446" s="255"/>
      <c r="H446" s="255"/>
    </row>
    <row r="447" spans="2:8">
      <c r="B447" s="256"/>
      <c r="C447" s="257"/>
      <c r="D447" s="258"/>
      <c r="E447" s="255"/>
      <c r="F447" s="255"/>
      <c r="G447" s="255"/>
      <c r="H447" s="255"/>
    </row>
    <row r="448" spans="2:8">
      <c r="B448" s="256"/>
      <c r="C448" s="257"/>
      <c r="D448" s="258"/>
      <c r="E448" s="255"/>
      <c r="F448" s="255"/>
      <c r="G448" s="255"/>
      <c r="H448" s="255"/>
    </row>
    <row r="449" spans="2:8">
      <c r="B449" s="256"/>
      <c r="C449" s="257"/>
      <c r="D449" s="258"/>
      <c r="E449" s="255"/>
      <c r="F449" s="255"/>
      <c r="G449" s="255"/>
      <c r="H449" s="255"/>
    </row>
    <row r="450" spans="2:8">
      <c r="B450" s="256"/>
      <c r="C450" s="257"/>
      <c r="D450" s="258"/>
      <c r="E450" s="255"/>
      <c r="F450" s="255"/>
      <c r="G450" s="255"/>
      <c r="H450" s="255"/>
    </row>
    <row r="451" spans="2:8">
      <c r="B451" s="256"/>
      <c r="C451" s="257"/>
      <c r="D451" s="258"/>
      <c r="E451" s="255"/>
      <c r="F451" s="255"/>
      <c r="G451" s="255"/>
      <c r="H451" s="255"/>
    </row>
    <row r="452" spans="2:8">
      <c r="B452" s="256"/>
      <c r="C452" s="257"/>
      <c r="D452" s="258"/>
      <c r="E452" s="255"/>
      <c r="F452" s="255"/>
      <c r="G452" s="255"/>
      <c r="H452" s="255"/>
    </row>
    <row r="453" spans="2:8">
      <c r="B453" s="256"/>
      <c r="C453" s="257"/>
      <c r="D453" s="258"/>
      <c r="E453" s="255"/>
      <c r="F453" s="255"/>
      <c r="G453" s="255"/>
      <c r="H453" s="255"/>
    </row>
    <row r="454" spans="2:8">
      <c r="B454" s="256"/>
      <c r="C454" s="257"/>
      <c r="D454" s="258"/>
      <c r="E454" s="255"/>
      <c r="F454" s="255"/>
      <c r="G454" s="255"/>
      <c r="H454" s="255"/>
    </row>
    <row r="455" spans="2:8">
      <c r="B455" s="256"/>
      <c r="C455" s="257"/>
      <c r="D455" s="258"/>
      <c r="E455" s="255"/>
      <c r="F455" s="255"/>
      <c r="G455" s="255"/>
      <c r="H455" s="255"/>
    </row>
    <row r="456" spans="2:8">
      <c r="B456" s="256"/>
      <c r="C456" s="257"/>
      <c r="D456" s="258"/>
      <c r="E456" s="255"/>
      <c r="F456" s="255"/>
      <c r="G456" s="255"/>
      <c r="H456" s="255"/>
    </row>
    <row r="457" spans="2:8">
      <c r="B457" s="256"/>
      <c r="C457" s="257"/>
      <c r="D457" s="258"/>
      <c r="E457" s="255"/>
      <c r="F457" s="255"/>
      <c r="G457" s="255"/>
      <c r="H457" s="255"/>
    </row>
    <row r="458" spans="2:8">
      <c r="B458" s="256"/>
      <c r="C458" s="257"/>
      <c r="D458" s="258"/>
      <c r="E458" s="255"/>
      <c r="F458" s="255"/>
      <c r="G458" s="255"/>
      <c r="H458" s="255"/>
    </row>
    <row r="459" spans="2:8">
      <c r="B459" s="256"/>
      <c r="C459" s="257"/>
      <c r="D459" s="258"/>
      <c r="E459" s="255"/>
      <c r="F459" s="255"/>
      <c r="G459" s="255"/>
      <c r="H459" s="255"/>
    </row>
    <row r="460" spans="2:8">
      <c r="B460" s="256"/>
      <c r="C460" s="257"/>
      <c r="D460" s="258"/>
      <c r="E460" s="255"/>
      <c r="F460" s="255"/>
      <c r="G460" s="255"/>
      <c r="H460" s="255"/>
    </row>
    <row r="461" spans="2:8">
      <c r="B461" s="256"/>
      <c r="C461" s="257"/>
      <c r="D461" s="258"/>
      <c r="E461" s="255"/>
      <c r="F461" s="255"/>
      <c r="G461" s="255"/>
      <c r="H461" s="255"/>
    </row>
    <row r="462" spans="2:8">
      <c r="B462" s="256"/>
      <c r="C462" s="257"/>
      <c r="D462" s="258"/>
      <c r="E462" s="255"/>
      <c r="F462" s="255"/>
      <c r="G462" s="255"/>
      <c r="H462" s="255"/>
    </row>
    <row r="463" spans="2:8">
      <c r="B463" s="256"/>
      <c r="C463" s="257"/>
      <c r="D463" s="258"/>
      <c r="E463" s="255"/>
      <c r="F463" s="255"/>
      <c r="G463" s="255"/>
      <c r="H463" s="255"/>
    </row>
    <row r="464" spans="2:8">
      <c r="B464" s="256"/>
      <c r="C464" s="257"/>
      <c r="D464" s="258"/>
      <c r="E464" s="255"/>
      <c r="F464" s="255"/>
      <c r="G464" s="255"/>
      <c r="H464" s="255"/>
    </row>
    <row r="465" spans="2:8">
      <c r="B465" s="256"/>
      <c r="C465" s="257"/>
      <c r="D465" s="258"/>
      <c r="E465" s="255"/>
      <c r="F465" s="255"/>
      <c r="G465" s="255"/>
      <c r="H465" s="255"/>
    </row>
    <row r="466" spans="2:8">
      <c r="B466" s="256"/>
      <c r="C466" s="257"/>
      <c r="D466" s="258"/>
      <c r="E466" s="255"/>
      <c r="F466" s="255"/>
      <c r="G466" s="255"/>
      <c r="H466" s="255"/>
    </row>
    <row r="467" spans="2:8">
      <c r="B467" s="256"/>
      <c r="C467" s="257"/>
      <c r="D467" s="258"/>
      <c r="E467" s="255"/>
      <c r="F467" s="255"/>
      <c r="G467" s="255"/>
      <c r="H467" s="255"/>
    </row>
    <row r="468" spans="2:8">
      <c r="B468" s="256"/>
      <c r="C468" s="257"/>
      <c r="D468" s="258"/>
      <c r="E468" s="255"/>
      <c r="F468" s="255"/>
      <c r="G468" s="255"/>
      <c r="H468" s="255"/>
    </row>
    <row r="469" spans="2:8">
      <c r="B469" s="256"/>
      <c r="C469" s="257"/>
      <c r="D469" s="258"/>
      <c r="E469" s="255"/>
      <c r="F469" s="255"/>
      <c r="G469" s="255"/>
      <c r="H469" s="255"/>
    </row>
    <row r="470" spans="2:8">
      <c r="B470" s="256"/>
      <c r="C470" s="257"/>
      <c r="D470" s="258"/>
      <c r="E470" s="255"/>
      <c r="F470" s="255"/>
      <c r="G470" s="255"/>
      <c r="H470" s="255"/>
    </row>
    <row r="471" spans="2:8">
      <c r="B471" s="256"/>
      <c r="C471" s="257"/>
      <c r="D471" s="258"/>
      <c r="E471" s="255"/>
      <c r="F471" s="255"/>
      <c r="G471" s="255"/>
      <c r="H471" s="255"/>
    </row>
    <row r="472" spans="2:8">
      <c r="B472" s="256"/>
      <c r="C472" s="257"/>
      <c r="D472" s="258"/>
      <c r="E472" s="255"/>
      <c r="F472" s="255"/>
      <c r="G472" s="255"/>
      <c r="H472" s="255"/>
    </row>
    <row r="473" spans="2:8">
      <c r="B473" s="256"/>
      <c r="C473" s="257"/>
      <c r="D473" s="258"/>
      <c r="E473" s="255"/>
      <c r="F473" s="255"/>
      <c r="G473" s="255"/>
      <c r="H473" s="255"/>
    </row>
    <row r="474" spans="2:8">
      <c r="B474" s="256"/>
      <c r="C474" s="257"/>
      <c r="D474" s="258"/>
      <c r="E474" s="255"/>
      <c r="F474" s="255"/>
      <c r="G474" s="255"/>
      <c r="H474" s="255"/>
    </row>
    <row r="475" spans="2:8">
      <c r="B475" s="256"/>
      <c r="C475" s="257"/>
      <c r="D475" s="258"/>
      <c r="E475" s="255"/>
      <c r="F475" s="255"/>
      <c r="G475" s="255"/>
      <c r="H475" s="255"/>
    </row>
    <row r="476" spans="2:8">
      <c r="B476" s="256"/>
      <c r="C476" s="257"/>
      <c r="D476" s="258"/>
      <c r="E476" s="255"/>
      <c r="F476" s="255"/>
      <c r="G476" s="255"/>
      <c r="H476" s="255"/>
    </row>
    <row r="477" spans="2:8">
      <c r="B477" s="256"/>
      <c r="C477" s="257"/>
      <c r="D477" s="258"/>
      <c r="E477" s="255"/>
      <c r="F477" s="255"/>
      <c r="G477" s="255"/>
      <c r="H477" s="255"/>
    </row>
    <row r="478" spans="2:8">
      <c r="B478" s="256"/>
      <c r="C478" s="257"/>
      <c r="D478" s="258"/>
      <c r="E478" s="255"/>
      <c r="F478" s="255"/>
      <c r="G478" s="255"/>
      <c r="H478" s="255"/>
    </row>
    <row r="479" spans="2:8">
      <c r="B479" s="256"/>
      <c r="C479" s="257"/>
      <c r="D479" s="258"/>
      <c r="E479" s="255"/>
      <c r="F479" s="255"/>
      <c r="G479" s="255"/>
      <c r="H479" s="255"/>
    </row>
    <row r="480" spans="2:8">
      <c r="B480" s="256"/>
      <c r="C480" s="257"/>
      <c r="D480" s="258"/>
      <c r="E480" s="255"/>
      <c r="F480" s="255"/>
      <c r="G480" s="255"/>
      <c r="H480" s="255"/>
    </row>
    <row r="481" spans="2:8">
      <c r="B481" s="256"/>
      <c r="C481" s="257"/>
      <c r="D481" s="258"/>
      <c r="E481" s="255"/>
      <c r="F481" s="255"/>
      <c r="G481" s="255"/>
      <c r="H481" s="255"/>
    </row>
    <row r="482" spans="2:8">
      <c r="B482" s="256"/>
      <c r="C482" s="257"/>
      <c r="D482" s="258"/>
      <c r="E482" s="255"/>
      <c r="F482" s="255"/>
      <c r="G482" s="255"/>
      <c r="H482" s="255"/>
    </row>
    <row r="483" spans="2:8">
      <c r="B483" s="256"/>
      <c r="C483" s="257"/>
      <c r="D483" s="258"/>
      <c r="E483" s="255"/>
      <c r="F483" s="255"/>
      <c r="G483" s="255"/>
      <c r="H483" s="255"/>
    </row>
    <row r="484" spans="2:8">
      <c r="B484" s="256"/>
      <c r="C484" s="257"/>
      <c r="D484" s="258"/>
      <c r="E484" s="255"/>
      <c r="F484" s="255"/>
      <c r="G484" s="255"/>
      <c r="H484" s="255"/>
    </row>
    <row r="485" spans="2:8">
      <c r="B485" s="256"/>
      <c r="C485" s="257"/>
      <c r="D485" s="258"/>
      <c r="E485" s="255"/>
      <c r="F485" s="255"/>
      <c r="G485" s="255"/>
      <c r="H485" s="255"/>
    </row>
    <row r="486" spans="2:8">
      <c r="B486" s="256"/>
      <c r="C486" s="257"/>
      <c r="D486" s="258"/>
      <c r="E486" s="255"/>
      <c r="F486" s="255"/>
      <c r="G486" s="255"/>
      <c r="H486" s="255"/>
    </row>
    <row r="487" spans="2:8">
      <c r="B487" s="256"/>
      <c r="C487" s="257"/>
      <c r="D487" s="258"/>
      <c r="E487" s="255"/>
      <c r="F487" s="255"/>
      <c r="G487" s="255"/>
      <c r="H487" s="255"/>
    </row>
    <row r="488" spans="2:8">
      <c r="B488" s="256"/>
      <c r="C488" s="257"/>
      <c r="D488" s="258"/>
      <c r="E488" s="255"/>
      <c r="F488" s="255"/>
      <c r="G488" s="255"/>
      <c r="H488" s="255"/>
    </row>
    <row r="489" spans="2:8">
      <c r="B489" s="256"/>
      <c r="C489" s="257"/>
      <c r="D489" s="258"/>
      <c r="E489" s="255"/>
      <c r="F489" s="255"/>
      <c r="G489" s="255"/>
      <c r="H489" s="255"/>
    </row>
    <row r="490" spans="2:8">
      <c r="B490" s="256"/>
      <c r="C490" s="257"/>
      <c r="D490" s="258"/>
      <c r="E490" s="255"/>
      <c r="F490" s="255"/>
      <c r="G490" s="255"/>
      <c r="H490" s="255"/>
    </row>
    <row r="491" spans="2:8">
      <c r="B491" s="256"/>
      <c r="C491" s="257"/>
      <c r="D491" s="258"/>
      <c r="E491" s="255"/>
      <c r="F491" s="255"/>
      <c r="G491" s="255"/>
      <c r="H491" s="255"/>
    </row>
    <row r="492" spans="2:8">
      <c r="B492" s="256"/>
      <c r="C492" s="257"/>
      <c r="D492" s="258"/>
      <c r="E492" s="255"/>
      <c r="F492" s="255"/>
      <c r="G492" s="255"/>
      <c r="H492" s="255"/>
    </row>
    <row r="493" spans="2:8">
      <c r="B493" s="256"/>
      <c r="C493" s="257"/>
      <c r="D493" s="258"/>
    </row>
    <row r="494" spans="2:8">
      <c r="B494" s="256"/>
      <c r="C494" s="257"/>
      <c r="D494" s="258"/>
    </row>
  </sheetData>
  <mergeCells count="134">
    <mergeCell ref="B1:Q1"/>
    <mergeCell ref="L3:P3"/>
    <mergeCell ref="T3:X3"/>
    <mergeCell ref="L4:P4"/>
    <mergeCell ref="T4:X4"/>
    <mergeCell ref="L5:P5"/>
    <mergeCell ref="T5:X5"/>
    <mergeCell ref="L6:P6"/>
    <mergeCell ref="L7:P7"/>
    <mergeCell ref="C3:H3"/>
    <mergeCell ref="C4:H4"/>
    <mergeCell ref="C5:H5"/>
    <mergeCell ref="C6:H6"/>
    <mergeCell ref="C7:H7"/>
    <mergeCell ref="C9:H9"/>
    <mergeCell ref="K9:P9"/>
    <mergeCell ref="S9:X9"/>
    <mergeCell ref="AA9:AF9"/>
    <mergeCell ref="AI9:AN9"/>
    <mergeCell ref="C11:E11"/>
    <mergeCell ref="G11:H11"/>
    <mergeCell ref="K11:M11"/>
    <mergeCell ref="O11:P11"/>
    <mergeCell ref="S11:U11"/>
    <mergeCell ref="W11:X11"/>
    <mergeCell ref="AA11:AC11"/>
    <mergeCell ref="AE11:AF11"/>
    <mergeCell ref="AI11:AK11"/>
    <mergeCell ref="AM11:AN11"/>
    <mergeCell ref="AM12:AN12"/>
    <mergeCell ref="C13:E13"/>
    <mergeCell ref="G13:H13"/>
    <mergeCell ref="K13:M13"/>
    <mergeCell ref="O13:P13"/>
    <mergeCell ref="S13:U13"/>
    <mergeCell ref="W13:X13"/>
    <mergeCell ref="AA13:AC13"/>
    <mergeCell ref="AE13:AF13"/>
    <mergeCell ref="AI13:AK13"/>
    <mergeCell ref="AM13:AN13"/>
    <mergeCell ref="C12:E12"/>
    <mergeCell ref="G12:H12"/>
    <mergeCell ref="K12:M12"/>
    <mergeCell ref="O12:P12"/>
    <mergeCell ref="S12:U12"/>
    <mergeCell ref="W12:X12"/>
    <mergeCell ref="AA12:AC12"/>
    <mergeCell ref="AE12:AF12"/>
    <mergeCell ref="AI12:AK12"/>
    <mergeCell ref="AM14:AN14"/>
    <mergeCell ref="C15:E15"/>
    <mergeCell ref="G15:H15"/>
    <mergeCell ref="K15:M15"/>
    <mergeCell ref="O15:P15"/>
    <mergeCell ref="S15:U15"/>
    <mergeCell ref="W15:X15"/>
    <mergeCell ref="AA15:AC15"/>
    <mergeCell ref="AE15:AF15"/>
    <mergeCell ref="AI15:AK15"/>
    <mergeCell ref="AM15:AN15"/>
    <mergeCell ref="C14:E14"/>
    <mergeCell ref="G14:H14"/>
    <mergeCell ref="K14:M14"/>
    <mergeCell ref="O14:P14"/>
    <mergeCell ref="S14:U14"/>
    <mergeCell ref="W14:X14"/>
    <mergeCell ref="AA14:AC14"/>
    <mergeCell ref="AE14:AF14"/>
    <mergeCell ref="AI14:AK14"/>
    <mergeCell ref="AM16:AN16"/>
    <mergeCell ref="C17:E17"/>
    <mergeCell ref="G17:H17"/>
    <mergeCell ref="K17:M17"/>
    <mergeCell ref="O17:P17"/>
    <mergeCell ref="S17:U17"/>
    <mergeCell ref="W17:X17"/>
    <mergeCell ref="AA17:AC17"/>
    <mergeCell ref="AE17:AF17"/>
    <mergeCell ref="AI17:AK17"/>
    <mergeCell ref="AM17:AN17"/>
    <mergeCell ref="C16:E16"/>
    <mergeCell ref="G16:H16"/>
    <mergeCell ref="K16:M16"/>
    <mergeCell ref="O16:P16"/>
    <mergeCell ref="S16:U16"/>
    <mergeCell ref="W16:X16"/>
    <mergeCell ref="AA16:AC16"/>
    <mergeCell ref="AE16:AF16"/>
    <mergeCell ref="AI16:AK16"/>
    <mergeCell ref="AI20:AJ20"/>
    <mergeCell ref="AK20:AL20"/>
    <mergeCell ref="AM20:AN20"/>
    <mergeCell ref="C18:E18"/>
    <mergeCell ref="G18:H18"/>
    <mergeCell ref="K18:M18"/>
    <mergeCell ref="O18:P18"/>
    <mergeCell ref="S18:U18"/>
    <mergeCell ref="W18:X18"/>
    <mergeCell ref="AA18:AC18"/>
    <mergeCell ref="AE18:AF18"/>
    <mergeCell ref="AI18:AK18"/>
    <mergeCell ref="K20:L20"/>
    <mergeCell ref="M20:N20"/>
    <mergeCell ref="O20:P20"/>
    <mergeCell ref="S20:T20"/>
    <mergeCell ref="U20:V20"/>
    <mergeCell ref="W20:X20"/>
    <mergeCell ref="AA20:AB20"/>
    <mergeCell ref="AC20:AD20"/>
    <mergeCell ref="AE20:AF20"/>
    <mergeCell ref="AA21:AB21"/>
    <mergeCell ref="AC21:AD21"/>
    <mergeCell ref="AE21:AF21"/>
    <mergeCell ref="AI21:AJ21"/>
    <mergeCell ref="AK21:AL21"/>
    <mergeCell ref="AM21:AN21"/>
    <mergeCell ref="B13:B18"/>
    <mergeCell ref="J13:J18"/>
    <mergeCell ref="R13:R18"/>
    <mergeCell ref="Z13:Z18"/>
    <mergeCell ref="AH13:AH18"/>
    <mergeCell ref="C21:D21"/>
    <mergeCell ref="E21:F21"/>
    <mergeCell ref="G21:H21"/>
    <mergeCell ref="K21:L21"/>
    <mergeCell ref="M21:N21"/>
    <mergeCell ref="O21:P21"/>
    <mergeCell ref="S21:T21"/>
    <mergeCell ref="U21:V21"/>
    <mergeCell ref="W21:X21"/>
    <mergeCell ref="AM18:AN18"/>
    <mergeCell ref="C20:D20"/>
    <mergeCell ref="E20:F20"/>
    <mergeCell ref="G20:H20"/>
  </mergeCells>
  <phoneticPr fontId="59"/>
  <conditionalFormatting sqref="C9 K9 S9 AA9 AI9">
    <cfRule type="expression" dxfId="67" priority="1">
      <formula>LEN(C9)&gt;40</formula>
    </cfRule>
  </conditionalFormatting>
  <dataValidations count="5">
    <dataValidation type="list" allowBlank="1" showInputMessage="1" sqref="C11:E11 K11:M11 S11:U11 AA11:AC11 AI11:AK11" xr:uid="{00000000-0002-0000-0200-000000000000}">
      <formula1>$F$49:$F$56</formula1>
    </dataValidation>
    <dataValidation type="list" allowBlank="1" showInputMessage="1" showErrorMessage="1" sqref="O11:P11 W11:X11 AE11:AF11 AM11:AN11" xr:uid="{00000000-0002-0000-0200-000001000000}">
      <formula1>$E$49:$E$66</formula1>
    </dataValidation>
    <dataValidation type="list" allowBlank="1" showInputMessage="1" showErrorMessage="1" sqref="E21:F21 M21:N21 U21:V21 AC21:AD21 AK21:AL21" xr:uid="{00000000-0002-0000-0200-000002000000}">
      <formula1>$H$49:$H$55</formula1>
    </dataValidation>
    <dataValidation type="list" allowBlank="1" showInputMessage="1" sqref="C12:E18 AA12:AC18 K12:M18 AI12:AK18 S12:U18" xr:uid="{00000000-0002-0000-0200-000003000000}">
      <formula1>$B$51:$B$565</formula1>
    </dataValidation>
    <dataValidation type="list" allowBlank="1" showInputMessage="1" showErrorMessage="1" sqref="O12:P18 W12:X18 AE12:AF18 AM12:AN18" xr:uid="{00000000-0002-0000-0200-000004000000}">
      <formula1>$G$49:$G$56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Pict="0" macro="[0]!MercariFolder1">
                <anchor moveWithCells="1" sizeWithCells="1">
                  <from>
                    <xdr:col>6</xdr:col>
                    <xdr:colOff>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2052" r:id="rId4" name="Button 4">
              <controlPr defaultSize="0" print="0" autoPict="0" macro="[0]!MercariFolder2">
                <anchor moveWithCells="1" sizeWithCells="1">
                  <from>
                    <xdr:col>14</xdr:col>
                    <xdr:colOff>0</xdr:colOff>
                    <xdr:row>19</xdr:row>
                    <xdr:rowOff>0</xdr:rowOff>
                  </from>
                  <to>
                    <xdr:col>15</xdr:col>
                    <xdr:colOff>0</xdr:colOff>
                    <xdr:row>20</xdr:row>
                    <xdr:rowOff>0</xdr:rowOff>
                  </to>
                </anchor>
              </controlPr>
            </control>
          </mc:Choice>
        </mc:AlternateContent>
        <mc:AlternateContent xmlns:mc="http://schemas.openxmlformats.org/markup-compatibility/2006">
          <mc:Choice Requires="x14">
            <control shapeId="2053" r:id="rId5" name="Button 5">
              <controlPr defaultSize="0" print="0" autoPict="0" macro="[0]!MercariFolder3">
                <anchor moveWithCells="1" sizeWithCells="1">
                  <from>
                    <xdr:col>22</xdr:col>
                    <xdr:colOff>0</xdr:colOff>
                    <xdr:row>19</xdr:row>
                    <xdr:rowOff>0</xdr:rowOff>
                  </from>
                  <to>
                    <xdr:col>23</xdr:col>
                    <xdr:colOff>0</xdr:colOff>
                    <xdr:row>20</xdr:row>
                    <xdr:rowOff>0</xdr:rowOff>
                  </to>
                </anchor>
              </controlPr>
            </control>
          </mc:Choice>
        </mc:AlternateContent>
        <mc:AlternateContent xmlns:mc="http://schemas.openxmlformats.org/markup-compatibility/2006">
          <mc:Choice Requires="x14">
            <control shapeId="2054" r:id="rId6" name="Button 6">
              <controlPr defaultSize="0" print="0" autoPict="0" macro="[0]!MercariFolder4">
                <anchor moveWithCells="1" sizeWithCells="1">
                  <from>
                    <xdr:col>30</xdr:col>
                    <xdr:colOff>0</xdr:colOff>
                    <xdr:row>19</xdr:row>
                    <xdr:rowOff>0</xdr:rowOff>
                  </from>
                  <to>
                    <xdr:col>31</xdr:col>
                    <xdr:colOff>0</xdr:colOff>
                    <xdr:row>20</xdr:row>
                    <xdr:rowOff>0</xdr:rowOff>
                  </to>
                </anchor>
              </controlPr>
            </control>
          </mc:Choice>
        </mc:AlternateContent>
        <mc:AlternateContent xmlns:mc="http://schemas.openxmlformats.org/markup-compatibility/2006">
          <mc:Choice Requires="x14">
            <control shapeId="2055" r:id="rId7" name="Button 7">
              <controlPr defaultSize="0" print="0" autoPict="0" macro="[0]!MercariFolder5">
                <anchor moveWithCells="1" sizeWithCells="1">
                  <from>
                    <xdr:col>38</xdr:col>
                    <xdr:colOff>0</xdr:colOff>
                    <xdr:row>19</xdr:row>
                    <xdr:rowOff>0</xdr:rowOff>
                  </from>
                  <to>
                    <xdr:col>39</xdr:col>
                    <xdr:colOff>0</xdr:colOff>
                    <xdr:row>20</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8ED7F-7121-450A-97EC-881AFD31D1E6}">
  <sheetPr codeName="Sheet12"/>
  <dimension ref="A1:AN23"/>
  <sheetViews>
    <sheetView zoomScale="130" zoomScaleNormal="130" workbookViewId="0">
      <pane ySplit="12" topLeftCell="A13" activePane="bottomLeft" state="frozen"/>
      <selection pane="bottomLeft" activeCell="A2" sqref="A2"/>
    </sheetView>
  </sheetViews>
  <sheetFormatPr defaultColWidth="8.90625" defaultRowHeight="13"/>
  <cols>
    <col min="1" max="1" width="3.6328125" style="105" customWidth="1"/>
    <col min="2" max="2" width="12.6328125" style="49" customWidth="1"/>
    <col min="3" max="8" width="8.6328125" style="47" customWidth="1"/>
    <col min="9" max="9" width="3.6328125" style="105" customWidth="1"/>
    <col min="10" max="10" width="12.6328125" style="49" customWidth="1"/>
    <col min="11" max="16" width="8.6328125" style="47" customWidth="1"/>
    <col min="17" max="17" width="3.6328125" style="105" customWidth="1"/>
    <col min="18" max="18" width="12.6328125" style="49" customWidth="1"/>
    <col min="19" max="24" width="8.6328125" style="47" customWidth="1"/>
    <col min="25" max="25" width="3.6328125" style="105" customWidth="1"/>
    <col min="26" max="26" width="12.6328125" style="49" customWidth="1"/>
    <col min="27" max="32" width="8.6328125" style="47" customWidth="1"/>
    <col min="33" max="33" width="3.6328125" style="105" customWidth="1"/>
    <col min="34" max="34" width="12.6328125" style="49" customWidth="1"/>
    <col min="35" max="40" width="8.6328125" style="47" customWidth="1"/>
    <col min="41" max="41" width="6.6328125" style="47" customWidth="1"/>
    <col min="42" max="42" width="15.6328125" style="47" customWidth="1"/>
    <col min="43" max="43" width="2.08984375" style="47" customWidth="1"/>
    <col min="44" max="16384" width="8.90625" style="47"/>
  </cols>
  <sheetData>
    <row r="1" spans="1:40" s="46" customFormat="1" ht="17.399999999999999" customHeight="1">
      <c r="A1" s="106"/>
      <c r="B1" s="1103" t="s">
        <v>3243</v>
      </c>
      <c r="C1" s="1098"/>
      <c r="D1" s="1098"/>
      <c r="E1" s="1098"/>
      <c r="F1" s="1098"/>
      <c r="G1" s="1098"/>
      <c r="H1" s="1098"/>
      <c r="I1" s="1098"/>
      <c r="J1" s="1098"/>
      <c r="K1" s="1098"/>
      <c r="L1" s="1098"/>
      <c r="M1" s="1098"/>
      <c r="N1" s="1098"/>
      <c r="O1" s="1098"/>
      <c r="P1" s="1098"/>
      <c r="Q1" s="1098"/>
      <c r="Y1" s="106"/>
      <c r="AG1" s="106"/>
    </row>
    <row r="2" spans="1:40" s="46" customFormat="1" ht="15.5" thickBot="1">
      <c r="A2" s="106"/>
      <c r="B2" s="54"/>
      <c r="I2" s="106"/>
      <c r="J2" s="54"/>
      <c r="Q2" s="106"/>
      <c r="R2" s="54"/>
      <c r="Y2" s="106"/>
      <c r="Z2" s="54"/>
      <c r="AG2" s="106"/>
      <c r="AH2" s="54"/>
    </row>
    <row r="3" spans="1:40" s="46" customFormat="1" ht="15.5" thickTop="1">
      <c r="A3" s="106"/>
      <c r="B3" s="107" t="s">
        <v>1608</v>
      </c>
      <c r="C3" s="1082" t="str">
        <f>説明用文章!E20</f>
        <v>0085-260227-紫紺の矢 ちょこん ももりん ミックスベリア 抜き苗 7種セット 多肉植物</v>
      </c>
      <c r="D3" s="1083"/>
      <c r="E3" s="1083"/>
      <c r="F3" s="1083"/>
      <c r="G3" s="1083"/>
      <c r="H3" s="1084"/>
      <c r="I3" s="106"/>
      <c r="J3" s="472" t="s">
        <v>3260</v>
      </c>
      <c r="K3" s="1085" t="str">
        <f>説明用文章!M20</f>
        <v>0086-260227-はじまりの花 ちょこん ももりん ミックスベリア 抜き苗 7種セット 多肉植物</v>
      </c>
      <c r="L3" s="1086"/>
      <c r="M3" s="1086"/>
      <c r="N3" s="1086"/>
      <c r="O3" s="1086"/>
      <c r="P3" s="1087"/>
      <c r="Q3" s="106"/>
      <c r="R3" s="482" t="s">
        <v>3261</v>
      </c>
      <c r="S3" s="1088" t="str">
        <f>説明用文章!U20</f>
        <v>0087-260227-スノーミルフィーユ ちょこん ももりん ミックスベリア 抜き苗 7種セット 多肉植物</v>
      </c>
      <c r="T3" s="1089"/>
      <c r="U3" s="1089"/>
      <c r="V3" s="1089"/>
      <c r="W3" s="1089"/>
      <c r="X3" s="1090"/>
      <c r="Y3" s="106"/>
      <c r="Z3" s="492" t="s">
        <v>3262</v>
      </c>
      <c r="AA3" s="1091" t="str">
        <f>説明用文章!AC20</f>
        <v>0088-260227-ブルーバニラ ちょこん ももりん ミックスベリア 抜き苗 7種セット 多肉植物</v>
      </c>
      <c r="AB3" s="1092"/>
      <c r="AC3" s="1092"/>
      <c r="AD3" s="1092"/>
      <c r="AE3" s="1092"/>
      <c r="AF3" s="1093"/>
      <c r="AG3" s="106"/>
      <c r="AH3" s="508" t="s">
        <v>3263</v>
      </c>
      <c r="AI3" s="1108" t="str">
        <f>説明用文章!AK20</f>
        <v>0089-260227-芍薬牡丹 ちょこん ももりん ミックスベリア 抜き苗 7種セット 多肉植物</v>
      </c>
      <c r="AJ3" s="1109"/>
      <c r="AK3" s="1109"/>
      <c r="AL3" s="1109"/>
      <c r="AM3" s="1109"/>
      <c r="AN3" s="1110"/>
    </row>
    <row r="4" spans="1:40" s="46" customFormat="1" ht="15.5" customHeight="1">
      <c r="A4" s="106"/>
      <c r="B4" s="108" t="s">
        <v>3430</v>
      </c>
      <c r="C4" s="1104" t="str">
        <f ca="1">"[{""name"":""DESC"",""text"":"""&amp;SUBSTITUTE(_xlfn.TEXTJOIN("\n",FALSE,説明用文章!C23:C46),"""","\""")&amp;"""},"&amp;_xlfn.TEXTJOIN(",",TRUE,A6:A18)&amp;"]"</f>
        <v>[{"name":"DESC","text":"おらいさん ミックスベリア 紫紺の矢 ちょこん ももりん 7種セット\n抜き苗、根付きです。葉挿し、子株から育成しました。\n\n紫紺の矢 ※札は付きません\nちょこん ※札は付きません\nももりん ※札は付きません\n白鳥\n斑入りグリーンネックレス\nエリザベス\nブロードドロップ\n\n※7苗全て2号(6cm)ポットです。\n\nご購入の前にプロフィールの一読をお願いします。\n本品は、第4種郵便での発送となります。\n品種名はつけませんので、本出品写真でご判断をお願いします。\n\n写真の苗を抜き苗で送付します。ポット、土はつきません。\n細心の注意を払いますが、梱包の際に取れてしまった葉は同梱します。\n本品は、4/12(日) 23:00までの出品とします。\n\n#多肉植物 #エケベリア #セダム #寄せ植え #ガーデニング #観葉植物\n\n"},{"name":"紫紺の矢","clock":"0","x":1734,"y":2150,"size":300,"color":[255,255,0],"offset":0},{"name":"ちょこん","clock":"4","x":2700,"y":2500,"size":250,"color":[255,255,0],"offset":0},{"name":"ももりん","clock":"8","x":700,"y":2500,"size":250,"color":[255,255,0],"offset":0},{"name":"白鳥","clock":"10","x":700,"y":1350,"size":275,"color":[255,255,0],"offset":0},{"name":"斑入りグリーンネックレス","clock":"6","x":1700,"y":3250,"size":200,"color":[255,255,0],"offset":3},{"name":"エリザベス","clock":"2","x":2700,"y":1350,"size":225,"color":[255,255,0],"offset":0},{"name":"ブロードドロップ","clock":"12","x":1734,"y":850,"size":180,"color":[255,255,0],"offset":0},{"name":"紫紺の矢","clock":"3枚目","x":1734,"y":3200,"size":500,"color":[255,255,0],"offset":0},{"name":"ちょこん","clock":"4枚目","x":1734,"y":3200,"size":500,"color":[255,255,0],"offset":0},{"name":"ももりん","clock":"5枚目","x":1734,"y":3200,"size":500,"color":[255,255,0],"offset":0},{"name":"白鳥","clock":"6枚目","x":1734,"y":3200,"size":500,"color":[255,255,0],"offset":0},{"name":"斑入りグリーンネックレス","clock":"7枚目","x":1734,"y":3200,"size":250,"color":[255,255,0],"offset":0},{"name":"エリザベス","clock":"8枚目","x":1734,"y":3200,"size":400,"color":[255,255,0],"offset":0}]</v>
      </c>
      <c r="D4" s="1104"/>
      <c r="E4" s="1104"/>
      <c r="F4" s="1104"/>
      <c r="G4" s="1104"/>
      <c r="H4" s="1107"/>
      <c r="I4" s="106"/>
      <c r="J4" s="142" t="s">
        <v>3430</v>
      </c>
      <c r="K4" s="1104" t="str">
        <f ca="1">"[{""name"":""DESC"",""text"":"""&amp;SUBSTITUTE(_xlfn.TEXTJOIN("\n",FALSE,説明用文章!K23:K46),"""","\""")&amp;"""},"&amp;_xlfn.TEXTJOIN(",",TRUE,I6:I18)&amp;"]"</f>
        <v>[{"name":"DESC","text":"おらいさん ミックスベリア はじまりの花 ちょこん ももりん 7種セット\n抜き苗、根付きです。葉挿し、子株から育成しました。\n\nはじまりの花 ※札は付きません\nちょこん ※札は付きません\nももりん ※札は付きません\n白鳥\n斑入りグリーンネックレス\nスノーエンジェル\n早春\n\n※7苗全て2号(6cm)ポットです。\n\nご購入の前にプロフィールの一読をお願いします。\n本品は、第4種郵便での発送となります。\n品種名はつけませんので、本出品写真でご判断をお願いします。\n\n写真の苗を抜き苗で送付します。ポット、土はつきません。\n細心の注意を払いますが、梱包の際に取れてしまった葉は同梱します。\n本品は、4/12(日) 23:00までの出品とします。\n\n#多肉植物 #エケベリア #セダム #寄せ植え #ガーデニング #観葉植物\n\n"},{"name":"はじまりの花","clock":"0","x":1734,"y":2150,"size":275,"color":[255,255,0],"offset":0},{"name":"ちょこん","clock":"4","x":2700,"y":2500,"size":250,"color":[255,255,0],"offset":0},{"name":"ももりん","clock":"8","x":700,"y":2500,"size":250,"color":[255,255,0],"offset":0},{"name":"白鳥","clock":"10","x":700,"y":1350,"size":275,"color":[255,255,0],"offset":0},{"name":"斑入りグリーンネックレス","clock":"6","x":1700,"y":3250,"size":200,"color":[255,255,0],"offset":3},{"name":"スノーエンジェル","clock":"2","x":2700,"y":1350,"size":180,"color":[255,255,0],"offset":0},{"name":"早春","clock":"12","x":1734,"y":850,"size":275,"color":[255,255,0],"offset":0},{"name":"はじまりの花","clock":"3枚目","x":1734,"y":3200,"size":450,"color":[255,255,0],"offset":0},{"name":"ちょこん","clock":"4枚目","x":1734,"y":3200,"size":500,"color":[255,255,0],"offset":0},{"name":"ももりん","clock":"5枚目","x":1734,"y":3200,"size":500,"color":[255,255,0],"offset":0},{"name":"白鳥","clock":"6枚目","x":1734,"y":3200,"size":500,"color":[255,255,0],"offset":0},{"name":"斑入りグリーンネックレス","clock":"7枚目","x":1734,"y":3200,"size":250,"color":[255,255,0],"offset":0},{"name":"スノーエンジェル","clock":"8枚目","x":1734,"y":3200,"size":350,"color":[255,255,0],"offset":0}]</v>
      </c>
      <c r="L4" s="1104"/>
      <c r="M4" s="1104"/>
      <c r="N4" s="1104"/>
      <c r="O4" s="1104"/>
      <c r="P4" s="1111"/>
      <c r="Q4" s="106"/>
      <c r="R4" s="159" t="s">
        <v>3430</v>
      </c>
      <c r="S4" s="1104" t="str">
        <f ca="1">"[{""name"":""DESC"",""text"":"""&amp;SUBSTITUTE(_xlfn.TEXTJOIN("\n",FALSE,説明用文章!S23:S46),"""","\""")&amp;"""},"&amp;_xlfn.TEXTJOIN(",",TRUE,Q6:Q18)&amp;"]"</f>
        <v>[{"name":"DESC","text":"おらいさん ミックスベリア スノーミルフィーユ ちょこん ももりん 7種セット\n抜き苗、根付きです。葉挿し、子株から育成しました。\n\nスノーミルフィーユ ※札は付きません\nちょこん ※札は付きません\nももりん ※札は付きません\n白鳥\n斑入りグリーンネックレス\nエリザベス\nスノーエンジェル\n\n※7苗全て2号(6cm)ポットです。\n\nご購入の前にプロフィールの一読をお願いします。\n本品は、第4種郵便での発送となります。\n品種名はつけませんので、本出品写真でご判断をお願いします。\n\n写真の苗を抜き苗で送付します。ポット、土はつきません。\n細心の注意を払いますが、梱包の際に取れてしまった葉は同梱します。\n本品は、4/12(日) 23:00までの出品とします。\n\n#多肉植物 #エケベリア #セダム #寄せ植え #ガーデニング #観葉植物\n\n"},{"name":"スノーミルフィーユ","clock":"0","x":1734,"y":2050,"size":250,"color":[255,255,0],"offset":0},{"name":"ちょこん","clock":"4","x":2700,"y":2500,"size":250,"color":[255,255,0],"offset":0},{"name":"ももりん","clock":"8","x":700,"y":2500,"size":250,"color":[255,255,0],"offset":0},{"name":"白鳥","clock":"10","x":700,"y":1350,"size":275,"color":[255,255,0],"offset":0},{"name":"斑入りグリーンネックレス","clock":"6","x":1700,"y":3250,"size":200,"color":[255,255,0],"offset":3},{"name":"エリザベス","clock":"2","x":2700,"y":1350,"size":225,"color":[255,255,0],"offset":0},{"name":"スノーエンジェル","clock":"12","x":1734,"y":1000,"size":180,"color":[255,255,0],"offset":0},{"name":"スノーミルフィーユ","clock":"3枚目","x":1734,"y":3200,"size":375,"color":[255,255,0],"offset":0},{"name":"ちょこん","clock":"4枚目","x":1734,"y":3200,"size":500,"color":[255,255,0],"offset":0},{"name":"ももりん","clock":"5枚目","x":1734,"y":3200,"size":500,"color":[255,255,0],"offset":0},{"name":"白鳥","clock":"6枚目","x":1734,"y":3200,"size":500,"color":[255,255,0],"offset":0},{"name":"斑入りグリーンネックレス","clock":"7枚目","x":1734,"y":3200,"size":250,"color":[255,255,0],"offset":0},{"name":"エリザベス","clock":"8枚目","x":1734,"y":3200,"size":400,"color":[255,255,0],"offset":0}]</v>
      </c>
      <c r="T4" s="1104"/>
      <c r="U4" s="1104"/>
      <c r="V4" s="1104"/>
      <c r="W4" s="1104"/>
      <c r="X4" s="1112"/>
      <c r="Y4" s="106"/>
      <c r="Z4" s="175" t="s">
        <v>3430</v>
      </c>
      <c r="AA4" s="1104" t="str">
        <f ca="1">"[{""name"":""DESC"",""text"":"""&amp;SUBSTITUTE(_xlfn.TEXTJOIN("\n",FALSE,説明用文章!AA23:AA46),"""","\""")&amp;"""},"&amp;_xlfn.TEXTJOIN(",",TRUE,Y6:Y18)&amp;"]"</f>
        <v>[{"name":"DESC","text":"おらいさん ミックスベリア ブルーバニラ ちょこん ももりん 7種セット\n抜き苗、根付きです。葉挿し、子株から育成しました。\n\nブルーバニラ ※札は付きません\nちょこん ※札は付きません\nももりん ※札は付きません\n白鳥\n斑入りグリーンネックレス\nアプス\n早春\n\n※7苗全て2号(6cm)ポットです。\n\nご購入の前にプロフィールの一読をお願いします。\n本品は、第4種郵便での発送となります。\n品種名はつけませんので、本出品写真でご判断をお願いします。\n\n写真の苗を抜き苗で送付します。ポット、土はつきません。\n細心の注意を払いますが、梱包の際に取れてしまった葉は同梱します。\n本品は、4/12(日) 23:00までの出品とします。\n\n#多肉植物 #エケベリア #セダム #寄せ植え #ガーデニング #観葉植物\n\n"},{"name":"ブルーバニラ","clock":"0","x":1734,"y":2150,"size":275,"color":[255,255,0],"offset":0},{"name":"ちょこん","clock":"4","x":2700,"y":2500,"size":250,"color":[255,255,0],"offset":0},{"name":"ももりん","clock":"8","x":700,"y":2500,"size":250,"color":[255,255,0],"offset":0},{"name":"白鳥","clock":"10","x":700,"y":1350,"size":275,"color":[255,255,0],"offset":0},{"name":"斑入りグリーンネックレス","clock":"6","x":1700,"y":3250,"size":200,"color":[255,255,0],"offset":3},{"name":"アプス","clock":"2","x":2700,"y":1350,"size":250,"color":[255,255,0],"offset":0},{"name":"早春","clock":"12","x":1734,"y":850,"size":275,"color":[255,255,0],"offset":0},{"name":"ブルーバニラ","clock":"3枚目","x":1734,"y":3200,"size":450,"color":[255,255,0],"offset":0},{"name":"ちょこん","clock":"4枚目","x":1734,"y":3200,"size":500,"color":[255,255,0],"offset":0},{"name":"ももりん","clock":"5枚目","x":1734,"y":3200,"size":500,"color":[255,255,0],"offset":0},{"name":"白鳥","clock":"6枚目","x":1734,"y":3200,"size":500,"color":[255,255,0],"offset":0},{"name":"斑入りグリーンネックレス","clock":"7枚目","x":1734,"y":3200,"size":250,"color":[255,255,0],"offset":0},{"name":"アプス","clock":"8枚目","x":1734,"y":3200,"size":450,"color":[255,255,0],"offset":0}]</v>
      </c>
      <c r="AB4" s="1104"/>
      <c r="AC4" s="1104"/>
      <c r="AD4" s="1104"/>
      <c r="AE4" s="1104"/>
      <c r="AF4" s="1105"/>
      <c r="AG4" s="106"/>
      <c r="AH4" s="497" t="s">
        <v>3430</v>
      </c>
      <c r="AI4" s="1104" t="str">
        <f ca="1">"[{""name"":""DESC"",""text"":"""&amp;SUBSTITUTE(_xlfn.TEXTJOIN("\n",FALSE,説明用文章!AI23:AI46),"""","\""")&amp;"""},"&amp;_xlfn.TEXTJOIN(",",TRUE,AG6:AG18)&amp;"]"</f>
        <v>[{"name":"DESC","text":"おらいさん ミックスベリア 芍薬牡丹 ちょこん ももりん 7種セット\n抜き苗、根付きです。葉挿し、子株から育成しました。\n\n芍薬牡丹 ※札は付きません\nちょこん ※札は付きません\nももりん ※札は付きません\n白鳥\n斑入りグリーンネックレス\nアメイジンググレイス\nブロードドロップ\n\n※7苗全て2号(6cm)ポットです。\n\nご購入の前にプロフィールの一読をお願いします。\n本品は、第4種郵便での発送となります。\n品種名はつけませんので、本出品写真でご判断をお願いします。\n\n写真の苗を抜き苗で送付します。ポット、土はつきません。\n細心の注意を払いますが、梱包の際に取れてしまった葉は同梱します。\n本品は、4/12(日) 23:00までの出品とします。\n\n#多肉植物 #エケベリア #セダム #寄せ植え #ガーデニング #観葉植物\n\n"},{"name":"芍薬牡丹","clock":"0","x":1734,"y":2150,"size":300,"color":[255,255,0],"offset":0},{"name":"ちょこん","clock":"4","x":2700,"y":2500,"size":250,"color":[255,255,0],"offset":0},{"name":"ももりん","clock":"8","x":700,"y":2500,"size":250,"color":[255,255,0],"offset":0},{"name":"白鳥","clock":"10","x":700,"y":1350,"size":275,"color":[255,255,0],"offset":0},{"name":"斑入りグリーンネックレス","clock":"6","x":1700,"y":3250,"size":200,"color":[255,255,0],"offset":3},{"name":"アメイジンググレイス","clock":"2","x":2700,"y":1350,"size":180,"color":[255,255,0],"offset":6},{"name":"ブロードドロップ","clock":"12","x":1734,"y":850,"size":180,"color":[255,255,0],"offset":0},{"name":"芍薬牡丹","clock":"3枚目","x":1734,"y":3200,"size":500,"color":[255,255,0],"offset":0},{"name":"ちょこん","clock":"4枚目","x":1734,"y":3200,"size":500,"color":[255,255,0],"offset":0},{"name":"ももりん","clock":"5枚目","x":1734,"y":3200,"size":500,"color":[255,255,0],"offset":0},{"name":"白鳥","clock":"6枚目","x":1734,"y":3200,"size":500,"color":[255,255,0],"offset":0},{"name":"斑入りグリーンネックレス","clock":"7枚目","x":1734,"y":3200,"size":250,"color":[255,255,0],"offset":0},{"name":"アメイジンググレイス","clock":"8枚目","x":1734,"y":3200,"size":300,"color":[255,255,0],"offset":0}]</v>
      </c>
      <c r="AJ4" s="1104"/>
      <c r="AK4" s="1104"/>
      <c r="AL4" s="1104"/>
      <c r="AM4" s="1104"/>
      <c r="AN4" s="1106"/>
    </row>
    <row r="5" spans="1:40" s="46" customFormat="1" ht="15">
      <c r="A5" s="106"/>
      <c r="B5" s="460" t="s">
        <v>3257</v>
      </c>
      <c r="C5" s="454" t="s">
        <v>3248</v>
      </c>
      <c r="D5" s="454" t="s">
        <v>3244</v>
      </c>
      <c r="E5" s="454" t="s">
        <v>3245</v>
      </c>
      <c r="F5" s="454" t="s">
        <v>3246</v>
      </c>
      <c r="G5" s="454" t="s">
        <v>3247</v>
      </c>
      <c r="H5" s="453" t="s">
        <v>3267</v>
      </c>
      <c r="I5" s="106"/>
      <c r="J5" s="473" t="s">
        <v>3257</v>
      </c>
      <c r="K5" s="454" t="s">
        <v>3248</v>
      </c>
      <c r="L5" s="454" t="s">
        <v>3244</v>
      </c>
      <c r="M5" s="454" t="s">
        <v>3245</v>
      </c>
      <c r="N5" s="454" t="s">
        <v>3246</v>
      </c>
      <c r="O5" s="454" t="s">
        <v>3247</v>
      </c>
      <c r="P5" s="467" t="s">
        <v>3268</v>
      </c>
      <c r="Q5" s="106"/>
      <c r="R5" s="483" t="s">
        <v>3257</v>
      </c>
      <c r="S5" s="454" t="s">
        <v>3248</v>
      </c>
      <c r="T5" s="454" t="s">
        <v>3244</v>
      </c>
      <c r="U5" s="454" t="s">
        <v>3245</v>
      </c>
      <c r="V5" s="454" t="s">
        <v>3246</v>
      </c>
      <c r="W5" s="454" t="s">
        <v>3247</v>
      </c>
      <c r="X5" s="477" t="s">
        <v>3268</v>
      </c>
      <c r="Y5" s="106"/>
      <c r="Z5" s="493" t="s">
        <v>3257</v>
      </c>
      <c r="AA5" s="454" t="s">
        <v>3248</v>
      </c>
      <c r="AB5" s="454" t="s">
        <v>3244</v>
      </c>
      <c r="AC5" s="454" t="s">
        <v>3245</v>
      </c>
      <c r="AD5" s="454" t="s">
        <v>3246</v>
      </c>
      <c r="AE5" s="454" t="s">
        <v>3247</v>
      </c>
      <c r="AF5" s="487" t="s">
        <v>3268</v>
      </c>
      <c r="AG5" s="106"/>
      <c r="AH5" s="507" t="s">
        <v>3257</v>
      </c>
      <c r="AI5" s="454" t="s">
        <v>3248</v>
      </c>
      <c r="AJ5" s="454" t="s">
        <v>3244</v>
      </c>
      <c r="AK5" s="454" t="s">
        <v>3245</v>
      </c>
      <c r="AL5" s="454" t="s">
        <v>3246</v>
      </c>
      <c r="AM5" s="454" t="s">
        <v>3247</v>
      </c>
      <c r="AN5" s="498" t="s">
        <v>3268</v>
      </c>
    </row>
    <row r="6" spans="1:40" s="46" customFormat="1" ht="15" customHeight="1">
      <c r="A6" s="466" t="str">
        <f>IF(B6="","", "{"&amp;"""name"":"""&amp;B6&amp;""",""clock"":"""&amp;C6&amp;""",""x"":"&amp;D6&amp;",""y"":"&amp;E6&amp;",""size"":"&amp;F6&amp;",""color"":["&amp;G6&amp;"],""offset"":"&amp;H6&amp;"}")</f>
        <v>{"name":"紫紺の矢","clock":"0","x":1734,"y":2150,"size":300,"color":[255,255,0],"offset":0}</v>
      </c>
      <c r="B6" s="461" t="str">
        <f>説明用文章!C12</f>
        <v>紫紺の矢</v>
      </c>
      <c r="C6" s="57">
        <v>0</v>
      </c>
      <c r="D6" s="57">
        <v>1734</v>
      </c>
      <c r="E6" s="57">
        <v>2150</v>
      </c>
      <c r="F6" s="57">
        <v>300</v>
      </c>
      <c r="G6" s="454" t="s">
        <v>3249</v>
      </c>
      <c r="H6" s="449">
        <v>0</v>
      </c>
      <c r="I6" s="466" t="str">
        <f>IF(J6="","", "{"&amp;"""name"":"""&amp;J6&amp;""",""clock"":"""&amp;K6&amp;""",""x"":"&amp;L6&amp;",""y"":"&amp;M6&amp;",""size"":"&amp;N6&amp;",""color"":["&amp;O6&amp;"],""offset"":"&amp;P6&amp;"}")</f>
        <v>{"name":"はじまりの花","clock":"0","x":1734,"y":2150,"size":275,"color":[255,255,0],"offset":0}</v>
      </c>
      <c r="J6" s="474" t="str">
        <f>説明用文章!K12</f>
        <v>はじまりの花</v>
      </c>
      <c r="K6" s="57">
        <v>0</v>
      </c>
      <c r="L6" s="57">
        <v>1734</v>
      </c>
      <c r="M6" s="57">
        <v>2150</v>
      </c>
      <c r="N6" s="57">
        <v>275</v>
      </c>
      <c r="O6" s="454" t="s">
        <v>3249</v>
      </c>
      <c r="P6" s="450">
        <v>0</v>
      </c>
      <c r="Q6" s="466" t="str">
        <f>IF(R6="","", "{"&amp;"""name"":"""&amp;R6&amp;""",""clock"":"""&amp;S6&amp;""",""x"":"&amp;T6&amp;",""y"":"&amp;U6&amp;",""size"":"&amp;V6&amp;",""color"":["&amp;W6&amp;"],""offset"":"&amp;X6&amp;"}")</f>
        <v>{"name":"スノーミルフィーユ","clock":"0","x":1734,"y":2050,"size":250,"color":[255,255,0],"offset":0}</v>
      </c>
      <c r="R6" s="484" t="str">
        <f>説明用文章!S12</f>
        <v>スノーミルフィーユ</v>
      </c>
      <c r="S6" s="57">
        <v>0</v>
      </c>
      <c r="T6" s="57">
        <v>1734</v>
      </c>
      <c r="U6" s="57">
        <v>2050</v>
      </c>
      <c r="V6" s="57">
        <v>250</v>
      </c>
      <c r="W6" s="454" t="s">
        <v>3249</v>
      </c>
      <c r="X6" s="451">
        <v>0</v>
      </c>
      <c r="Y6" s="466" t="str">
        <f>IF(Z6="","", "{"&amp;"""name"":"""&amp;Z6&amp;""",""clock"":"""&amp;AA6&amp;""",""x"":"&amp;AB6&amp;",""y"":"&amp;AC6&amp;",""size"":"&amp;AD6&amp;",""color"":["&amp;AE6&amp;"],""offset"":"&amp;AF6&amp;"}")</f>
        <v>{"name":"ブルーバニラ","clock":"0","x":1734,"y":2150,"size":275,"color":[255,255,0],"offset":0}</v>
      </c>
      <c r="Z6" s="494" t="str">
        <f>説明用文章!AA12</f>
        <v>ブルーバニラ</v>
      </c>
      <c r="AA6" s="57">
        <v>0</v>
      </c>
      <c r="AB6" s="57">
        <v>1734</v>
      </c>
      <c r="AC6" s="57">
        <v>2150</v>
      </c>
      <c r="AD6" s="57">
        <v>275</v>
      </c>
      <c r="AE6" s="454" t="s">
        <v>3249</v>
      </c>
      <c r="AF6" s="452">
        <v>0</v>
      </c>
      <c r="AG6" s="466" t="str">
        <f>IF(AH6="","", "{"&amp;"""name"":"""&amp;AH6&amp;""",""clock"":"""&amp;AI6&amp;""",""x"":"&amp;AJ6&amp;",""y"":"&amp;AK6&amp;",""size"":"&amp;AL6&amp;",""color"":["&amp;AM6&amp;"],""offset"":"&amp;AN6&amp;"}")</f>
        <v>{"name":"芍薬牡丹","clock":"0","x":1734,"y":2150,"size":300,"color":[255,255,0],"offset":0}</v>
      </c>
      <c r="AH6" s="506" t="str">
        <f>説明用文章!AI12</f>
        <v>芍薬牡丹</v>
      </c>
      <c r="AI6" s="57">
        <v>0</v>
      </c>
      <c r="AJ6" s="57">
        <v>1734</v>
      </c>
      <c r="AK6" s="57">
        <v>2150</v>
      </c>
      <c r="AL6" s="57">
        <v>300</v>
      </c>
      <c r="AM6" s="454" t="s">
        <v>3249</v>
      </c>
      <c r="AN6" s="499">
        <v>0</v>
      </c>
    </row>
    <row r="7" spans="1:40" s="46" customFormat="1" ht="15" customHeight="1">
      <c r="A7" s="466" t="str">
        <f t="shared" ref="A7:A19" si="0">IF(B7="","", "{"&amp;"""name"":"""&amp;B7&amp;""",""clock"":"""&amp;C7&amp;""",""x"":"&amp;D7&amp;",""y"":"&amp;E7&amp;",""size"":"&amp;F7&amp;",""color"":["&amp;G7&amp;"],""offset"":"&amp;H7&amp;"}")</f>
        <v>{"name":"ちょこん","clock":"4","x":2700,"y":2500,"size":250,"color":[255,255,0],"offset":0}</v>
      </c>
      <c r="B7" s="462" t="str">
        <f>_xlfn.XLOOKUP(C7,説明用文章!F$13:F$18,説明用文章!C$13:C$18,"NG",0,1)</f>
        <v>ちょこん</v>
      </c>
      <c r="C7" s="57">
        <f>説明用文章!F13</f>
        <v>4</v>
      </c>
      <c r="D7" s="57">
        <v>2700</v>
      </c>
      <c r="E7" s="57">
        <v>2500</v>
      </c>
      <c r="F7" s="57">
        <v>250</v>
      </c>
      <c r="G7" s="454" t="s">
        <v>3249</v>
      </c>
      <c r="H7" s="449">
        <v>0</v>
      </c>
      <c r="I7" s="466" t="str">
        <f t="shared" ref="I7:I19" si="1">IF(J7="","", "{"&amp;"""name"":"""&amp;J7&amp;""",""clock"":"""&amp;K7&amp;""",""x"":"&amp;L7&amp;",""y"":"&amp;M7&amp;",""size"":"&amp;N7&amp;",""color"":["&amp;O7&amp;"],""offset"":"&amp;P7&amp;"}")</f>
        <v>{"name":"ちょこん","clock":"4","x":2700,"y":2500,"size":250,"color":[255,255,0],"offset":0}</v>
      </c>
      <c r="J7" s="475" t="str">
        <f>_xlfn.XLOOKUP(K7,説明用文章!N$13:N$18,説明用文章!K$13:K$18,"NG",0,1)</f>
        <v>ちょこん</v>
      </c>
      <c r="K7" s="57">
        <f>説明用文章!N13</f>
        <v>4</v>
      </c>
      <c r="L7" s="57">
        <v>2700</v>
      </c>
      <c r="M7" s="57">
        <v>2500</v>
      </c>
      <c r="N7" s="57">
        <v>250</v>
      </c>
      <c r="O7" s="454" t="s">
        <v>3249</v>
      </c>
      <c r="P7" s="450">
        <v>0</v>
      </c>
      <c r="Q7" s="466" t="str">
        <f t="shared" ref="Q7:Q19" si="2">IF(R7="","", "{"&amp;"""name"":"""&amp;R7&amp;""",""clock"":"""&amp;S7&amp;""",""x"":"&amp;T7&amp;",""y"":"&amp;U7&amp;",""size"":"&amp;V7&amp;",""color"":["&amp;W7&amp;"],""offset"":"&amp;X7&amp;"}")</f>
        <v>{"name":"ちょこん","clock":"4","x":2700,"y":2500,"size":250,"color":[255,255,0],"offset":0}</v>
      </c>
      <c r="R7" s="485" t="str">
        <f>_xlfn.XLOOKUP(S7,説明用文章!V$13:V$18,説明用文章!S$13:S$18,"NG",0,1)</f>
        <v>ちょこん</v>
      </c>
      <c r="S7" s="57">
        <f>説明用文章!V13</f>
        <v>4</v>
      </c>
      <c r="T7" s="57">
        <v>2700</v>
      </c>
      <c r="U7" s="57">
        <v>2500</v>
      </c>
      <c r="V7" s="57">
        <v>250</v>
      </c>
      <c r="W7" s="454" t="s">
        <v>3249</v>
      </c>
      <c r="X7" s="451">
        <v>0</v>
      </c>
      <c r="Y7" s="466" t="str">
        <f t="shared" ref="Y7:Y19" si="3">IF(Z7="","", "{"&amp;"""name"":"""&amp;Z7&amp;""",""clock"":"""&amp;AA7&amp;""",""x"":"&amp;AB7&amp;",""y"":"&amp;AC7&amp;",""size"":"&amp;AD7&amp;",""color"":["&amp;AE7&amp;"],""offset"":"&amp;AF7&amp;"}")</f>
        <v>{"name":"ちょこん","clock":"4","x":2700,"y":2500,"size":250,"color":[255,255,0],"offset":0}</v>
      </c>
      <c r="Z7" s="495" t="str">
        <f>_xlfn.XLOOKUP(AA7,説明用文章!AD$13:AD$18,説明用文章!AA$13:AA$18,"NG",0,1)</f>
        <v>ちょこん</v>
      </c>
      <c r="AA7" s="57">
        <f>説明用文章!AD13</f>
        <v>4</v>
      </c>
      <c r="AB7" s="57">
        <v>2700</v>
      </c>
      <c r="AC7" s="57">
        <v>2500</v>
      </c>
      <c r="AD7" s="57">
        <v>250</v>
      </c>
      <c r="AE7" s="454" t="s">
        <v>3249</v>
      </c>
      <c r="AF7" s="452">
        <v>0</v>
      </c>
      <c r="AG7" s="466" t="str">
        <f t="shared" ref="AG7:AG19" si="4">IF(AH7="","", "{"&amp;"""name"":"""&amp;AH7&amp;""",""clock"":"""&amp;AI7&amp;""",""x"":"&amp;AJ7&amp;",""y"":"&amp;AK7&amp;",""size"":"&amp;AL7&amp;",""color"":["&amp;AM7&amp;"],""offset"":"&amp;AN7&amp;"}")</f>
        <v>{"name":"ちょこん","clock":"4","x":2700,"y":2500,"size":250,"color":[255,255,0],"offset":0}</v>
      </c>
      <c r="AH7" s="504" t="str">
        <f>_xlfn.XLOOKUP(AI7,説明用文章!AL$13:AL$18,説明用文章!AI$13:AI$18,"NG",0,1)</f>
        <v>ちょこん</v>
      </c>
      <c r="AI7" s="57">
        <f>説明用文章!AL13</f>
        <v>4</v>
      </c>
      <c r="AJ7" s="57">
        <v>2700</v>
      </c>
      <c r="AK7" s="57">
        <v>2500</v>
      </c>
      <c r="AL7" s="57">
        <v>250</v>
      </c>
      <c r="AM7" s="454" t="s">
        <v>3249</v>
      </c>
      <c r="AN7" s="499">
        <v>0</v>
      </c>
    </row>
    <row r="8" spans="1:40" s="46" customFormat="1" ht="15" customHeight="1">
      <c r="A8" s="466" t="str">
        <f t="shared" si="0"/>
        <v>{"name":"ももりん","clock":"8","x":700,"y":2500,"size":250,"color":[255,255,0],"offset":0}</v>
      </c>
      <c r="B8" s="462" t="str">
        <f>_xlfn.XLOOKUP(C8,説明用文章!F$13:F$18,説明用文章!C$13:C$18,"NG",0,1)</f>
        <v>ももりん</v>
      </c>
      <c r="C8" s="57">
        <f>説明用文章!F14</f>
        <v>8</v>
      </c>
      <c r="D8" s="57">
        <v>700</v>
      </c>
      <c r="E8" s="57">
        <v>2500</v>
      </c>
      <c r="F8" s="57">
        <v>250</v>
      </c>
      <c r="G8" s="454" t="s">
        <v>3249</v>
      </c>
      <c r="H8" s="449">
        <v>0</v>
      </c>
      <c r="I8" s="466" t="str">
        <f t="shared" si="1"/>
        <v>{"name":"ももりん","clock":"8","x":700,"y":2500,"size":250,"color":[255,255,0],"offset":0}</v>
      </c>
      <c r="J8" s="475" t="str">
        <f>_xlfn.XLOOKUP(K8,説明用文章!N$13:N$18,説明用文章!K$13:K$18,"NG",0,1)</f>
        <v>ももりん</v>
      </c>
      <c r="K8" s="57">
        <f>説明用文章!N14</f>
        <v>8</v>
      </c>
      <c r="L8" s="57">
        <v>700</v>
      </c>
      <c r="M8" s="57">
        <v>2500</v>
      </c>
      <c r="N8" s="57">
        <v>250</v>
      </c>
      <c r="O8" s="454" t="s">
        <v>3249</v>
      </c>
      <c r="P8" s="450">
        <v>0</v>
      </c>
      <c r="Q8" s="466" t="str">
        <f t="shared" si="2"/>
        <v>{"name":"ももりん","clock":"8","x":700,"y":2500,"size":250,"color":[255,255,0],"offset":0}</v>
      </c>
      <c r="R8" s="485" t="str">
        <f>_xlfn.XLOOKUP(S8,説明用文章!V$13:V$18,説明用文章!S$13:S$18,"NG",0,1)</f>
        <v>ももりん</v>
      </c>
      <c r="S8" s="57">
        <f>説明用文章!V14</f>
        <v>8</v>
      </c>
      <c r="T8" s="57">
        <v>700</v>
      </c>
      <c r="U8" s="57">
        <v>2500</v>
      </c>
      <c r="V8" s="57">
        <v>250</v>
      </c>
      <c r="W8" s="454" t="s">
        <v>3249</v>
      </c>
      <c r="X8" s="451">
        <v>0</v>
      </c>
      <c r="Y8" s="466" t="str">
        <f t="shared" si="3"/>
        <v>{"name":"ももりん","clock":"8","x":700,"y":2500,"size":250,"color":[255,255,0],"offset":0}</v>
      </c>
      <c r="Z8" s="495" t="str">
        <f>_xlfn.XLOOKUP(AA8,説明用文章!AD$13:AD$18,説明用文章!AA$13:AA$18,"NG",0,1)</f>
        <v>ももりん</v>
      </c>
      <c r="AA8" s="57">
        <f>説明用文章!AD14</f>
        <v>8</v>
      </c>
      <c r="AB8" s="57">
        <v>700</v>
      </c>
      <c r="AC8" s="57">
        <v>2500</v>
      </c>
      <c r="AD8" s="57">
        <v>250</v>
      </c>
      <c r="AE8" s="454" t="s">
        <v>3249</v>
      </c>
      <c r="AF8" s="452">
        <v>0</v>
      </c>
      <c r="AG8" s="466" t="str">
        <f t="shared" si="4"/>
        <v>{"name":"ももりん","clock":"8","x":700,"y":2500,"size":250,"color":[255,255,0],"offset":0}</v>
      </c>
      <c r="AH8" s="504" t="str">
        <f>_xlfn.XLOOKUP(AI8,説明用文章!AL$13:AL$18,説明用文章!AI$13:AI$18,"NG",0,1)</f>
        <v>ももりん</v>
      </c>
      <c r="AI8" s="57">
        <f>説明用文章!AL14</f>
        <v>8</v>
      </c>
      <c r="AJ8" s="57">
        <v>700</v>
      </c>
      <c r="AK8" s="57">
        <v>2500</v>
      </c>
      <c r="AL8" s="57">
        <v>250</v>
      </c>
      <c r="AM8" s="454" t="s">
        <v>3249</v>
      </c>
      <c r="AN8" s="499">
        <v>0</v>
      </c>
    </row>
    <row r="9" spans="1:40" s="46" customFormat="1" ht="15" customHeight="1">
      <c r="A9" s="466" t="str">
        <f t="shared" si="0"/>
        <v>{"name":"白鳥","clock":"10","x":700,"y":1350,"size":275,"color":[255,255,0],"offset":0}</v>
      </c>
      <c r="B9" s="462" t="str">
        <f>_xlfn.XLOOKUP(C9,説明用文章!F$13:F$18,説明用文章!C$13:C$18,"NG",0,1)</f>
        <v>白鳥</v>
      </c>
      <c r="C9" s="57">
        <f>説明用文章!F15</f>
        <v>10</v>
      </c>
      <c r="D9" s="57">
        <v>700</v>
      </c>
      <c r="E9" s="57">
        <v>1350</v>
      </c>
      <c r="F9" s="57">
        <v>275</v>
      </c>
      <c r="G9" s="454" t="s">
        <v>3249</v>
      </c>
      <c r="H9" s="449">
        <v>0</v>
      </c>
      <c r="I9" s="466" t="str">
        <f t="shared" si="1"/>
        <v>{"name":"白鳥","clock":"10","x":700,"y":1350,"size":275,"color":[255,255,0],"offset":0}</v>
      </c>
      <c r="J9" s="475" t="str">
        <f>_xlfn.XLOOKUP(K9,説明用文章!N$13:N$18,説明用文章!K$13:K$18,"NG",0,1)</f>
        <v>白鳥</v>
      </c>
      <c r="K9" s="57">
        <f>説明用文章!N15</f>
        <v>10</v>
      </c>
      <c r="L9" s="57">
        <v>700</v>
      </c>
      <c r="M9" s="57">
        <v>1350</v>
      </c>
      <c r="N9" s="57">
        <v>275</v>
      </c>
      <c r="O9" s="454" t="s">
        <v>3249</v>
      </c>
      <c r="P9" s="450">
        <v>0</v>
      </c>
      <c r="Q9" s="466" t="str">
        <f t="shared" si="2"/>
        <v>{"name":"白鳥","clock":"10","x":700,"y":1350,"size":275,"color":[255,255,0],"offset":0}</v>
      </c>
      <c r="R9" s="485" t="str">
        <f>_xlfn.XLOOKUP(S9,説明用文章!V$13:V$18,説明用文章!S$13:S$18,"NG",0,1)</f>
        <v>白鳥</v>
      </c>
      <c r="S9" s="57">
        <f>説明用文章!V15</f>
        <v>10</v>
      </c>
      <c r="T9" s="57">
        <v>700</v>
      </c>
      <c r="U9" s="57">
        <v>1350</v>
      </c>
      <c r="V9" s="57">
        <v>275</v>
      </c>
      <c r="W9" s="454" t="s">
        <v>3249</v>
      </c>
      <c r="X9" s="451">
        <v>0</v>
      </c>
      <c r="Y9" s="466" t="str">
        <f t="shared" si="3"/>
        <v>{"name":"白鳥","clock":"10","x":700,"y":1350,"size":275,"color":[255,255,0],"offset":0}</v>
      </c>
      <c r="Z9" s="495" t="str">
        <f>_xlfn.XLOOKUP(AA9,説明用文章!AD$13:AD$18,説明用文章!AA$13:AA$18,"NG",0,1)</f>
        <v>白鳥</v>
      </c>
      <c r="AA9" s="57">
        <f>説明用文章!AD15</f>
        <v>10</v>
      </c>
      <c r="AB9" s="57">
        <v>700</v>
      </c>
      <c r="AC9" s="57">
        <v>1350</v>
      </c>
      <c r="AD9" s="57">
        <v>275</v>
      </c>
      <c r="AE9" s="454" t="s">
        <v>3249</v>
      </c>
      <c r="AF9" s="452">
        <v>0</v>
      </c>
      <c r="AG9" s="466" t="str">
        <f t="shared" si="4"/>
        <v>{"name":"白鳥","clock":"10","x":700,"y":1350,"size":275,"color":[255,255,0],"offset":0}</v>
      </c>
      <c r="AH9" s="504" t="str">
        <f>_xlfn.XLOOKUP(AI9,説明用文章!AL$13:AL$18,説明用文章!AI$13:AI$18,"NG",0,1)</f>
        <v>白鳥</v>
      </c>
      <c r="AI9" s="57">
        <f>説明用文章!AL15</f>
        <v>10</v>
      </c>
      <c r="AJ9" s="57">
        <v>700</v>
      </c>
      <c r="AK9" s="57">
        <v>1350</v>
      </c>
      <c r="AL9" s="57">
        <v>275</v>
      </c>
      <c r="AM9" s="454" t="s">
        <v>3249</v>
      </c>
      <c r="AN9" s="499">
        <v>0</v>
      </c>
    </row>
    <row r="10" spans="1:40" s="46" customFormat="1" ht="15" customHeight="1">
      <c r="A10" s="466" t="str">
        <f t="shared" si="0"/>
        <v>{"name":"斑入りグリーンネックレス","clock":"6","x":1700,"y":3250,"size":200,"color":[255,255,0],"offset":3}</v>
      </c>
      <c r="B10" s="462" t="str">
        <f>_xlfn.XLOOKUP(C10,説明用文章!F$13:F$18,説明用文章!C$13:C$18,"NG",0,1)</f>
        <v>斑入りグリーンネックレス</v>
      </c>
      <c r="C10" s="57">
        <f>説明用文章!F16</f>
        <v>6</v>
      </c>
      <c r="D10" s="57">
        <v>1700</v>
      </c>
      <c r="E10" s="57">
        <v>3250</v>
      </c>
      <c r="F10" s="57">
        <v>200</v>
      </c>
      <c r="G10" s="454" t="s">
        <v>3249</v>
      </c>
      <c r="H10" s="449">
        <v>3</v>
      </c>
      <c r="I10" s="466" t="str">
        <f t="shared" si="1"/>
        <v>{"name":"斑入りグリーンネックレス","clock":"6","x":1700,"y":3250,"size":200,"color":[255,255,0],"offset":3}</v>
      </c>
      <c r="J10" s="475" t="str">
        <f>_xlfn.XLOOKUP(K10,説明用文章!N$13:N$18,説明用文章!K$13:K$18,"NG",0,1)</f>
        <v>斑入りグリーンネックレス</v>
      </c>
      <c r="K10" s="57">
        <f>説明用文章!N16</f>
        <v>6</v>
      </c>
      <c r="L10" s="57">
        <v>1700</v>
      </c>
      <c r="M10" s="57">
        <v>3250</v>
      </c>
      <c r="N10" s="57">
        <v>200</v>
      </c>
      <c r="O10" s="454" t="s">
        <v>3249</v>
      </c>
      <c r="P10" s="450">
        <v>3</v>
      </c>
      <c r="Q10" s="466" t="str">
        <f t="shared" si="2"/>
        <v>{"name":"斑入りグリーンネックレス","clock":"6","x":1700,"y":3250,"size":200,"color":[255,255,0],"offset":3}</v>
      </c>
      <c r="R10" s="485" t="str">
        <f>_xlfn.XLOOKUP(S10,説明用文章!V$13:V$18,説明用文章!S$13:S$18,"NG",0,1)</f>
        <v>斑入りグリーンネックレス</v>
      </c>
      <c r="S10" s="57">
        <f>説明用文章!V16</f>
        <v>6</v>
      </c>
      <c r="T10" s="57">
        <v>1700</v>
      </c>
      <c r="U10" s="57">
        <v>3250</v>
      </c>
      <c r="V10" s="57">
        <v>200</v>
      </c>
      <c r="W10" s="454" t="s">
        <v>3249</v>
      </c>
      <c r="X10" s="451">
        <v>3</v>
      </c>
      <c r="Y10" s="466" t="str">
        <f t="shared" si="3"/>
        <v>{"name":"斑入りグリーンネックレス","clock":"6","x":1700,"y":3250,"size":200,"color":[255,255,0],"offset":3}</v>
      </c>
      <c r="Z10" s="495" t="str">
        <f>_xlfn.XLOOKUP(AA10,説明用文章!AD$13:AD$18,説明用文章!AA$13:AA$18,"NG",0,1)</f>
        <v>斑入りグリーンネックレス</v>
      </c>
      <c r="AA10" s="57">
        <f>説明用文章!AD16</f>
        <v>6</v>
      </c>
      <c r="AB10" s="57">
        <v>1700</v>
      </c>
      <c r="AC10" s="57">
        <v>3250</v>
      </c>
      <c r="AD10" s="57">
        <v>200</v>
      </c>
      <c r="AE10" s="454" t="s">
        <v>3249</v>
      </c>
      <c r="AF10" s="452">
        <v>3</v>
      </c>
      <c r="AG10" s="466" t="str">
        <f t="shared" si="4"/>
        <v>{"name":"斑入りグリーンネックレス","clock":"6","x":1700,"y":3250,"size":200,"color":[255,255,0],"offset":3}</v>
      </c>
      <c r="AH10" s="504" t="str">
        <f>_xlfn.XLOOKUP(AI10,説明用文章!AL$13:AL$18,説明用文章!AI$13:AI$18,"NG",0,1)</f>
        <v>斑入りグリーンネックレス</v>
      </c>
      <c r="AI10" s="57">
        <f>説明用文章!AL16</f>
        <v>6</v>
      </c>
      <c r="AJ10" s="57">
        <v>1700</v>
      </c>
      <c r="AK10" s="57">
        <v>3250</v>
      </c>
      <c r="AL10" s="57">
        <v>200</v>
      </c>
      <c r="AM10" s="454" t="s">
        <v>3249</v>
      </c>
      <c r="AN10" s="499">
        <v>3</v>
      </c>
    </row>
    <row r="11" spans="1:40" s="46" customFormat="1" ht="15" customHeight="1">
      <c r="A11" s="466" t="str">
        <f t="shared" si="0"/>
        <v>{"name":"エリザベス","clock":"2","x":2700,"y":1350,"size":225,"color":[255,255,0],"offset":0}</v>
      </c>
      <c r="B11" s="462" t="str">
        <f>_xlfn.XLOOKUP(C11,説明用文章!F$13:F$18,説明用文章!C$13:C$18,"NG",0,1)</f>
        <v>エリザベス</v>
      </c>
      <c r="C11" s="57">
        <f>説明用文章!F17</f>
        <v>2</v>
      </c>
      <c r="D11" s="57">
        <v>2700</v>
      </c>
      <c r="E11" s="57">
        <v>1350</v>
      </c>
      <c r="F11" s="57">
        <v>225</v>
      </c>
      <c r="G11" s="454" t="s">
        <v>3249</v>
      </c>
      <c r="H11" s="449">
        <v>0</v>
      </c>
      <c r="I11" s="466" t="str">
        <f t="shared" si="1"/>
        <v>{"name":"スノーエンジェル","clock":"2","x":2700,"y":1350,"size":180,"color":[255,255,0],"offset":0}</v>
      </c>
      <c r="J11" s="475" t="str">
        <f>_xlfn.XLOOKUP(K11,説明用文章!N$13:N$18,説明用文章!K$13:K$18,"NG",0,1)</f>
        <v>スノーエンジェル</v>
      </c>
      <c r="K11" s="57">
        <f>説明用文章!N17</f>
        <v>2</v>
      </c>
      <c r="L11" s="57">
        <v>2700</v>
      </c>
      <c r="M11" s="57">
        <v>1350</v>
      </c>
      <c r="N11" s="57">
        <v>180</v>
      </c>
      <c r="O11" s="454" t="s">
        <v>3249</v>
      </c>
      <c r="P11" s="450">
        <v>0</v>
      </c>
      <c r="Q11" s="466" t="str">
        <f t="shared" si="2"/>
        <v>{"name":"エリザベス","clock":"2","x":2700,"y":1350,"size":225,"color":[255,255,0],"offset":0}</v>
      </c>
      <c r="R11" s="485" t="str">
        <f>_xlfn.XLOOKUP(S11,説明用文章!V$13:V$18,説明用文章!S$13:S$18,"NG",0,1)</f>
        <v>エリザベス</v>
      </c>
      <c r="S11" s="57">
        <f>説明用文章!V17</f>
        <v>2</v>
      </c>
      <c r="T11" s="57">
        <v>2700</v>
      </c>
      <c r="U11" s="57">
        <v>1350</v>
      </c>
      <c r="V11" s="57">
        <v>225</v>
      </c>
      <c r="W11" s="454" t="s">
        <v>3249</v>
      </c>
      <c r="X11" s="451">
        <v>0</v>
      </c>
      <c r="Y11" s="466" t="str">
        <f t="shared" si="3"/>
        <v>{"name":"アプス","clock":"2","x":2700,"y":1350,"size":250,"color":[255,255,0],"offset":0}</v>
      </c>
      <c r="Z11" s="495" t="str">
        <f>_xlfn.XLOOKUP(AA11,説明用文章!AD$13:AD$18,説明用文章!AA$13:AA$18,"NG",0,1)</f>
        <v>アプス</v>
      </c>
      <c r="AA11" s="57">
        <f>説明用文章!AD17</f>
        <v>2</v>
      </c>
      <c r="AB11" s="57">
        <v>2700</v>
      </c>
      <c r="AC11" s="57">
        <v>1350</v>
      </c>
      <c r="AD11" s="57">
        <v>250</v>
      </c>
      <c r="AE11" s="454" t="s">
        <v>3249</v>
      </c>
      <c r="AF11" s="452">
        <v>0</v>
      </c>
      <c r="AG11" s="466" t="str">
        <f t="shared" si="4"/>
        <v>{"name":"アメイジンググレイス","clock":"2","x":2700,"y":1350,"size":180,"color":[255,255,0],"offset":6}</v>
      </c>
      <c r="AH11" s="504" t="str">
        <f>_xlfn.XLOOKUP(AI11,説明用文章!AL$13:AL$18,説明用文章!AI$13:AI$18,"NG",0,1)</f>
        <v>アメイジンググレイス</v>
      </c>
      <c r="AI11" s="57">
        <f>説明用文章!AL17</f>
        <v>2</v>
      </c>
      <c r="AJ11" s="57">
        <v>2700</v>
      </c>
      <c r="AK11" s="57">
        <v>1350</v>
      </c>
      <c r="AL11" s="57">
        <v>180</v>
      </c>
      <c r="AM11" s="454" t="s">
        <v>3249</v>
      </c>
      <c r="AN11" s="499">
        <v>6</v>
      </c>
    </row>
    <row r="12" spans="1:40" s="46" customFormat="1" ht="15" customHeight="1" thickBot="1">
      <c r="A12" s="466" t="str">
        <f t="shared" si="0"/>
        <v>{"name":"ブロードドロップ","clock":"12","x":1734,"y":850,"size":180,"color":[255,255,0],"offset":0}</v>
      </c>
      <c r="B12" s="463" t="str">
        <f>_xlfn.XLOOKUP(C12,説明用文章!F$13:F$18,説明用文章!C$13:C$18,"NG",0,1)</f>
        <v>ブロードドロップ</v>
      </c>
      <c r="C12" s="457">
        <f>説明用文章!F18</f>
        <v>12</v>
      </c>
      <c r="D12" s="457">
        <v>1734</v>
      </c>
      <c r="E12" s="457">
        <v>850</v>
      </c>
      <c r="F12" s="457">
        <v>180</v>
      </c>
      <c r="G12" s="458" t="s">
        <v>3249</v>
      </c>
      <c r="H12" s="459">
        <v>0</v>
      </c>
      <c r="I12" s="466" t="str">
        <f t="shared" si="1"/>
        <v>{"name":"早春","clock":"12","x":1734,"y":850,"size":275,"color":[255,255,0],"offset":0}</v>
      </c>
      <c r="J12" s="476" t="str">
        <f>_xlfn.XLOOKUP(K12,説明用文章!N$13:N$18,説明用文章!K$13:K$18,"NG",0,1)</f>
        <v>早春</v>
      </c>
      <c r="K12" s="469">
        <f>説明用文章!N18</f>
        <v>12</v>
      </c>
      <c r="L12" s="469">
        <v>1734</v>
      </c>
      <c r="M12" s="469">
        <v>850</v>
      </c>
      <c r="N12" s="469">
        <v>275</v>
      </c>
      <c r="O12" s="470" t="s">
        <v>3249</v>
      </c>
      <c r="P12" s="471">
        <v>0</v>
      </c>
      <c r="Q12" s="466" t="str">
        <f t="shared" si="2"/>
        <v>{"name":"スノーエンジェル","clock":"12","x":1734,"y":1000,"size":180,"color":[255,255,0],"offset":0}</v>
      </c>
      <c r="R12" s="486" t="str">
        <f>_xlfn.XLOOKUP(S12,説明用文章!V$13:V$18,説明用文章!S$13:S$18,"NG",0,1)</f>
        <v>スノーエンジェル</v>
      </c>
      <c r="S12" s="479">
        <f>説明用文章!V18</f>
        <v>12</v>
      </c>
      <c r="T12" s="479">
        <v>1734</v>
      </c>
      <c r="U12" s="479">
        <v>1000</v>
      </c>
      <c r="V12" s="479">
        <v>180</v>
      </c>
      <c r="W12" s="480" t="s">
        <v>3249</v>
      </c>
      <c r="X12" s="481">
        <v>0</v>
      </c>
      <c r="Y12" s="466" t="str">
        <f t="shared" si="3"/>
        <v>{"name":"早春","clock":"12","x":1734,"y":850,"size":275,"color":[255,255,0],"offset":0}</v>
      </c>
      <c r="Z12" s="496" t="str">
        <f>_xlfn.XLOOKUP(AA12,説明用文章!AD$13:AD$18,説明用文章!AA$13:AA$18,"NG",0,1)</f>
        <v>早春</v>
      </c>
      <c r="AA12" s="489">
        <f>説明用文章!AD18</f>
        <v>12</v>
      </c>
      <c r="AB12" s="489">
        <v>1734</v>
      </c>
      <c r="AC12" s="489">
        <v>850</v>
      </c>
      <c r="AD12" s="489">
        <v>275</v>
      </c>
      <c r="AE12" s="490" t="s">
        <v>3249</v>
      </c>
      <c r="AF12" s="491">
        <v>0</v>
      </c>
      <c r="AG12" s="466" t="str">
        <f t="shared" si="4"/>
        <v>{"name":"ブロードドロップ","clock":"12","x":1734,"y":850,"size":180,"color":[255,255,0],"offset":0}</v>
      </c>
      <c r="AH12" s="505" t="str">
        <f>_xlfn.XLOOKUP(AI12,説明用文章!AL$13:AL$18,説明用文章!AI$13:AI$18,"NG",0,1)</f>
        <v>ブロードドロップ</v>
      </c>
      <c r="AI12" s="501">
        <f>説明用文章!AL18</f>
        <v>12</v>
      </c>
      <c r="AJ12" s="501">
        <v>1734</v>
      </c>
      <c r="AK12" s="501">
        <v>850</v>
      </c>
      <c r="AL12" s="501">
        <v>180</v>
      </c>
      <c r="AM12" s="502" t="s">
        <v>3249</v>
      </c>
      <c r="AN12" s="503">
        <v>0</v>
      </c>
    </row>
    <row r="13" spans="1:40" ht="15" customHeight="1" thickTop="1">
      <c r="A13" s="466" t="str">
        <f t="shared" si="0"/>
        <v>{"name":"紫紺の矢","clock":"3枚目","x":1734,"y":3200,"size":500,"color":[255,255,0],"offset":0}</v>
      </c>
      <c r="B13" s="1036" t="str">
        <f>説明用文章!C12</f>
        <v>紫紺の矢</v>
      </c>
      <c r="C13" s="1037" t="s">
        <v>3250</v>
      </c>
      <c r="D13" s="134">
        <v>1734</v>
      </c>
      <c r="E13" s="134">
        <v>3200</v>
      </c>
      <c r="F13" s="134">
        <v>500</v>
      </c>
      <c r="G13" s="1038" t="s">
        <v>3249</v>
      </c>
      <c r="H13" s="1039">
        <v>0</v>
      </c>
      <c r="I13" s="466" t="str">
        <f t="shared" si="1"/>
        <v>{"name":"はじまりの花","clock":"3枚目","x":1734,"y":3200,"size":450,"color":[255,255,0],"offset":0}</v>
      </c>
      <c r="J13" s="1040" t="str">
        <f>説明用文章!K12</f>
        <v>はじまりの花</v>
      </c>
      <c r="K13" s="1037" t="s">
        <v>3250</v>
      </c>
      <c r="L13" s="134">
        <v>1734</v>
      </c>
      <c r="M13" s="134">
        <v>3200</v>
      </c>
      <c r="N13" s="134">
        <v>450</v>
      </c>
      <c r="O13" s="1038" t="s">
        <v>3249</v>
      </c>
      <c r="P13" s="1041">
        <v>0</v>
      </c>
      <c r="Q13" s="466" t="str">
        <f t="shared" si="2"/>
        <v>{"name":"スノーミルフィーユ","clock":"3枚目","x":1734,"y":3200,"size":375,"color":[255,255,0],"offset":0}</v>
      </c>
      <c r="R13" s="1042" t="str">
        <f>説明用文章!S12</f>
        <v>スノーミルフィーユ</v>
      </c>
      <c r="S13" s="1037" t="s">
        <v>3250</v>
      </c>
      <c r="T13" s="134">
        <v>1734</v>
      </c>
      <c r="U13" s="134">
        <v>3200</v>
      </c>
      <c r="V13" s="134">
        <v>375</v>
      </c>
      <c r="W13" s="1038" t="s">
        <v>3249</v>
      </c>
      <c r="X13" s="1043">
        <v>0</v>
      </c>
      <c r="Y13" s="466" t="str">
        <f t="shared" si="3"/>
        <v>{"name":"ブルーバニラ","clock":"3枚目","x":1734,"y":3200,"size":450,"color":[255,255,0],"offset":0}</v>
      </c>
      <c r="Z13" s="1044" t="str">
        <f>説明用文章!AA12</f>
        <v>ブルーバニラ</v>
      </c>
      <c r="AA13" s="1037" t="s">
        <v>3250</v>
      </c>
      <c r="AB13" s="134">
        <v>1734</v>
      </c>
      <c r="AC13" s="134">
        <v>3200</v>
      </c>
      <c r="AD13" s="134">
        <v>450</v>
      </c>
      <c r="AE13" s="1038" t="s">
        <v>3249</v>
      </c>
      <c r="AF13" s="1045">
        <v>0</v>
      </c>
      <c r="AG13" s="466" t="str">
        <f t="shared" si="4"/>
        <v>{"name":"芍薬牡丹","clock":"3枚目","x":1734,"y":3200,"size":500,"color":[255,255,0],"offset":0}</v>
      </c>
      <c r="AH13" s="1046" t="str">
        <f>説明用文章!AI12</f>
        <v>芍薬牡丹</v>
      </c>
      <c r="AI13" s="1037" t="s">
        <v>3250</v>
      </c>
      <c r="AJ13" s="134">
        <v>1734</v>
      </c>
      <c r="AK13" s="134">
        <v>3200</v>
      </c>
      <c r="AL13" s="134">
        <v>500</v>
      </c>
      <c r="AM13" s="1038" t="s">
        <v>3249</v>
      </c>
      <c r="AN13" s="1047">
        <v>0</v>
      </c>
    </row>
    <row r="14" spans="1:40" ht="15" customHeight="1">
      <c r="A14" s="466" t="str">
        <f t="shared" si="0"/>
        <v>{"name":"ちょこん","clock":"4枚目","x":1734,"y":3200,"size":500,"color":[255,255,0],"offset":0}</v>
      </c>
      <c r="B14" s="462" t="str">
        <f>説明用文章!C13</f>
        <v>ちょこん</v>
      </c>
      <c r="C14" s="455" t="s">
        <v>3251</v>
      </c>
      <c r="D14" s="57">
        <v>1734</v>
      </c>
      <c r="E14" s="57">
        <v>3200</v>
      </c>
      <c r="F14" s="57">
        <v>500</v>
      </c>
      <c r="G14" s="454" t="s">
        <v>3249</v>
      </c>
      <c r="H14" s="449">
        <v>0</v>
      </c>
      <c r="I14" s="466" t="str">
        <f t="shared" si="1"/>
        <v>{"name":"ちょこん","clock":"4枚目","x":1734,"y":3200,"size":500,"color":[255,255,0],"offset":0}</v>
      </c>
      <c r="J14" s="475" t="str">
        <f>説明用文章!K13</f>
        <v>ちょこん</v>
      </c>
      <c r="K14" s="455" t="s">
        <v>3251</v>
      </c>
      <c r="L14" s="57">
        <v>1734</v>
      </c>
      <c r="M14" s="57">
        <v>3200</v>
      </c>
      <c r="N14" s="57">
        <v>500</v>
      </c>
      <c r="O14" s="454" t="s">
        <v>3249</v>
      </c>
      <c r="P14" s="450">
        <v>0</v>
      </c>
      <c r="Q14" s="466" t="str">
        <f t="shared" si="2"/>
        <v>{"name":"ちょこん","clock":"4枚目","x":1734,"y":3200,"size":500,"color":[255,255,0],"offset":0}</v>
      </c>
      <c r="R14" s="485" t="str">
        <f>説明用文章!S13</f>
        <v>ちょこん</v>
      </c>
      <c r="S14" s="455" t="s">
        <v>3251</v>
      </c>
      <c r="T14" s="57">
        <v>1734</v>
      </c>
      <c r="U14" s="57">
        <v>3200</v>
      </c>
      <c r="V14" s="57">
        <v>500</v>
      </c>
      <c r="W14" s="454" t="s">
        <v>3249</v>
      </c>
      <c r="X14" s="451">
        <v>0</v>
      </c>
      <c r="Y14" s="466" t="str">
        <f t="shared" si="3"/>
        <v>{"name":"ちょこん","clock":"4枚目","x":1734,"y":3200,"size":500,"color":[255,255,0],"offset":0}</v>
      </c>
      <c r="Z14" s="495" t="str">
        <f>説明用文章!AA13</f>
        <v>ちょこん</v>
      </c>
      <c r="AA14" s="455" t="s">
        <v>3251</v>
      </c>
      <c r="AB14" s="57">
        <v>1734</v>
      </c>
      <c r="AC14" s="57">
        <v>3200</v>
      </c>
      <c r="AD14" s="57">
        <v>500</v>
      </c>
      <c r="AE14" s="454" t="s">
        <v>3249</v>
      </c>
      <c r="AF14" s="452">
        <v>0</v>
      </c>
      <c r="AG14" s="466" t="str">
        <f t="shared" si="4"/>
        <v>{"name":"ちょこん","clock":"4枚目","x":1734,"y":3200,"size":500,"color":[255,255,0],"offset":0}</v>
      </c>
      <c r="AH14" s="504" t="str">
        <f>説明用文章!AI13</f>
        <v>ちょこん</v>
      </c>
      <c r="AI14" s="455" t="s">
        <v>3251</v>
      </c>
      <c r="AJ14" s="57">
        <v>1734</v>
      </c>
      <c r="AK14" s="57">
        <v>3200</v>
      </c>
      <c r="AL14" s="57">
        <v>500</v>
      </c>
      <c r="AM14" s="454" t="s">
        <v>3249</v>
      </c>
      <c r="AN14" s="499">
        <v>0</v>
      </c>
    </row>
    <row r="15" spans="1:40" ht="15" customHeight="1">
      <c r="A15" s="466" t="str">
        <f t="shared" si="0"/>
        <v>{"name":"ももりん","clock":"5枚目","x":1734,"y":3200,"size":500,"color":[255,255,0],"offset":0}</v>
      </c>
      <c r="B15" s="462" t="str">
        <f>説明用文章!C14</f>
        <v>ももりん</v>
      </c>
      <c r="C15" s="455" t="s">
        <v>3252</v>
      </c>
      <c r="D15" s="57">
        <v>1734</v>
      </c>
      <c r="E15" s="57">
        <v>3200</v>
      </c>
      <c r="F15" s="57">
        <v>500</v>
      </c>
      <c r="G15" s="454" t="s">
        <v>3249</v>
      </c>
      <c r="H15" s="449">
        <v>0</v>
      </c>
      <c r="I15" s="466" t="str">
        <f t="shared" si="1"/>
        <v>{"name":"ももりん","clock":"5枚目","x":1734,"y":3200,"size":500,"color":[255,255,0],"offset":0}</v>
      </c>
      <c r="J15" s="475" t="str">
        <f>説明用文章!K14</f>
        <v>ももりん</v>
      </c>
      <c r="K15" s="455" t="s">
        <v>3252</v>
      </c>
      <c r="L15" s="57">
        <v>1734</v>
      </c>
      <c r="M15" s="57">
        <v>3200</v>
      </c>
      <c r="N15" s="57">
        <v>500</v>
      </c>
      <c r="O15" s="454" t="s">
        <v>3249</v>
      </c>
      <c r="P15" s="450">
        <v>0</v>
      </c>
      <c r="Q15" s="466" t="str">
        <f t="shared" si="2"/>
        <v>{"name":"ももりん","clock":"5枚目","x":1734,"y":3200,"size":500,"color":[255,255,0],"offset":0}</v>
      </c>
      <c r="R15" s="485" t="str">
        <f>説明用文章!S14</f>
        <v>ももりん</v>
      </c>
      <c r="S15" s="455" t="s">
        <v>3252</v>
      </c>
      <c r="T15" s="57">
        <v>1734</v>
      </c>
      <c r="U15" s="57">
        <v>3200</v>
      </c>
      <c r="V15" s="57">
        <v>500</v>
      </c>
      <c r="W15" s="454" t="s">
        <v>3249</v>
      </c>
      <c r="X15" s="451">
        <v>0</v>
      </c>
      <c r="Y15" s="466" t="str">
        <f t="shared" si="3"/>
        <v>{"name":"ももりん","clock":"5枚目","x":1734,"y":3200,"size":500,"color":[255,255,0],"offset":0}</v>
      </c>
      <c r="Z15" s="495" t="str">
        <f>説明用文章!AA14</f>
        <v>ももりん</v>
      </c>
      <c r="AA15" s="455" t="s">
        <v>3252</v>
      </c>
      <c r="AB15" s="57">
        <v>1734</v>
      </c>
      <c r="AC15" s="57">
        <v>3200</v>
      </c>
      <c r="AD15" s="57">
        <v>500</v>
      </c>
      <c r="AE15" s="454" t="s">
        <v>3249</v>
      </c>
      <c r="AF15" s="452">
        <v>0</v>
      </c>
      <c r="AG15" s="466" t="str">
        <f t="shared" si="4"/>
        <v>{"name":"ももりん","clock":"5枚目","x":1734,"y":3200,"size":500,"color":[255,255,0],"offset":0}</v>
      </c>
      <c r="AH15" s="504" t="str">
        <f>説明用文章!AI14</f>
        <v>ももりん</v>
      </c>
      <c r="AI15" s="455" t="s">
        <v>3252</v>
      </c>
      <c r="AJ15" s="57">
        <v>1734</v>
      </c>
      <c r="AK15" s="57">
        <v>3200</v>
      </c>
      <c r="AL15" s="57">
        <v>500</v>
      </c>
      <c r="AM15" s="454" t="s">
        <v>3249</v>
      </c>
      <c r="AN15" s="499">
        <v>0</v>
      </c>
    </row>
    <row r="16" spans="1:40" ht="15" customHeight="1">
      <c r="A16" s="466" t="str">
        <f t="shared" si="0"/>
        <v>{"name":"白鳥","clock":"6枚目","x":1734,"y":3200,"size":500,"color":[255,255,0],"offset":0}</v>
      </c>
      <c r="B16" s="462" t="str">
        <f>説明用文章!C15</f>
        <v>白鳥</v>
      </c>
      <c r="C16" s="455" t="s">
        <v>3253</v>
      </c>
      <c r="D16" s="57">
        <v>1734</v>
      </c>
      <c r="E16" s="57">
        <v>3200</v>
      </c>
      <c r="F16" s="57">
        <v>500</v>
      </c>
      <c r="G16" s="454" t="s">
        <v>3249</v>
      </c>
      <c r="H16" s="449">
        <v>0</v>
      </c>
      <c r="I16" s="466" t="str">
        <f t="shared" si="1"/>
        <v>{"name":"白鳥","clock":"6枚目","x":1734,"y":3200,"size":500,"color":[255,255,0],"offset":0}</v>
      </c>
      <c r="J16" s="475" t="str">
        <f>説明用文章!K15</f>
        <v>白鳥</v>
      </c>
      <c r="K16" s="455" t="s">
        <v>3253</v>
      </c>
      <c r="L16" s="57">
        <v>1734</v>
      </c>
      <c r="M16" s="57">
        <v>3200</v>
      </c>
      <c r="N16" s="57">
        <v>500</v>
      </c>
      <c r="O16" s="454" t="s">
        <v>3249</v>
      </c>
      <c r="P16" s="450">
        <v>0</v>
      </c>
      <c r="Q16" s="466" t="str">
        <f t="shared" si="2"/>
        <v>{"name":"白鳥","clock":"6枚目","x":1734,"y":3200,"size":500,"color":[255,255,0],"offset":0}</v>
      </c>
      <c r="R16" s="485" t="str">
        <f>説明用文章!S15</f>
        <v>白鳥</v>
      </c>
      <c r="S16" s="455" t="s">
        <v>3253</v>
      </c>
      <c r="T16" s="57">
        <v>1734</v>
      </c>
      <c r="U16" s="57">
        <v>3200</v>
      </c>
      <c r="V16" s="57">
        <v>500</v>
      </c>
      <c r="W16" s="454" t="s">
        <v>3249</v>
      </c>
      <c r="X16" s="451">
        <v>0</v>
      </c>
      <c r="Y16" s="466" t="str">
        <f t="shared" si="3"/>
        <v>{"name":"白鳥","clock":"6枚目","x":1734,"y":3200,"size":500,"color":[255,255,0],"offset":0}</v>
      </c>
      <c r="Z16" s="495" t="str">
        <f>説明用文章!AA15</f>
        <v>白鳥</v>
      </c>
      <c r="AA16" s="455" t="s">
        <v>3253</v>
      </c>
      <c r="AB16" s="57">
        <v>1734</v>
      </c>
      <c r="AC16" s="57">
        <v>3200</v>
      </c>
      <c r="AD16" s="57">
        <v>500</v>
      </c>
      <c r="AE16" s="454" t="s">
        <v>3249</v>
      </c>
      <c r="AF16" s="452">
        <v>0</v>
      </c>
      <c r="AG16" s="466" t="str">
        <f t="shared" si="4"/>
        <v>{"name":"白鳥","clock":"6枚目","x":1734,"y":3200,"size":500,"color":[255,255,0],"offset":0}</v>
      </c>
      <c r="AH16" s="504" t="str">
        <f>説明用文章!AI15</f>
        <v>白鳥</v>
      </c>
      <c r="AI16" s="455" t="s">
        <v>3253</v>
      </c>
      <c r="AJ16" s="57">
        <v>1734</v>
      </c>
      <c r="AK16" s="57">
        <v>3200</v>
      </c>
      <c r="AL16" s="57">
        <v>500</v>
      </c>
      <c r="AM16" s="454" t="s">
        <v>3249</v>
      </c>
      <c r="AN16" s="499">
        <v>0</v>
      </c>
    </row>
    <row r="17" spans="1:40" ht="15" customHeight="1">
      <c r="A17" s="466" t="str">
        <f t="shared" si="0"/>
        <v>{"name":"斑入りグリーンネックレス","clock":"7枚目","x":1734,"y":3200,"size":250,"color":[255,255,0],"offset":0}</v>
      </c>
      <c r="B17" s="462" t="str">
        <f>説明用文章!C16</f>
        <v>斑入りグリーンネックレス</v>
      </c>
      <c r="C17" s="455" t="s">
        <v>3254</v>
      </c>
      <c r="D17" s="57">
        <v>1734</v>
      </c>
      <c r="E17" s="57">
        <v>3200</v>
      </c>
      <c r="F17" s="57">
        <v>250</v>
      </c>
      <c r="G17" s="454" t="s">
        <v>3249</v>
      </c>
      <c r="H17" s="449">
        <v>0</v>
      </c>
      <c r="I17" s="466" t="str">
        <f t="shared" si="1"/>
        <v>{"name":"斑入りグリーンネックレス","clock":"7枚目","x":1734,"y":3200,"size":250,"color":[255,255,0],"offset":0}</v>
      </c>
      <c r="J17" s="475" t="str">
        <f>説明用文章!K16</f>
        <v>斑入りグリーンネックレス</v>
      </c>
      <c r="K17" s="455" t="s">
        <v>3254</v>
      </c>
      <c r="L17" s="57">
        <v>1734</v>
      </c>
      <c r="M17" s="57">
        <v>3200</v>
      </c>
      <c r="N17" s="57">
        <v>250</v>
      </c>
      <c r="O17" s="454" t="s">
        <v>3249</v>
      </c>
      <c r="P17" s="450">
        <v>0</v>
      </c>
      <c r="Q17" s="466" t="str">
        <f t="shared" si="2"/>
        <v>{"name":"斑入りグリーンネックレス","clock":"7枚目","x":1734,"y":3200,"size":250,"color":[255,255,0],"offset":0}</v>
      </c>
      <c r="R17" s="485" t="str">
        <f>説明用文章!S16</f>
        <v>斑入りグリーンネックレス</v>
      </c>
      <c r="S17" s="455" t="s">
        <v>3254</v>
      </c>
      <c r="T17" s="57">
        <v>1734</v>
      </c>
      <c r="U17" s="57">
        <v>3200</v>
      </c>
      <c r="V17" s="57">
        <v>250</v>
      </c>
      <c r="W17" s="454" t="s">
        <v>3249</v>
      </c>
      <c r="X17" s="451">
        <v>0</v>
      </c>
      <c r="Y17" s="466" t="str">
        <f t="shared" si="3"/>
        <v>{"name":"斑入りグリーンネックレス","clock":"7枚目","x":1734,"y":3200,"size":250,"color":[255,255,0],"offset":0}</v>
      </c>
      <c r="Z17" s="495" t="str">
        <f>説明用文章!AA16</f>
        <v>斑入りグリーンネックレス</v>
      </c>
      <c r="AA17" s="455" t="s">
        <v>3254</v>
      </c>
      <c r="AB17" s="57">
        <v>1734</v>
      </c>
      <c r="AC17" s="57">
        <v>3200</v>
      </c>
      <c r="AD17" s="57">
        <v>250</v>
      </c>
      <c r="AE17" s="454" t="s">
        <v>3249</v>
      </c>
      <c r="AF17" s="452">
        <v>0</v>
      </c>
      <c r="AG17" s="466" t="str">
        <f t="shared" si="4"/>
        <v>{"name":"斑入りグリーンネックレス","clock":"7枚目","x":1734,"y":3200,"size":250,"color":[255,255,0],"offset":0}</v>
      </c>
      <c r="AH17" s="504" t="str">
        <f>説明用文章!AI16</f>
        <v>斑入りグリーンネックレス</v>
      </c>
      <c r="AI17" s="455" t="s">
        <v>3254</v>
      </c>
      <c r="AJ17" s="57">
        <v>1734</v>
      </c>
      <c r="AK17" s="57">
        <v>3200</v>
      </c>
      <c r="AL17" s="57">
        <v>250</v>
      </c>
      <c r="AM17" s="454" t="s">
        <v>3249</v>
      </c>
      <c r="AN17" s="499">
        <v>0</v>
      </c>
    </row>
    <row r="18" spans="1:40" ht="15" customHeight="1">
      <c r="A18" s="466" t="str">
        <f t="shared" si="0"/>
        <v>{"name":"エリザベス","clock":"8枚目","x":1734,"y":3200,"size":400,"color":[255,255,0],"offset":0}</v>
      </c>
      <c r="B18" s="462" t="str">
        <f>説明用文章!C17</f>
        <v>エリザベス</v>
      </c>
      <c r="C18" s="455" t="s">
        <v>3255</v>
      </c>
      <c r="D18" s="57">
        <v>1734</v>
      </c>
      <c r="E18" s="57">
        <v>3200</v>
      </c>
      <c r="F18" s="57">
        <v>400</v>
      </c>
      <c r="G18" s="454" t="s">
        <v>3249</v>
      </c>
      <c r="H18" s="449">
        <v>0</v>
      </c>
      <c r="I18" s="466" t="str">
        <f t="shared" si="1"/>
        <v>{"name":"スノーエンジェル","clock":"8枚目","x":1734,"y":3200,"size":350,"color":[255,255,0],"offset":0}</v>
      </c>
      <c r="J18" s="475" t="str">
        <f>説明用文章!K17</f>
        <v>スノーエンジェル</v>
      </c>
      <c r="K18" s="455" t="s">
        <v>3255</v>
      </c>
      <c r="L18" s="57">
        <v>1734</v>
      </c>
      <c r="M18" s="57">
        <v>3200</v>
      </c>
      <c r="N18" s="57">
        <v>350</v>
      </c>
      <c r="O18" s="454" t="s">
        <v>3249</v>
      </c>
      <c r="P18" s="450">
        <v>0</v>
      </c>
      <c r="Q18" s="466" t="str">
        <f t="shared" si="2"/>
        <v>{"name":"エリザベス","clock":"8枚目","x":1734,"y":3200,"size":400,"color":[255,255,0],"offset":0}</v>
      </c>
      <c r="R18" s="485" t="str">
        <f>説明用文章!S17</f>
        <v>エリザベス</v>
      </c>
      <c r="S18" s="455" t="s">
        <v>3255</v>
      </c>
      <c r="T18" s="57">
        <v>1734</v>
      </c>
      <c r="U18" s="57">
        <v>3200</v>
      </c>
      <c r="V18" s="57">
        <v>400</v>
      </c>
      <c r="W18" s="454" t="s">
        <v>3249</v>
      </c>
      <c r="X18" s="451">
        <v>0</v>
      </c>
      <c r="Y18" s="466" t="str">
        <f t="shared" si="3"/>
        <v>{"name":"アプス","clock":"8枚目","x":1734,"y":3200,"size":450,"color":[255,255,0],"offset":0}</v>
      </c>
      <c r="Z18" s="495" t="str">
        <f>説明用文章!AA17</f>
        <v>アプス</v>
      </c>
      <c r="AA18" s="455" t="s">
        <v>3255</v>
      </c>
      <c r="AB18" s="57">
        <v>1734</v>
      </c>
      <c r="AC18" s="57">
        <v>3200</v>
      </c>
      <c r="AD18" s="57">
        <v>450</v>
      </c>
      <c r="AE18" s="454" t="s">
        <v>3249</v>
      </c>
      <c r="AF18" s="452">
        <v>0</v>
      </c>
      <c r="AG18" s="466" t="str">
        <f t="shared" si="4"/>
        <v>{"name":"アメイジンググレイス","clock":"8枚目","x":1734,"y":3200,"size":300,"color":[255,255,0],"offset":0}</v>
      </c>
      <c r="AH18" s="504" t="str">
        <f>説明用文章!AI17</f>
        <v>アメイジンググレイス</v>
      </c>
      <c r="AI18" s="455" t="s">
        <v>3255</v>
      </c>
      <c r="AJ18" s="57">
        <v>1734</v>
      </c>
      <c r="AK18" s="57">
        <v>3200</v>
      </c>
      <c r="AL18" s="57">
        <v>300</v>
      </c>
      <c r="AM18" s="454" t="s">
        <v>3249</v>
      </c>
      <c r="AN18" s="499">
        <v>0</v>
      </c>
    </row>
    <row r="19" spans="1:40" ht="15" customHeight="1" thickBot="1">
      <c r="A19" s="466" t="str">
        <f t="shared" si="0"/>
        <v>{"name":"ブロードドロップ","clock":"9枚目","x":1734,"y":3200,"size":350,"color":[255,255,0],"offset":0}</v>
      </c>
      <c r="B19" s="463" t="str">
        <f>説明用文章!C18</f>
        <v>ブロードドロップ</v>
      </c>
      <c r="C19" s="456" t="s">
        <v>3256</v>
      </c>
      <c r="D19" s="457">
        <v>1734</v>
      </c>
      <c r="E19" s="457">
        <v>3200</v>
      </c>
      <c r="F19" s="457">
        <v>350</v>
      </c>
      <c r="G19" s="458" t="s">
        <v>3249</v>
      </c>
      <c r="H19" s="459">
        <v>0</v>
      </c>
      <c r="I19" s="466" t="str">
        <f t="shared" si="1"/>
        <v>{"name":"早春","clock":"9枚目","x":1734,"y":3200,"size":500,"color":[255,255,0],"offset":0}</v>
      </c>
      <c r="J19" s="476" t="str">
        <f>説明用文章!K18</f>
        <v>早春</v>
      </c>
      <c r="K19" s="468" t="s">
        <v>3256</v>
      </c>
      <c r="L19" s="469">
        <v>1734</v>
      </c>
      <c r="M19" s="469">
        <v>3200</v>
      </c>
      <c r="N19" s="469">
        <v>500</v>
      </c>
      <c r="O19" s="470" t="s">
        <v>3249</v>
      </c>
      <c r="P19" s="471">
        <v>0</v>
      </c>
      <c r="Q19" s="466" t="str">
        <f t="shared" si="2"/>
        <v>{"name":"スノーエンジェル","clock":"9枚目","x":1734,"y":3200,"size":350,"color":[255,255,0],"offset":0}</v>
      </c>
      <c r="R19" s="486" t="str">
        <f>説明用文章!S18</f>
        <v>スノーエンジェル</v>
      </c>
      <c r="S19" s="478" t="s">
        <v>3256</v>
      </c>
      <c r="T19" s="479">
        <v>1734</v>
      </c>
      <c r="U19" s="479">
        <v>3200</v>
      </c>
      <c r="V19" s="479">
        <v>350</v>
      </c>
      <c r="W19" s="480" t="s">
        <v>3249</v>
      </c>
      <c r="X19" s="481">
        <v>0</v>
      </c>
      <c r="Y19" s="466" t="str">
        <f t="shared" si="3"/>
        <v>{"name":"早春","clock":"9枚目","x":1734,"y":3200,"size":500,"color":[255,255,0],"offset":0}</v>
      </c>
      <c r="Z19" s="496" t="str">
        <f>説明用文章!AA18</f>
        <v>早春</v>
      </c>
      <c r="AA19" s="488" t="s">
        <v>3256</v>
      </c>
      <c r="AB19" s="489">
        <v>1734</v>
      </c>
      <c r="AC19" s="489">
        <v>3200</v>
      </c>
      <c r="AD19" s="489">
        <v>500</v>
      </c>
      <c r="AE19" s="490" t="s">
        <v>3249</v>
      </c>
      <c r="AF19" s="491">
        <v>0</v>
      </c>
      <c r="AG19" s="466" t="str">
        <f t="shared" si="4"/>
        <v>{"name":"ブロードドロップ","clock":"9枚目","x":1734,"y":3200,"size":350,"color":[255,255,0],"offset":0}</v>
      </c>
      <c r="AH19" s="505" t="str">
        <f>説明用文章!AI18</f>
        <v>ブロードドロップ</v>
      </c>
      <c r="AI19" s="500" t="s">
        <v>3256</v>
      </c>
      <c r="AJ19" s="501">
        <v>1734</v>
      </c>
      <c r="AK19" s="501">
        <v>3200</v>
      </c>
      <c r="AL19" s="501">
        <v>350</v>
      </c>
      <c r="AM19" s="502" t="s">
        <v>3249</v>
      </c>
      <c r="AN19" s="503">
        <v>0</v>
      </c>
    </row>
    <row r="20" spans="1:40" ht="13.5" thickTop="1"/>
    <row r="21" spans="1:40" ht="15">
      <c r="B21" s="464" t="s">
        <v>3259</v>
      </c>
      <c r="C21" s="465" t="s">
        <v>3258</v>
      </c>
      <c r="J21" s="464" t="s">
        <v>3259</v>
      </c>
      <c r="K21" s="465" t="s">
        <v>3258</v>
      </c>
      <c r="R21" s="464" t="s">
        <v>3259</v>
      </c>
      <c r="S21" s="465" t="s">
        <v>3258</v>
      </c>
      <c r="Z21" s="464" t="s">
        <v>3259</v>
      </c>
      <c r="AA21" s="465" t="s">
        <v>3258</v>
      </c>
      <c r="AH21" s="464" t="s">
        <v>3259</v>
      </c>
      <c r="AI21" s="465" t="s">
        <v>3258</v>
      </c>
    </row>
    <row r="22" spans="1:40" ht="15">
      <c r="B22" s="54" t="s">
        <v>3431</v>
      </c>
      <c r="C22" s="465" t="str">
        <f>"python ""G:\マイドライブ\多肉リスト\process_images.py"" ""G:\マイドライブ\多肉リスト"" """&amp;C3&amp;""""</f>
        <v>python "G:\マイドライブ\多肉リスト\process_images.py" "G:\マイドライブ\多肉リスト" "0085-260227-紫紺の矢 ちょこん ももりん ミックスベリア 抜き苗 7種セット 多肉植物"</v>
      </c>
      <c r="J22" s="54" t="s">
        <v>3431</v>
      </c>
      <c r="K22" s="465" t="str">
        <f>"python ""G:\マイドライブ\多肉リスト\process_images.py"" ""G:\マイドライブ\多肉リスト"" """ &amp; K3 &amp; """"</f>
        <v>python "G:\マイドライブ\多肉リスト\process_images.py" "G:\マイドライブ\多肉リスト" "0086-260227-はじまりの花 ちょこん ももりん ミックスベリア 抜き苗 7種セット 多肉植物"</v>
      </c>
      <c r="R22" s="54" t="s">
        <v>3431</v>
      </c>
      <c r="S22" s="465" t="str">
        <f>"python ""G:\マイドライブ\多肉リスト\process_images.py"" ""G:\マイドライブ\多肉リスト"" """ &amp; S3 &amp; """"</f>
        <v>python "G:\マイドライブ\多肉リスト\process_images.py" "G:\マイドライブ\多肉リスト" "0087-260227-スノーミルフィーユ ちょこん ももりん ミックスベリア 抜き苗 7種セット 多肉植物"</v>
      </c>
      <c r="Z22" s="54" t="s">
        <v>3431</v>
      </c>
      <c r="AA22" s="465" t="str">
        <f>"python ""G:\マイドライブ\多肉リスト\process_images.py"" ""G:\マイドライブ\多肉リスト"" """ &amp; AA3 &amp; """"</f>
        <v>python "G:\マイドライブ\多肉リスト\process_images.py" "G:\マイドライブ\多肉リスト" "0088-260227-ブルーバニラ ちょこん ももりん ミックスベリア 抜き苗 7種セット 多肉植物"</v>
      </c>
      <c r="AH22" s="54" t="s">
        <v>3431</v>
      </c>
      <c r="AI22" s="465" t="str">
        <f>"python ""G:\マイドライブ\多肉リスト\process_images.py"" ""G:\マイドライブ\多肉リスト"" """ &amp; AI3 &amp; """"</f>
        <v>python "G:\マイドライブ\多肉リスト\process_images.py" "G:\マイドライブ\多肉リスト" "0089-260227-芍薬牡丹 ちょこん ももりん ミックスベリア 抜き苗 7種セット 多肉植物"</v>
      </c>
    </row>
    <row r="23" spans="1:40" ht="15">
      <c r="B23" s="54" t="s">
        <v>3429</v>
      </c>
      <c r="C23" s="46" t="str">
        <f>"python ""G:\マイドライブ\多肉リスト\make_folder.py"" ""G:\マイドライブ\多肉リスト"" """&amp;C3&amp;""""</f>
        <v>python "G:\マイドライブ\多肉リスト\make_folder.py" "G:\マイドライブ\多肉リスト" "0085-260227-紫紺の矢 ちょこん ももりん ミックスベリア 抜き苗 7種セット 多肉植物"</v>
      </c>
      <c r="J23" s="54" t="s">
        <v>3429</v>
      </c>
      <c r="K23" s="46" t="str">
        <f>"python ""G:\マイドライブ\多肉リスト\make_folder.py"" ""G:\マイドライブ\多肉リスト"" """&amp;K3&amp;""""</f>
        <v>python "G:\マイドライブ\多肉リスト\make_folder.py" "G:\マイドライブ\多肉リスト" "0086-260227-はじまりの花 ちょこん ももりん ミックスベリア 抜き苗 7種セット 多肉植物"</v>
      </c>
      <c r="R23" s="54" t="s">
        <v>3429</v>
      </c>
      <c r="S23" s="46" t="str">
        <f>"python ""G:\マイドライブ\多肉リスト\make_folder.py"" ""G:\マイドライブ\多肉リスト"" """&amp;S3&amp;""""</f>
        <v>python "G:\マイドライブ\多肉リスト\make_folder.py" "G:\マイドライブ\多肉リスト" "0087-260227-スノーミルフィーユ ちょこん ももりん ミックスベリア 抜き苗 7種セット 多肉植物"</v>
      </c>
      <c r="Z23" s="54" t="s">
        <v>3429</v>
      </c>
      <c r="AA23" s="46" t="str">
        <f>"python ""G:\マイドライブ\多肉リスト\make_folder.py"" ""G:\マイドライブ\多肉リスト"" """&amp;AA3&amp;""""</f>
        <v>python "G:\マイドライブ\多肉リスト\make_folder.py" "G:\マイドライブ\多肉リスト" "0088-260227-ブルーバニラ ちょこん ももりん ミックスベリア 抜き苗 7種セット 多肉植物"</v>
      </c>
      <c r="AH23" s="54" t="s">
        <v>3429</v>
      </c>
      <c r="AI23" s="46" t="str">
        <f>"python ""G:\マイドライブ\多肉リスト\make_folder.py"" ""G:\マイドライブ\多肉リスト"" """&amp;AI3&amp;""""</f>
        <v>python "G:\マイドライブ\多肉リスト\make_folder.py" "G:\マイドライブ\多肉リスト" "0089-260227-芍薬牡丹 ちょこん ももりん ミックスベリア 抜き苗 7種セット 多肉植物"</v>
      </c>
    </row>
  </sheetData>
  <mergeCells count="11">
    <mergeCell ref="B1:Q1"/>
    <mergeCell ref="AA4:AF4"/>
    <mergeCell ref="AI4:AN4"/>
    <mergeCell ref="C4:H4"/>
    <mergeCell ref="AI3:AN3"/>
    <mergeCell ref="C3:H3"/>
    <mergeCell ref="K3:P3"/>
    <mergeCell ref="S3:X3"/>
    <mergeCell ref="AA3:AF3"/>
    <mergeCell ref="K4:P4"/>
    <mergeCell ref="S4:X4"/>
  </mergeCells>
  <phoneticPr fontId="59"/>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8" r:id="rId3" name="Button 6">
              <controlPr defaultSize="0" print="0" autoPict="0" macro="[0]!CreateImage1">
                <anchor moveWithCells="1" sizeWithCells="1">
                  <from>
                    <xdr:col>3</xdr:col>
                    <xdr:colOff>120650</xdr:colOff>
                    <xdr:row>23</xdr:row>
                    <xdr:rowOff>152400</xdr:rowOff>
                  </from>
                  <to>
                    <xdr:col>4</xdr:col>
                    <xdr:colOff>120650</xdr:colOff>
                    <xdr:row>25</xdr:row>
                    <xdr:rowOff>12700</xdr:rowOff>
                  </to>
                </anchor>
              </controlPr>
            </control>
          </mc:Choice>
        </mc:AlternateContent>
        <mc:AlternateContent xmlns:mc="http://schemas.openxmlformats.org/markup-compatibility/2006">
          <mc:Choice Requires="x14">
            <control shapeId="3080" r:id="rId4" name="Button 8">
              <controlPr defaultSize="0" print="0" autoPict="0" macro="[0]!CreateImage2">
                <anchor moveWithCells="1" sizeWithCells="1">
                  <from>
                    <xdr:col>11</xdr:col>
                    <xdr:colOff>120650</xdr:colOff>
                    <xdr:row>23</xdr:row>
                    <xdr:rowOff>165100</xdr:rowOff>
                  </from>
                  <to>
                    <xdr:col>12</xdr:col>
                    <xdr:colOff>120650</xdr:colOff>
                    <xdr:row>25</xdr:row>
                    <xdr:rowOff>25400</xdr:rowOff>
                  </to>
                </anchor>
              </controlPr>
            </control>
          </mc:Choice>
        </mc:AlternateContent>
        <mc:AlternateContent xmlns:mc="http://schemas.openxmlformats.org/markup-compatibility/2006">
          <mc:Choice Requires="x14">
            <control shapeId="3073" r:id="rId5" name="Button 1">
              <controlPr defaultSize="0" print="0" autoPict="0" macro="[0]!Preview1">
                <anchor moveWithCells="1" sizeWithCells="1">
                  <from>
                    <xdr:col>2</xdr:col>
                    <xdr:colOff>0</xdr:colOff>
                    <xdr:row>23</xdr:row>
                    <xdr:rowOff>152400</xdr:rowOff>
                  </from>
                  <to>
                    <xdr:col>3</xdr:col>
                    <xdr:colOff>0</xdr:colOff>
                    <xdr:row>25</xdr:row>
                    <xdr:rowOff>12700</xdr:rowOff>
                  </to>
                </anchor>
              </controlPr>
            </control>
          </mc:Choice>
        </mc:AlternateContent>
        <mc:AlternateContent xmlns:mc="http://schemas.openxmlformats.org/markup-compatibility/2006">
          <mc:Choice Requires="x14">
            <control shapeId="3081" r:id="rId6" name="Button 9">
              <controlPr defaultSize="0" print="0" autoPict="0" macro="[0]!Preview2">
                <anchor moveWithCells="1" sizeWithCells="1">
                  <from>
                    <xdr:col>9</xdr:col>
                    <xdr:colOff>876300</xdr:colOff>
                    <xdr:row>23</xdr:row>
                    <xdr:rowOff>165100</xdr:rowOff>
                  </from>
                  <to>
                    <xdr:col>10</xdr:col>
                    <xdr:colOff>603250</xdr:colOff>
                    <xdr:row>25</xdr:row>
                    <xdr:rowOff>25400</xdr:rowOff>
                  </to>
                </anchor>
              </controlPr>
            </control>
          </mc:Choice>
        </mc:AlternateContent>
        <mc:AlternateContent xmlns:mc="http://schemas.openxmlformats.org/markup-compatibility/2006">
          <mc:Choice Requires="x14">
            <control shapeId="3085" r:id="rId7" name="Button 13">
              <controlPr defaultSize="0" print="0" autoPict="0" macro="[0]!CreateImage3">
                <anchor moveWithCells="1" sizeWithCells="1">
                  <from>
                    <xdr:col>19</xdr:col>
                    <xdr:colOff>133350</xdr:colOff>
                    <xdr:row>23</xdr:row>
                    <xdr:rowOff>165100</xdr:rowOff>
                  </from>
                  <to>
                    <xdr:col>20</xdr:col>
                    <xdr:colOff>133350</xdr:colOff>
                    <xdr:row>25</xdr:row>
                    <xdr:rowOff>25400</xdr:rowOff>
                  </to>
                </anchor>
              </controlPr>
            </control>
          </mc:Choice>
        </mc:AlternateContent>
        <mc:AlternateContent xmlns:mc="http://schemas.openxmlformats.org/markup-compatibility/2006">
          <mc:Choice Requires="x14">
            <control shapeId="3086" r:id="rId8" name="Button 14">
              <controlPr defaultSize="0" print="0" autoPict="0" macro="[0]!Preview3">
                <anchor moveWithCells="1" sizeWithCells="1">
                  <from>
                    <xdr:col>18</xdr:col>
                    <xdr:colOff>6350</xdr:colOff>
                    <xdr:row>23</xdr:row>
                    <xdr:rowOff>165100</xdr:rowOff>
                  </from>
                  <to>
                    <xdr:col>19</xdr:col>
                    <xdr:colOff>6350</xdr:colOff>
                    <xdr:row>25</xdr:row>
                    <xdr:rowOff>25400</xdr:rowOff>
                  </to>
                </anchor>
              </controlPr>
            </control>
          </mc:Choice>
        </mc:AlternateContent>
        <mc:AlternateContent xmlns:mc="http://schemas.openxmlformats.org/markup-compatibility/2006">
          <mc:Choice Requires="x14">
            <control shapeId="3087" r:id="rId9" name="Button 15">
              <controlPr defaultSize="0" print="0" autoPict="0" macro="[0]!CreateImage4">
                <anchor moveWithCells="1" sizeWithCells="1">
                  <from>
                    <xdr:col>27</xdr:col>
                    <xdr:colOff>158750</xdr:colOff>
                    <xdr:row>23</xdr:row>
                    <xdr:rowOff>165100</xdr:rowOff>
                  </from>
                  <to>
                    <xdr:col>28</xdr:col>
                    <xdr:colOff>158750</xdr:colOff>
                    <xdr:row>25</xdr:row>
                    <xdr:rowOff>25400</xdr:rowOff>
                  </to>
                </anchor>
              </controlPr>
            </control>
          </mc:Choice>
        </mc:AlternateContent>
        <mc:AlternateContent xmlns:mc="http://schemas.openxmlformats.org/markup-compatibility/2006">
          <mc:Choice Requires="x14">
            <control shapeId="3088" r:id="rId10" name="Button 16">
              <controlPr defaultSize="0" print="0" autoPict="0" macro="[0]!Preview4">
                <anchor moveWithCells="1" sizeWithCells="1">
                  <from>
                    <xdr:col>26</xdr:col>
                    <xdr:colOff>31750</xdr:colOff>
                    <xdr:row>23</xdr:row>
                    <xdr:rowOff>165100</xdr:rowOff>
                  </from>
                  <to>
                    <xdr:col>27</xdr:col>
                    <xdr:colOff>31750</xdr:colOff>
                    <xdr:row>25</xdr:row>
                    <xdr:rowOff>25400</xdr:rowOff>
                  </to>
                </anchor>
              </controlPr>
            </control>
          </mc:Choice>
        </mc:AlternateContent>
        <mc:AlternateContent xmlns:mc="http://schemas.openxmlformats.org/markup-compatibility/2006">
          <mc:Choice Requires="x14">
            <control shapeId="3089" r:id="rId11" name="Button 17">
              <controlPr defaultSize="0" print="0" autoPict="0" macro="[0]!CreateImage5">
                <anchor moveWithCells="1" sizeWithCells="1">
                  <from>
                    <xdr:col>35</xdr:col>
                    <xdr:colOff>158750</xdr:colOff>
                    <xdr:row>23</xdr:row>
                    <xdr:rowOff>165100</xdr:rowOff>
                  </from>
                  <to>
                    <xdr:col>36</xdr:col>
                    <xdr:colOff>158750</xdr:colOff>
                    <xdr:row>25</xdr:row>
                    <xdr:rowOff>25400</xdr:rowOff>
                  </to>
                </anchor>
              </controlPr>
            </control>
          </mc:Choice>
        </mc:AlternateContent>
        <mc:AlternateContent xmlns:mc="http://schemas.openxmlformats.org/markup-compatibility/2006">
          <mc:Choice Requires="x14">
            <control shapeId="3090" r:id="rId12" name="Button 18">
              <controlPr defaultSize="0" print="0" autoPict="0" macro="[0]!Preview5">
                <anchor moveWithCells="1" sizeWithCells="1">
                  <from>
                    <xdr:col>34</xdr:col>
                    <xdr:colOff>31750</xdr:colOff>
                    <xdr:row>23</xdr:row>
                    <xdr:rowOff>165100</xdr:rowOff>
                  </from>
                  <to>
                    <xdr:col>35</xdr:col>
                    <xdr:colOff>31750</xdr:colOff>
                    <xdr:row>25</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C94"/>
  <sheetViews>
    <sheetView zoomScaleNormal="100" workbookViewId="0">
      <pane ySplit="5" topLeftCell="A6" activePane="bottomLeft" state="frozen"/>
      <selection pane="bottomLeft"/>
    </sheetView>
  </sheetViews>
  <sheetFormatPr defaultColWidth="9" defaultRowHeight="13.5" outlineLevelCol="1"/>
  <cols>
    <col min="1" max="1" width="3.6328125" style="89" customWidth="1"/>
    <col min="2" max="4" width="10.81640625" style="80" customWidth="1"/>
    <col min="5" max="5" width="35.81640625" style="91" customWidth="1"/>
    <col min="6" max="7" width="10.81640625" style="80" customWidth="1"/>
    <col min="8" max="9" width="12.81640625" style="80" customWidth="1" outlineLevel="1"/>
    <col min="10" max="10" width="40.81640625" style="92" customWidth="1" outlineLevel="1"/>
    <col min="11" max="12" width="8.90625" style="80" customWidth="1" outlineLevel="1"/>
    <col min="13" max="13" width="10.81640625" style="80" customWidth="1"/>
    <col min="14" max="20" width="15.81640625" style="93" customWidth="1"/>
    <col min="21" max="21" width="9" style="80" customWidth="1"/>
    <col min="22" max="22" width="9" style="89" customWidth="1"/>
    <col min="23" max="29" width="8.90625" style="89" customWidth="1"/>
  </cols>
  <sheetData>
    <row r="1" spans="1:23">
      <c r="B1" s="80" t="s">
        <v>1677</v>
      </c>
      <c r="E1" s="80"/>
      <c r="G1" s="515" t="s">
        <v>1678</v>
      </c>
      <c r="H1" s="516" t="s">
        <v>1679</v>
      </c>
      <c r="J1" s="80"/>
      <c r="N1" s="97"/>
      <c r="O1" s="93" t="s">
        <v>3311</v>
      </c>
      <c r="Q1" s="103"/>
      <c r="R1" s="93" t="s">
        <v>3312</v>
      </c>
    </row>
    <row r="2" spans="1:23">
      <c r="E2" s="80"/>
      <c r="J2" s="80"/>
      <c r="N2" s="98"/>
      <c r="O2" s="93" t="s">
        <v>3313</v>
      </c>
      <c r="Q2" s="104"/>
      <c r="R2" s="93" t="s">
        <v>3314</v>
      </c>
    </row>
    <row r="3" spans="1:23">
      <c r="E3" s="80"/>
      <c r="J3" s="80"/>
      <c r="N3" s="99"/>
      <c r="O3" s="93" t="s">
        <v>3315</v>
      </c>
    </row>
    <row r="4" spans="1:23">
      <c r="B4" s="80" t="s">
        <v>3316</v>
      </c>
      <c r="C4" s="93" t="s">
        <v>1680</v>
      </c>
      <c r="D4" s="80" t="s">
        <v>3317</v>
      </c>
      <c r="E4" s="80" t="s">
        <v>1681</v>
      </c>
      <c r="F4" s="80" t="s">
        <v>1682</v>
      </c>
      <c r="G4" s="80" t="s">
        <v>1683</v>
      </c>
      <c r="H4" s="80" t="s">
        <v>1684</v>
      </c>
      <c r="I4" s="80" t="s">
        <v>1685</v>
      </c>
      <c r="J4" s="80" t="s">
        <v>1686</v>
      </c>
      <c r="K4" s="80" t="s">
        <v>1687</v>
      </c>
      <c r="L4" s="80" t="s">
        <v>1679</v>
      </c>
      <c r="M4" s="80" t="s">
        <v>1688</v>
      </c>
      <c r="U4" s="93" t="s">
        <v>1689</v>
      </c>
      <c r="V4" s="93" t="s">
        <v>1690</v>
      </c>
      <c r="W4" s="80" t="s">
        <v>1691</v>
      </c>
    </row>
    <row r="5" spans="1:23">
      <c r="B5" s="82"/>
      <c r="E5" s="80"/>
      <c r="J5" s="80"/>
      <c r="U5" s="93"/>
      <c r="V5" s="93"/>
    </row>
    <row r="6" spans="1:23" ht="15">
      <c r="A6" s="509" t="str">
        <f t="shared" ref="A6:A69" si="0">TEXT(B6,"0000")&amp;"-"&amp;TEXT(D6,"yymmdd")&amp;"-"&amp;E6</f>
        <v>0089-260227-芍薬牡丹 ちょこん ももりん ミックスベリア 抜き苗 7種セット 多肉植物</v>
      </c>
      <c r="B6" s="80">
        <f t="shared" ref="B6:B69" si="1">B7+1</f>
        <v>89</v>
      </c>
      <c r="C6" s="80">
        <v>1</v>
      </c>
      <c r="D6" s="94">
        <v>46080</v>
      </c>
      <c r="E6" s="517" t="s">
        <v>3318</v>
      </c>
      <c r="F6" s="80">
        <v>2400</v>
      </c>
      <c r="G6" s="96" t="s">
        <v>1727</v>
      </c>
      <c r="H6" s="80" t="s">
        <v>1728</v>
      </c>
      <c r="I6" s="80" t="s">
        <v>1729</v>
      </c>
      <c r="J6" s="100" t="s">
        <v>1730</v>
      </c>
      <c r="K6" s="80" t="str">
        <f t="shared" ref="K6:K69" si="2">IF(OR(H6=H5,H6=H7),"〇","")</f>
        <v/>
      </c>
      <c r="L6" s="80">
        <f t="shared" ref="L6:L69" si="3">COUNTIF(H:H,H6)</f>
        <v>4</v>
      </c>
      <c r="M6" s="101" t="str">
        <f t="shared" ref="M6:M69" si="4">SUBSTITUTE(RIGHT(W6,14),RIGHT(W6,6),"")</f>
        <v>26/03/04</v>
      </c>
      <c r="N6" s="93" t="s">
        <v>1653</v>
      </c>
      <c r="O6" s="93" t="s">
        <v>1655</v>
      </c>
      <c r="P6" s="93" t="s">
        <v>1671</v>
      </c>
      <c r="Q6" s="93" t="s">
        <v>574</v>
      </c>
      <c r="R6" s="93" t="s">
        <v>667</v>
      </c>
      <c r="S6" s="93" t="s">
        <v>252</v>
      </c>
      <c r="T6" s="93" t="s">
        <v>713</v>
      </c>
      <c r="U6" s="80" t="str">
        <f t="shared" ref="U6:U69" si="5">IF(MID(J6,4,1)="県",LEFT(J6,3),LEFT(J6,2))</f>
        <v>佐賀</v>
      </c>
      <c r="V6" s="80">
        <f t="shared" ref="V6:V69" si="6">IF(U6&lt;&gt;"",COUNTIF(U:U,U6),"")</f>
        <v>5</v>
      </c>
      <c r="W6" s="92" t="s">
        <v>3319</v>
      </c>
    </row>
    <row r="7" spans="1:23" ht="15">
      <c r="A7" s="509" t="str">
        <f t="shared" si="0"/>
        <v>0088-260227-ブルーバニラ ちょこん ももりん ミックスベリア 抜き苗 7種セット 多肉植物</v>
      </c>
      <c r="B7" s="80">
        <f t="shared" si="1"/>
        <v>88</v>
      </c>
      <c r="C7" s="80">
        <v>1</v>
      </c>
      <c r="D7" s="94">
        <v>46080</v>
      </c>
      <c r="E7" s="517" t="s">
        <v>3320</v>
      </c>
      <c r="F7" s="80">
        <v>2400</v>
      </c>
      <c r="G7" s="96" t="s">
        <v>2184</v>
      </c>
      <c r="H7" s="80" t="s">
        <v>3321</v>
      </c>
      <c r="I7" s="80" t="s">
        <v>3322</v>
      </c>
      <c r="J7" s="100" t="s">
        <v>3323</v>
      </c>
      <c r="K7" s="80" t="str">
        <f t="shared" si="2"/>
        <v/>
      </c>
      <c r="L7" s="80">
        <f t="shared" si="3"/>
        <v>1</v>
      </c>
      <c r="M7" s="101" t="str">
        <f t="shared" si="4"/>
        <v>26/03/03</v>
      </c>
      <c r="N7" s="93" t="s">
        <v>1665</v>
      </c>
      <c r="O7" s="93" t="s">
        <v>1655</v>
      </c>
      <c r="P7" s="93" t="s">
        <v>1671</v>
      </c>
      <c r="Q7" s="93" t="s">
        <v>574</v>
      </c>
      <c r="R7" s="93" t="s">
        <v>667</v>
      </c>
      <c r="S7" s="93" t="s">
        <v>247</v>
      </c>
      <c r="T7" s="93" t="s">
        <v>495</v>
      </c>
      <c r="U7" s="80" t="str">
        <f t="shared" si="5"/>
        <v>愛知</v>
      </c>
      <c r="V7" s="80">
        <f t="shared" si="6"/>
        <v>2</v>
      </c>
      <c r="W7" s="92" t="s">
        <v>3324</v>
      </c>
    </row>
    <row r="8" spans="1:23" ht="15">
      <c r="A8" s="509" t="str">
        <f t="shared" si="0"/>
        <v>0087-260227-スノーミルフィーユ ちょこん ももりん ミックスベリア 抜き苗 7種セット 多肉</v>
      </c>
      <c r="B8" s="80">
        <f t="shared" si="1"/>
        <v>87</v>
      </c>
      <c r="C8" s="80">
        <v>1</v>
      </c>
      <c r="D8" s="94">
        <v>46080</v>
      </c>
      <c r="E8" s="517" t="s">
        <v>3325</v>
      </c>
      <c r="F8" s="80">
        <v>2400</v>
      </c>
      <c r="G8" s="96" t="s">
        <v>2198</v>
      </c>
      <c r="H8" s="80" t="s">
        <v>3326</v>
      </c>
      <c r="I8" s="80" t="s">
        <v>3327</v>
      </c>
      <c r="J8" s="100" t="s">
        <v>3328</v>
      </c>
      <c r="K8" s="80" t="str">
        <f t="shared" si="2"/>
        <v/>
      </c>
      <c r="L8" s="80">
        <f t="shared" si="3"/>
        <v>1</v>
      </c>
      <c r="M8" s="101" t="str">
        <f t="shared" si="4"/>
        <v>26/03/04</v>
      </c>
      <c r="N8" s="93" t="s">
        <v>1654</v>
      </c>
      <c r="O8" s="93" t="s">
        <v>1655</v>
      </c>
      <c r="P8" s="93" t="s">
        <v>1671</v>
      </c>
      <c r="Q8" s="93" t="s">
        <v>574</v>
      </c>
      <c r="R8" s="93" t="s">
        <v>667</v>
      </c>
      <c r="S8" s="93" t="s">
        <v>290</v>
      </c>
      <c r="T8" s="93" t="s">
        <v>478</v>
      </c>
      <c r="U8" s="80" t="str">
        <f t="shared" si="5"/>
        <v>埼玉</v>
      </c>
      <c r="V8" s="80">
        <f t="shared" si="6"/>
        <v>2</v>
      </c>
      <c r="W8" s="92" t="s">
        <v>3329</v>
      </c>
    </row>
    <row r="9" spans="1:23" ht="16">
      <c r="A9" s="509" t="str">
        <f t="shared" si="0"/>
        <v>0086-260227-はじまりの花 ちょこん ももりん ミックスベリア 抜き苗 7種セット 多肉植物</v>
      </c>
      <c r="B9" s="80">
        <f t="shared" si="1"/>
        <v>86</v>
      </c>
      <c r="C9" s="80">
        <v>1</v>
      </c>
      <c r="D9" s="94">
        <v>46080</v>
      </c>
      <c r="E9" s="518" t="s">
        <v>3330</v>
      </c>
      <c r="F9" s="80">
        <v>2400</v>
      </c>
      <c r="G9" s="96" t="s">
        <v>1759</v>
      </c>
      <c r="H9" s="80" t="s">
        <v>1760</v>
      </c>
      <c r="I9" s="80" t="s">
        <v>1761</v>
      </c>
      <c r="J9" s="100" t="s">
        <v>1762</v>
      </c>
      <c r="K9" s="80" t="str">
        <f t="shared" si="2"/>
        <v/>
      </c>
      <c r="L9" s="80">
        <f t="shared" si="3"/>
        <v>2</v>
      </c>
      <c r="M9" s="101" t="str">
        <f t="shared" si="4"/>
        <v>26/03/03</v>
      </c>
      <c r="N9" s="102" t="s">
        <v>1657</v>
      </c>
      <c r="O9" s="93" t="s">
        <v>1655</v>
      </c>
      <c r="P9" s="93" t="s">
        <v>1671</v>
      </c>
      <c r="Q9" s="93" t="s">
        <v>574</v>
      </c>
      <c r="R9" s="93" t="s">
        <v>667</v>
      </c>
      <c r="S9" s="93" t="s">
        <v>478</v>
      </c>
      <c r="T9" s="93" t="s">
        <v>495</v>
      </c>
      <c r="U9" s="80" t="str">
        <f t="shared" si="5"/>
        <v>宮崎</v>
      </c>
      <c r="V9" s="80">
        <f t="shared" si="6"/>
        <v>2</v>
      </c>
      <c r="W9" s="92" t="s">
        <v>3331</v>
      </c>
    </row>
    <row r="10" spans="1:23" ht="15">
      <c r="A10" s="509" t="str">
        <f t="shared" si="0"/>
        <v>0085-260227-紫紺の矢 ちょこん ももりん ミックスベリア 抜き苗 7種セット 多肉植物</v>
      </c>
      <c r="B10" s="80">
        <f t="shared" si="1"/>
        <v>85</v>
      </c>
      <c r="C10" s="80">
        <v>2</v>
      </c>
      <c r="D10" s="94">
        <v>46080</v>
      </c>
      <c r="E10" s="517" t="s">
        <v>3332</v>
      </c>
      <c r="F10" s="80">
        <v>2400</v>
      </c>
      <c r="G10" s="96" t="s">
        <v>2064</v>
      </c>
      <c r="H10" s="80" t="s">
        <v>3333</v>
      </c>
      <c r="I10" s="80" t="s">
        <v>3334</v>
      </c>
      <c r="J10" s="100" t="s">
        <v>3335</v>
      </c>
      <c r="K10" s="80" t="str">
        <f t="shared" si="2"/>
        <v/>
      </c>
      <c r="L10" s="80">
        <f t="shared" si="3"/>
        <v>1</v>
      </c>
      <c r="M10" s="101" t="str">
        <f t="shared" si="4"/>
        <v>26/03/03</v>
      </c>
      <c r="N10" s="93" t="s">
        <v>1652</v>
      </c>
      <c r="O10" s="93" t="s">
        <v>1655</v>
      </c>
      <c r="P10" s="93" t="s">
        <v>1671</v>
      </c>
      <c r="Q10" s="93" t="s">
        <v>574</v>
      </c>
      <c r="R10" s="93" t="s">
        <v>667</v>
      </c>
      <c r="S10" s="93" t="s">
        <v>290</v>
      </c>
      <c r="T10" s="93" t="s">
        <v>713</v>
      </c>
      <c r="U10" s="80" t="str">
        <f t="shared" si="5"/>
        <v>広島</v>
      </c>
      <c r="V10" s="80">
        <f t="shared" si="6"/>
        <v>1</v>
      </c>
      <c r="W10" s="92" t="s">
        <v>3336</v>
      </c>
    </row>
    <row r="11" spans="1:23">
      <c r="A11" s="509" t="str">
        <f t="shared" si="0"/>
        <v>0084-260130-モルゲンロート ももりん ミックスベリア 抜き苗 7種セット 多肉植物</v>
      </c>
      <c r="B11" s="80">
        <f t="shared" si="1"/>
        <v>84</v>
      </c>
      <c r="C11" s="80">
        <v>24</v>
      </c>
      <c r="D11" s="94">
        <v>46052</v>
      </c>
      <c r="E11" s="95" t="s">
        <v>1692</v>
      </c>
      <c r="F11" s="80">
        <v>2400</v>
      </c>
      <c r="G11" s="96" t="s">
        <v>1693</v>
      </c>
      <c r="H11" s="80" t="s">
        <v>1694</v>
      </c>
      <c r="I11" s="80" t="s">
        <v>1695</v>
      </c>
      <c r="J11" s="100" t="s">
        <v>1696</v>
      </c>
      <c r="K11" s="80" t="str">
        <f t="shared" si="2"/>
        <v/>
      </c>
      <c r="L11" s="80">
        <f t="shared" si="3"/>
        <v>1</v>
      </c>
      <c r="M11" s="101" t="str">
        <f t="shared" si="4"/>
        <v>26/02/05</v>
      </c>
      <c r="N11" s="93" t="s">
        <v>1673</v>
      </c>
      <c r="O11" s="93" t="s">
        <v>1671</v>
      </c>
      <c r="P11" s="93" t="s">
        <v>1659</v>
      </c>
      <c r="Q11" s="93" t="s">
        <v>188</v>
      </c>
      <c r="R11" s="93" t="s">
        <v>676</v>
      </c>
      <c r="S11" s="93" t="s">
        <v>574</v>
      </c>
      <c r="T11" s="93" t="s">
        <v>309</v>
      </c>
      <c r="U11" s="80" t="str">
        <f t="shared" si="5"/>
        <v>熊本</v>
      </c>
      <c r="V11" s="80">
        <f t="shared" si="6"/>
        <v>1</v>
      </c>
      <c r="W11" s="92" t="s">
        <v>3337</v>
      </c>
    </row>
    <row r="12" spans="1:23">
      <c r="A12" s="509" t="str">
        <f t="shared" si="0"/>
        <v>0083-260130-紫紺の矢 ピーチック ミックスベリア 抜き苗 7種セット 多肉植物</v>
      </c>
      <c r="B12" s="80">
        <f t="shared" si="1"/>
        <v>83</v>
      </c>
      <c r="C12" s="80">
        <v>14</v>
      </c>
      <c r="D12" s="94">
        <v>46052</v>
      </c>
      <c r="E12" s="95" t="s">
        <v>1697</v>
      </c>
      <c r="F12" s="80">
        <v>2400</v>
      </c>
      <c r="G12" s="96" t="s">
        <v>1698</v>
      </c>
      <c r="H12" s="80" t="s">
        <v>1699</v>
      </c>
      <c r="I12" s="80" t="s">
        <v>1700</v>
      </c>
      <c r="J12" s="100" t="s">
        <v>1701</v>
      </c>
      <c r="K12" s="80" t="str">
        <f t="shared" si="2"/>
        <v>〇</v>
      </c>
      <c r="L12" s="80">
        <f t="shared" si="3"/>
        <v>2</v>
      </c>
      <c r="M12" s="101" t="str">
        <f t="shared" si="4"/>
        <v>26/02/04</v>
      </c>
      <c r="N12" s="93" t="s">
        <v>1652</v>
      </c>
      <c r="O12" s="93" t="s">
        <v>1659</v>
      </c>
      <c r="P12" s="93" t="s">
        <v>161</v>
      </c>
      <c r="Q12" s="93" t="s">
        <v>188</v>
      </c>
      <c r="R12" s="93" t="s">
        <v>676</v>
      </c>
      <c r="S12" s="93" t="s">
        <v>574</v>
      </c>
      <c r="T12" s="93" t="s">
        <v>309</v>
      </c>
      <c r="U12" s="80" t="str">
        <f t="shared" si="5"/>
        <v>福島</v>
      </c>
      <c r="V12" s="80">
        <f t="shared" si="6"/>
        <v>4</v>
      </c>
      <c r="W12" s="92" t="s">
        <v>3338</v>
      </c>
    </row>
    <row r="13" spans="1:23">
      <c r="A13" s="509" t="str">
        <f t="shared" si="0"/>
        <v>0082-260130-ちょこん ピーチック ミックスベリア 抜き苗 7種セット 多肉植物 B</v>
      </c>
      <c r="B13" s="80">
        <f t="shared" si="1"/>
        <v>82</v>
      </c>
      <c r="C13" s="80">
        <v>2</v>
      </c>
      <c r="D13" s="94">
        <v>46052</v>
      </c>
      <c r="E13" s="95" t="s">
        <v>1702</v>
      </c>
      <c r="F13" s="80">
        <v>2400</v>
      </c>
      <c r="G13" s="96" t="s">
        <v>1698</v>
      </c>
      <c r="H13" s="80" t="s">
        <v>1699</v>
      </c>
      <c r="I13" s="80" t="s">
        <v>1700</v>
      </c>
      <c r="J13" s="100" t="s">
        <v>1701</v>
      </c>
      <c r="K13" s="80" t="str">
        <f t="shared" si="2"/>
        <v>〇</v>
      </c>
      <c r="L13" s="80">
        <f t="shared" si="3"/>
        <v>2</v>
      </c>
      <c r="M13" s="101" t="str">
        <f t="shared" si="4"/>
        <v>26/02/04</v>
      </c>
      <c r="N13" s="93" t="s">
        <v>1655</v>
      </c>
      <c r="O13" s="93" t="s">
        <v>1659</v>
      </c>
      <c r="P13" s="93" t="s">
        <v>654</v>
      </c>
      <c r="Q13" s="93" t="s">
        <v>537</v>
      </c>
      <c r="R13" s="93" t="s">
        <v>676</v>
      </c>
      <c r="S13" s="93" t="s">
        <v>574</v>
      </c>
      <c r="T13" s="93" t="s">
        <v>309</v>
      </c>
      <c r="U13" s="80" t="str">
        <f t="shared" si="5"/>
        <v>福島</v>
      </c>
      <c r="V13" s="80">
        <f t="shared" si="6"/>
        <v>4</v>
      </c>
      <c r="W13" s="92" t="s">
        <v>3339</v>
      </c>
    </row>
    <row r="14" spans="1:23">
      <c r="A14" s="509" t="str">
        <f t="shared" si="0"/>
        <v>0081-260130-ちょこん ピーチック ミックスベリア 抜き苗 7種セット 多肉植物 A</v>
      </c>
      <c r="B14" s="80">
        <f t="shared" si="1"/>
        <v>81</v>
      </c>
      <c r="C14" s="80">
        <v>6</v>
      </c>
      <c r="D14" s="94">
        <v>46052</v>
      </c>
      <c r="E14" s="95" t="s">
        <v>1703</v>
      </c>
      <c r="F14" s="80">
        <v>2400</v>
      </c>
      <c r="G14" s="519" t="s">
        <v>1704</v>
      </c>
      <c r="H14" s="516" t="s">
        <v>1705</v>
      </c>
      <c r="I14" s="516" t="s">
        <v>1706</v>
      </c>
      <c r="J14" s="520" t="s">
        <v>1707</v>
      </c>
      <c r="K14" s="80" t="str">
        <f t="shared" si="2"/>
        <v/>
      </c>
      <c r="L14" s="80">
        <f t="shared" si="3"/>
        <v>6</v>
      </c>
      <c r="M14" s="101" t="str">
        <f t="shared" si="4"/>
        <v>26/02/04</v>
      </c>
      <c r="N14" s="93" t="s">
        <v>1655</v>
      </c>
      <c r="O14" s="93" t="s">
        <v>1659</v>
      </c>
      <c r="P14" s="93" t="s">
        <v>654</v>
      </c>
      <c r="Q14" s="93" t="s">
        <v>537</v>
      </c>
      <c r="R14" s="93" t="s">
        <v>676</v>
      </c>
      <c r="S14" s="93" t="s">
        <v>574</v>
      </c>
      <c r="T14" s="93" t="s">
        <v>309</v>
      </c>
      <c r="U14" s="80" t="str">
        <f t="shared" si="5"/>
        <v>神奈川</v>
      </c>
      <c r="V14" s="80">
        <f t="shared" si="6"/>
        <v>11</v>
      </c>
      <c r="W14" s="92" t="s">
        <v>3340</v>
      </c>
    </row>
    <row r="15" spans="1:23">
      <c r="A15" s="509" t="str">
        <f t="shared" si="0"/>
        <v>0080-260130-桜鬼 赤鬼 ピーチック ミックスベリア 抜き苗 7種セット 多肉植物</v>
      </c>
      <c r="B15" s="80">
        <f t="shared" si="1"/>
        <v>80</v>
      </c>
      <c r="C15" s="80">
        <v>1</v>
      </c>
      <c r="D15" s="94">
        <v>46052</v>
      </c>
      <c r="E15" s="95" t="s">
        <v>1708</v>
      </c>
      <c r="F15" s="80">
        <v>2400</v>
      </c>
      <c r="G15" s="96" t="s">
        <v>1709</v>
      </c>
      <c r="H15" s="80" t="s">
        <v>1710</v>
      </c>
      <c r="I15" s="80" t="s">
        <v>1711</v>
      </c>
      <c r="J15" s="100" t="s">
        <v>1712</v>
      </c>
      <c r="K15" s="80" t="str">
        <f t="shared" si="2"/>
        <v/>
      </c>
      <c r="L15" s="80">
        <f t="shared" si="3"/>
        <v>2</v>
      </c>
      <c r="M15" s="101" t="str">
        <f t="shared" si="4"/>
        <v>26/02/04</v>
      </c>
      <c r="N15" s="93" t="s">
        <v>1650</v>
      </c>
      <c r="O15" s="93" t="s">
        <v>1628</v>
      </c>
      <c r="P15" s="93" t="s">
        <v>1659</v>
      </c>
      <c r="Q15" s="93" t="s">
        <v>188</v>
      </c>
      <c r="R15" s="93" t="s">
        <v>676</v>
      </c>
      <c r="S15" s="93" t="s">
        <v>574</v>
      </c>
      <c r="T15" s="93" t="s">
        <v>309</v>
      </c>
      <c r="U15" s="80" t="str">
        <f t="shared" si="5"/>
        <v>大阪</v>
      </c>
      <c r="V15" s="80">
        <f t="shared" si="6"/>
        <v>4</v>
      </c>
      <c r="W15" s="92" t="s">
        <v>3341</v>
      </c>
    </row>
    <row r="16" spans="1:23">
      <c r="A16" s="509" t="str">
        <f t="shared" si="0"/>
        <v>0079-251128-多肉 ミックスベリア ぺったん 抜き苗 7種セット</v>
      </c>
      <c r="B16" s="80">
        <f t="shared" si="1"/>
        <v>79</v>
      </c>
      <c r="C16" s="80">
        <v>4</v>
      </c>
      <c r="D16" s="94">
        <v>45989</v>
      </c>
      <c r="E16" s="95" t="s">
        <v>3342</v>
      </c>
      <c r="F16" s="80">
        <v>2400</v>
      </c>
      <c r="G16" s="96" t="s">
        <v>1713</v>
      </c>
      <c r="H16" s="80" t="s">
        <v>1714</v>
      </c>
      <c r="I16" s="80" t="s">
        <v>1715</v>
      </c>
      <c r="J16" s="100" t="s">
        <v>1716</v>
      </c>
      <c r="K16" s="80" t="str">
        <f t="shared" si="2"/>
        <v/>
      </c>
      <c r="L16" s="80">
        <f t="shared" si="3"/>
        <v>2</v>
      </c>
      <c r="M16" s="101" t="str">
        <f t="shared" si="4"/>
        <v>25/12/04</v>
      </c>
      <c r="N16" s="93" t="s">
        <v>1667</v>
      </c>
      <c r="O16" s="93" t="s">
        <v>1655</v>
      </c>
      <c r="P16" s="93" t="s">
        <v>1659</v>
      </c>
      <c r="Q16" s="93" t="s">
        <v>604</v>
      </c>
      <c r="R16" s="93" t="s">
        <v>694</v>
      </c>
      <c r="S16" s="93" t="s">
        <v>730</v>
      </c>
      <c r="T16" s="93" t="s">
        <v>405</v>
      </c>
      <c r="U16" s="80" t="str">
        <f t="shared" si="5"/>
        <v>島根</v>
      </c>
      <c r="V16" s="80">
        <f t="shared" si="6"/>
        <v>2</v>
      </c>
      <c r="W16" s="92" t="s">
        <v>3343</v>
      </c>
    </row>
    <row r="17" spans="1:23">
      <c r="A17" s="509" t="str">
        <f t="shared" si="0"/>
        <v>0078-251128-多肉 ミックスベリア 桜鬼 抜き苗 7種セット</v>
      </c>
      <c r="B17" s="80">
        <f t="shared" si="1"/>
        <v>78</v>
      </c>
      <c r="C17" s="80">
        <v>3</v>
      </c>
      <c r="D17" s="94">
        <v>45989</v>
      </c>
      <c r="E17" s="95" t="s">
        <v>3344</v>
      </c>
      <c r="F17" s="80">
        <v>2400</v>
      </c>
      <c r="G17" s="96" t="s">
        <v>1717</v>
      </c>
      <c r="H17" s="80" t="s">
        <v>1718</v>
      </c>
      <c r="I17" s="80" t="s">
        <v>1719</v>
      </c>
      <c r="J17" s="100" t="s">
        <v>1720</v>
      </c>
      <c r="K17" s="80" t="str">
        <f t="shared" si="2"/>
        <v/>
      </c>
      <c r="L17" s="80">
        <f t="shared" si="3"/>
        <v>2</v>
      </c>
      <c r="M17" s="101" t="str">
        <f t="shared" si="4"/>
        <v>25/12/05</v>
      </c>
      <c r="N17" s="102" t="s">
        <v>1650</v>
      </c>
      <c r="O17" s="93" t="s">
        <v>1628</v>
      </c>
      <c r="P17" s="93" t="s">
        <v>1659</v>
      </c>
      <c r="Q17" s="93" t="s">
        <v>840</v>
      </c>
      <c r="R17" s="93" t="s">
        <v>694</v>
      </c>
      <c r="S17" s="93" t="s">
        <v>730</v>
      </c>
      <c r="T17" s="93" t="s">
        <v>405</v>
      </c>
      <c r="U17" s="80" t="str">
        <f t="shared" si="5"/>
        <v>福岡</v>
      </c>
      <c r="V17" s="80">
        <f t="shared" si="6"/>
        <v>4</v>
      </c>
      <c r="W17" s="92" t="s">
        <v>1721</v>
      </c>
    </row>
    <row r="18" spans="1:23">
      <c r="A18" s="509" t="str">
        <f t="shared" si="0"/>
        <v>0077-251128-多肉 ミックスベリア スノーミルフィーユ 抜き苗 7種セット B</v>
      </c>
      <c r="B18" s="80">
        <f t="shared" si="1"/>
        <v>77</v>
      </c>
      <c r="C18" s="80">
        <v>1</v>
      </c>
      <c r="D18" s="94">
        <v>45989</v>
      </c>
      <c r="E18" s="95" t="s">
        <v>3345</v>
      </c>
      <c r="F18" s="80">
        <v>2400</v>
      </c>
      <c r="G18" s="96" t="s">
        <v>1727</v>
      </c>
      <c r="H18" s="80" t="s">
        <v>1728</v>
      </c>
      <c r="I18" s="80" t="s">
        <v>1729</v>
      </c>
      <c r="J18" s="100" t="s">
        <v>1730</v>
      </c>
      <c r="K18" s="80" t="str">
        <f t="shared" si="2"/>
        <v/>
      </c>
      <c r="L18" s="80">
        <f t="shared" si="3"/>
        <v>4</v>
      </c>
      <c r="M18" s="101" t="str">
        <f t="shared" si="4"/>
        <v>25/12/08</v>
      </c>
      <c r="N18" s="93" t="s">
        <v>1654</v>
      </c>
      <c r="O18" s="93" t="s">
        <v>1655</v>
      </c>
      <c r="P18" s="93" t="s">
        <v>1659</v>
      </c>
      <c r="Q18" s="93" t="s">
        <v>301</v>
      </c>
      <c r="R18" s="93" t="s">
        <v>694</v>
      </c>
      <c r="S18" s="93" t="s">
        <v>716</v>
      </c>
      <c r="T18" s="93" t="s">
        <v>405</v>
      </c>
      <c r="U18" s="80" t="str">
        <f t="shared" si="5"/>
        <v>佐賀</v>
      </c>
      <c r="V18" s="80">
        <f t="shared" si="6"/>
        <v>5</v>
      </c>
      <c r="W18" s="92" t="s">
        <v>1731</v>
      </c>
    </row>
    <row r="19" spans="1:23">
      <c r="A19" s="509" t="str">
        <f t="shared" si="0"/>
        <v>0076-251128-多肉 ミックスベリア スノーミルフィーユ 抜き苗 7種セット A</v>
      </c>
      <c r="B19" s="80">
        <f t="shared" si="1"/>
        <v>76</v>
      </c>
      <c r="C19" s="80">
        <v>2</v>
      </c>
      <c r="D19" s="94">
        <v>45989</v>
      </c>
      <c r="E19" s="95" t="s">
        <v>3346</v>
      </c>
      <c r="F19" s="80">
        <v>2400</v>
      </c>
      <c r="G19" s="96" t="s">
        <v>1722</v>
      </c>
      <c r="H19" s="80" t="s">
        <v>1723</v>
      </c>
      <c r="I19" s="80" t="s">
        <v>1724</v>
      </c>
      <c r="J19" s="100" t="s">
        <v>1725</v>
      </c>
      <c r="K19" s="80" t="str">
        <f t="shared" si="2"/>
        <v/>
      </c>
      <c r="L19" s="80">
        <f t="shared" si="3"/>
        <v>1</v>
      </c>
      <c r="M19" s="101" t="str">
        <f t="shared" si="4"/>
        <v>25/12/04</v>
      </c>
      <c r="N19" s="93" t="s">
        <v>1654</v>
      </c>
      <c r="O19" s="93" t="s">
        <v>1655</v>
      </c>
      <c r="P19" s="93" t="s">
        <v>1659</v>
      </c>
      <c r="Q19" s="93" t="s">
        <v>604</v>
      </c>
      <c r="R19" s="93" t="s">
        <v>694</v>
      </c>
      <c r="S19" s="93" t="s">
        <v>730</v>
      </c>
      <c r="T19" s="93" t="s">
        <v>405</v>
      </c>
      <c r="U19" s="80" t="str">
        <f t="shared" si="5"/>
        <v>神奈川</v>
      </c>
      <c r="V19" s="80">
        <f t="shared" si="6"/>
        <v>11</v>
      </c>
      <c r="W19" s="92" t="s">
        <v>1726</v>
      </c>
    </row>
    <row r="20" spans="1:23">
      <c r="A20" s="509" t="str">
        <f t="shared" si="0"/>
        <v>0075-251128-多肉 ミックスベリア 黒銀姫 抜き苗 7種セット</v>
      </c>
      <c r="B20" s="80">
        <f t="shared" si="1"/>
        <v>75</v>
      </c>
      <c r="C20" s="80">
        <v>1</v>
      </c>
      <c r="D20" s="94">
        <v>45989</v>
      </c>
      <c r="E20" s="95" t="s">
        <v>3347</v>
      </c>
      <c r="F20" s="80">
        <v>2400</v>
      </c>
      <c r="G20" s="519" t="s">
        <v>1732</v>
      </c>
      <c r="H20" s="516" t="s">
        <v>1733</v>
      </c>
      <c r="I20" s="516" t="s">
        <v>1734</v>
      </c>
      <c r="J20" s="520" t="s">
        <v>1735</v>
      </c>
      <c r="K20" s="80" t="str">
        <f t="shared" si="2"/>
        <v/>
      </c>
      <c r="L20" s="80">
        <f t="shared" si="3"/>
        <v>7</v>
      </c>
      <c r="M20" s="101" t="str">
        <f t="shared" si="4"/>
        <v>25/12/05</v>
      </c>
      <c r="N20" s="93" t="s">
        <v>1647</v>
      </c>
      <c r="O20" s="93" t="s">
        <v>1628</v>
      </c>
      <c r="P20" s="93" t="s">
        <v>1659</v>
      </c>
      <c r="Q20" s="93" t="s">
        <v>301</v>
      </c>
      <c r="R20" s="93" t="s">
        <v>694</v>
      </c>
      <c r="S20" s="93" t="s">
        <v>730</v>
      </c>
      <c r="T20" s="93" t="s">
        <v>405</v>
      </c>
      <c r="U20" s="80" t="str">
        <f t="shared" si="5"/>
        <v>香川</v>
      </c>
      <c r="V20" s="80">
        <f t="shared" si="6"/>
        <v>8</v>
      </c>
      <c r="W20" s="92" t="s">
        <v>1736</v>
      </c>
    </row>
    <row r="21" spans="1:23">
      <c r="A21" s="509" t="str">
        <f t="shared" si="0"/>
        <v>0074-251107-多肉 ちょこん入り 7種セット E 抜き苗</v>
      </c>
      <c r="B21" s="80">
        <f t="shared" si="1"/>
        <v>74</v>
      </c>
      <c r="C21" s="80">
        <v>1</v>
      </c>
      <c r="D21" s="94">
        <v>45968</v>
      </c>
      <c r="E21" s="95" t="s">
        <v>3348</v>
      </c>
      <c r="F21" s="80">
        <v>2200</v>
      </c>
      <c r="G21" s="96" t="s">
        <v>1713</v>
      </c>
      <c r="H21" s="80" t="s">
        <v>1714</v>
      </c>
      <c r="I21" s="80" t="s">
        <v>1715</v>
      </c>
      <c r="J21" s="100" t="s">
        <v>1716</v>
      </c>
      <c r="K21" s="80" t="str">
        <f t="shared" si="2"/>
        <v/>
      </c>
      <c r="L21" s="80">
        <f t="shared" si="3"/>
        <v>2</v>
      </c>
      <c r="M21" s="101" t="str">
        <f t="shared" si="4"/>
        <v>25/11/13</v>
      </c>
      <c r="N21" s="93" t="s">
        <v>1655</v>
      </c>
      <c r="O21" s="93" t="s">
        <v>536</v>
      </c>
      <c r="P21" s="93" t="s">
        <v>636</v>
      </c>
      <c r="Q21" s="93" t="s">
        <v>676</v>
      </c>
      <c r="R21" s="93" t="s">
        <v>455</v>
      </c>
      <c r="S21" s="93" t="s">
        <v>716</v>
      </c>
      <c r="T21" s="93" t="s">
        <v>259</v>
      </c>
      <c r="U21" s="80" t="str">
        <f t="shared" si="5"/>
        <v>島根</v>
      </c>
      <c r="V21" s="80">
        <f t="shared" si="6"/>
        <v>2</v>
      </c>
      <c r="W21" s="92" t="s">
        <v>3349</v>
      </c>
    </row>
    <row r="22" spans="1:23">
      <c r="A22" s="509" t="str">
        <f t="shared" si="0"/>
        <v>0073-251107-多肉 ミックスベリア ちょこん 抜き苗 7種セット D</v>
      </c>
      <c r="B22" s="80">
        <f t="shared" si="1"/>
        <v>73</v>
      </c>
      <c r="C22" s="80">
        <v>39</v>
      </c>
      <c r="D22" s="94">
        <v>45968</v>
      </c>
      <c r="E22" s="95" t="s">
        <v>3350</v>
      </c>
      <c r="F22" s="80">
        <v>2200</v>
      </c>
      <c r="G22" s="96" t="s">
        <v>1737</v>
      </c>
      <c r="H22" s="80" t="s">
        <v>1738</v>
      </c>
      <c r="I22" s="80" t="s">
        <v>1739</v>
      </c>
      <c r="J22" s="100" t="s">
        <v>1740</v>
      </c>
      <c r="K22" s="80" t="str">
        <f t="shared" si="2"/>
        <v/>
      </c>
      <c r="L22" s="80">
        <f t="shared" si="3"/>
        <v>1</v>
      </c>
      <c r="M22" s="101" t="str">
        <f t="shared" si="4"/>
        <v>25/11/12</v>
      </c>
      <c r="N22" s="93" t="s">
        <v>1655</v>
      </c>
      <c r="O22" s="93" t="s">
        <v>536</v>
      </c>
      <c r="P22" s="93" t="s">
        <v>636</v>
      </c>
      <c r="Q22" s="93" t="s">
        <v>676</v>
      </c>
      <c r="R22" s="93" t="s">
        <v>455</v>
      </c>
      <c r="S22" s="93" t="s">
        <v>716</v>
      </c>
      <c r="T22" s="93" t="s">
        <v>259</v>
      </c>
      <c r="U22" s="80" t="str">
        <f t="shared" si="5"/>
        <v>宮城</v>
      </c>
      <c r="V22" s="80">
        <f t="shared" si="6"/>
        <v>2</v>
      </c>
      <c r="W22" s="92" t="s">
        <v>1741</v>
      </c>
    </row>
    <row r="23" spans="1:23">
      <c r="A23" s="509" t="str">
        <f t="shared" si="0"/>
        <v>0072-251107-多肉 ちょこん入り 7種セット C 抜き苗</v>
      </c>
      <c r="B23" s="80">
        <f t="shared" si="1"/>
        <v>72</v>
      </c>
      <c r="C23" s="80">
        <v>5</v>
      </c>
      <c r="D23" s="94">
        <v>45968</v>
      </c>
      <c r="E23" s="95" t="s">
        <v>3351</v>
      </c>
      <c r="F23" s="80">
        <v>2400</v>
      </c>
      <c r="G23" s="96" t="s">
        <v>1727</v>
      </c>
      <c r="H23" s="80" t="s">
        <v>1728</v>
      </c>
      <c r="I23" s="80" t="s">
        <v>1729</v>
      </c>
      <c r="J23" s="100" t="s">
        <v>1730</v>
      </c>
      <c r="K23" s="80" t="str">
        <f t="shared" si="2"/>
        <v/>
      </c>
      <c r="L23" s="80">
        <f t="shared" si="3"/>
        <v>4</v>
      </c>
      <c r="M23" s="101" t="str">
        <f t="shared" si="4"/>
        <v>25/11/15</v>
      </c>
      <c r="N23" s="93" t="s">
        <v>1655</v>
      </c>
      <c r="O23" s="93" t="s">
        <v>536</v>
      </c>
      <c r="P23" s="93" t="s">
        <v>636</v>
      </c>
      <c r="Q23" s="93" t="s">
        <v>537</v>
      </c>
      <c r="R23" s="93" t="s">
        <v>860</v>
      </c>
      <c r="S23" s="93" t="s">
        <v>716</v>
      </c>
      <c r="T23" s="93" t="s">
        <v>259</v>
      </c>
      <c r="U23" s="80" t="str">
        <f t="shared" si="5"/>
        <v>佐賀</v>
      </c>
      <c r="V23" s="80">
        <f t="shared" si="6"/>
        <v>5</v>
      </c>
      <c r="W23" s="92" t="s">
        <v>1747</v>
      </c>
    </row>
    <row r="24" spans="1:23">
      <c r="A24" s="509" t="str">
        <f t="shared" si="0"/>
        <v>0071-251107-多肉 ミックスベリア ちょこん入り 7種セット B 抜き苗</v>
      </c>
      <c r="B24" s="80">
        <f t="shared" si="1"/>
        <v>71</v>
      </c>
      <c r="C24" s="80">
        <v>31</v>
      </c>
      <c r="D24" s="94">
        <v>45968</v>
      </c>
      <c r="E24" s="95" t="s">
        <v>3352</v>
      </c>
      <c r="F24" s="80">
        <v>2400</v>
      </c>
      <c r="G24" s="96" t="s">
        <v>1742</v>
      </c>
      <c r="H24" s="80" t="s">
        <v>1743</v>
      </c>
      <c r="I24" s="80" t="s">
        <v>1744</v>
      </c>
      <c r="J24" s="100" t="s">
        <v>1745</v>
      </c>
      <c r="K24" s="80" t="str">
        <f t="shared" si="2"/>
        <v/>
      </c>
      <c r="L24" s="80">
        <f t="shared" si="3"/>
        <v>1</v>
      </c>
      <c r="M24" s="101" t="str">
        <f t="shared" si="4"/>
        <v>25/11/15</v>
      </c>
      <c r="N24" s="93" t="s">
        <v>1655</v>
      </c>
      <c r="O24" s="93" t="s">
        <v>536</v>
      </c>
      <c r="P24" s="93" t="s">
        <v>636</v>
      </c>
      <c r="Q24" s="93" t="s">
        <v>676</v>
      </c>
      <c r="R24" s="93" t="s">
        <v>455</v>
      </c>
      <c r="S24" s="93" t="s">
        <v>716</v>
      </c>
      <c r="T24" s="93" t="s">
        <v>259</v>
      </c>
      <c r="U24" s="80" t="str">
        <f t="shared" si="5"/>
        <v>佐賀</v>
      </c>
      <c r="V24" s="80">
        <f t="shared" si="6"/>
        <v>5</v>
      </c>
      <c r="W24" s="92" t="s">
        <v>3353</v>
      </c>
    </row>
    <row r="25" spans="1:23">
      <c r="A25" s="509" t="str">
        <f t="shared" si="0"/>
        <v>0070-251107-多肉 ちょこん入り 7種セット A 抜き苗</v>
      </c>
      <c r="B25" s="80">
        <f t="shared" si="1"/>
        <v>70</v>
      </c>
      <c r="C25" s="80">
        <v>6</v>
      </c>
      <c r="D25" s="94">
        <v>45968</v>
      </c>
      <c r="E25" s="95" t="s">
        <v>1746</v>
      </c>
      <c r="F25" s="80">
        <v>2400</v>
      </c>
      <c r="G25" s="519" t="s">
        <v>1704</v>
      </c>
      <c r="H25" s="516" t="s">
        <v>1705</v>
      </c>
      <c r="I25" s="516" t="s">
        <v>1706</v>
      </c>
      <c r="J25" s="520" t="s">
        <v>1707</v>
      </c>
      <c r="K25" s="80" t="str">
        <f t="shared" si="2"/>
        <v/>
      </c>
      <c r="L25" s="80">
        <f t="shared" si="3"/>
        <v>6</v>
      </c>
      <c r="M25" s="101" t="str">
        <f t="shared" si="4"/>
        <v>25/11/13</v>
      </c>
      <c r="N25" s="93" t="s">
        <v>1655</v>
      </c>
      <c r="O25" s="93" t="s">
        <v>536</v>
      </c>
      <c r="P25" s="93" t="s">
        <v>636</v>
      </c>
      <c r="Q25" s="93" t="s">
        <v>537</v>
      </c>
      <c r="R25" s="93" t="s">
        <v>860</v>
      </c>
      <c r="S25" s="93" t="s">
        <v>716</v>
      </c>
      <c r="T25" s="93" t="s">
        <v>259</v>
      </c>
      <c r="U25" s="80" t="str">
        <f t="shared" si="5"/>
        <v>神奈川</v>
      </c>
      <c r="V25" s="80">
        <f t="shared" si="6"/>
        <v>11</v>
      </c>
      <c r="W25" s="92" t="s">
        <v>3354</v>
      </c>
    </row>
    <row r="26" spans="1:23">
      <c r="A26" s="509" t="str">
        <f t="shared" si="0"/>
        <v>0069-251024-多肉 紫紺の矢入り 7種セット 抜き苗</v>
      </c>
      <c r="B26" s="80">
        <f t="shared" si="1"/>
        <v>69</v>
      </c>
      <c r="C26" s="80">
        <v>2</v>
      </c>
      <c r="D26" s="94">
        <v>45954</v>
      </c>
      <c r="E26" s="95" t="s">
        <v>1758</v>
      </c>
      <c r="F26" s="80">
        <v>2200</v>
      </c>
      <c r="G26" s="96" t="s">
        <v>1759</v>
      </c>
      <c r="H26" s="80" t="s">
        <v>1760</v>
      </c>
      <c r="I26" s="80" t="s">
        <v>1761</v>
      </c>
      <c r="J26" s="100" t="s">
        <v>1762</v>
      </c>
      <c r="K26" s="80" t="str">
        <f t="shared" si="2"/>
        <v/>
      </c>
      <c r="L26" s="80">
        <f t="shared" si="3"/>
        <v>2</v>
      </c>
      <c r="M26" s="101" t="str">
        <f t="shared" si="4"/>
        <v>25/10/30</v>
      </c>
      <c r="N26" s="102" t="s">
        <v>1652</v>
      </c>
      <c r="O26" s="93" t="s">
        <v>161</v>
      </c>
      <c r="P26" s="93" t="s">
        <v>398</v>
      </c>
      <c r="Q26" s="93" t="s">
        <v>290</v>
      </c>
      <c r="R26" s="93" t="s">
        <v>694</v>
      </c>
      <c r="S26" s="93" t="s">
        <v>636</v>
      </c>
      <c r="T26" s="93" t="s">
        <v>405</v>
      </c>
      <c r="U26" s="80" t="str">
        <f t="shared" si="5"/>
        <v>宮崎</v>
      </c>
      <c r="V26" s="80">
        <f t="shared" si="6"/>
        <v>2</v>
      </c>
      <c r="W26" s="92" t="s">
        <v>3355</v>
      </c>
    </row>
    <row r="27" spans="1:23">
      <c r="A27" s="509" t="str">
        <f t="shared" si="0"/>
        <v>0068-251024-多肉 はじまりの花入り 7種セット 抜き苗</v>
      </c>
      <c r="B27" s="80">
        <f t="shared" si="1"/>
        <v>68</v>
      </c>
      <c r="C27" s="80" t="s">
        <v>1748</v>
      </c>
      <c r="D27" s="94">
        <v>45954</v>
      </c>
      <c r="E27" s="95" t="s">
        <v>1749</v>
      </c>
      <c r="F27" s="80">
        <v>2400</v>
      </c>
      <c r="G27" s="519" t="s">
        <v>1704</v>
      </c>
      <c r="H27" s="516" t="s">
        <v>1705</v>
      </c>
      <c r="I27" s="516" t="s">
        <v>1706</v>
      </c>
      <c r="J27" s="520" t="s">
        <v>1707</v>
      </c>
      <c r="K27" s="80" t="str">
        <f t="shared" si="2"/>
        <v/>
      </c>
      <c r="L27" s="80">
        <f t="shared" si="3"/>
        <v>6</v>
      </c>
      <c r="M27" s="101" t="str">
        <f t="shared" si="4"/>
        <v>25/10/30</v>
      </c>
      <c r="N27" s="102" t="s">
        <v>1657</v>
      </c>
      <c r="O27" s="93" t="s">
        <v>1659</v>
      </c>
      <c r="P27" s="93" t="s">
        <v>398</v>
      </c>
      <c r="Q27" s="93" t="s">
        <v>290</v>
      </c>
      <c r="R27" s="93" t="s">
        <v>694</v>
      </c>
      <c r="S27" s="93" t="s">
        <v>636</v>
      </c>
      <c r="T27" s="93" t="s">
        <v>405</v>
      </c>
      <c r="U27" s="80" t="str">
        <f t="shared" si="5"/>
        <v>神奈川</v>
      </c>
      <c r="V27" s="80">
        <f t="shared" si="6"/>
        <v>11</v>
      </c>
      <c r="W27" s="92" t="s">
        <v>1750</v>
      </c>
    </row>
    <row r="28" spans="1:23">
      <c r="A28" s="509" t="str">
        <f t="shared" si="0"/>
        <v>0067-251024-多肉 ちょこん入り 7種セット C 抜き苗</v>
      </c>
      <c r="B28" s="80">
        <f t="shared" si="1"/>
        <v>67</v>
      </c>
      <c r="C28" s="80">
        <v>3</v>
      </c>
      <c r="D28" s="94">
        <v>45954</v>
      </c>
      <c r="E28" s="95" t="s">
        <v>3351</v>
      </c>
      <c r="F28" s="80">
        <v>2400</v>
      </c>
      <c r="G28" s="519" t="s">
        <v>1732</v>
      </c>
      <c r="H28" s="516" t="s">
        <v>1733</v>
      </c>
      <c r="I28" s="516" t="s">
        <v>1734</v>
      </c>
      <c r="J28" s="520" t="s">
        <v>1735</v>
      </c>
      <c r="K28" s="80" t="str">
        <f t="shared" si="2"/>
        <v/>
      </c>
      <c r="L28" s="80">
        <f t="shared" si="3"/>
        <v>7</v>
      </c>
      <c r="M28" s="101" t="str">
        <f t="shared" si="4"/>
        <v>25/10/30</v>
      </c>
      <c r="N28" s="93" t="s">
        <v>1655</v>
      </c>
      <c r="O28" s="93" t="s">
        <v>387</v>
      </c>
      <c r="P28" s="93" t="s">
        <v>537</v>
      </c>
      <c r="Q28" s="93" t="s">
        <v>239</v>
      </c>
      <c r="R28" s="93" t="s">
        <v>676</v>
      </c>
      <c r="S28" s="93" t="s">
        <v>636</v>
      </c>
      <c r="T28" s="93" t="s">
        <v>405</v>
      </c>
      <c r="U28" s="80" t="str">
        <f t="shared" si="5"/>
        <v>香川</v>
      </c>
      <c r="V28" s="80">
        <f t="shared" si="6"/>
        <v>8</v>
      </c>
      <c r="W28" s="92" t="s">
        <v>1757</v>
      </c>
    </row>
    <row r="29" spans="1:23">
      <c r="A29" s="509" t="str">
        <f t="shared" si="0"/>
        <v>0066-251024-多肉 ちょこん入り 7種セット B 抜き苗</v>
      </c>
      <c r="B29" s="80">
        <f t="shared" si="1"/>
        <v>66</v>
      </c>
      <c r="C29" s="80">
        <v>6</v>
      </c>
      <c r="D29" s="94">
        <v>45954</v>
      </c>
      <c r="E29" s="95" t="s">
        <v>1751</v>
      </c>
      <c r="F29" s="80">
        <v>2400</v>
      </c>
      <c r="G29" s="96" t="s">
        <v>1752</v>
      </c>
      <c r="H29" s="80" t="s">
        <v>1753</v>
      </c>
      <c r="I29" s="80" t="s">
        <v>1754</v>
      </c>
      <c r="J29" s="100" t="s">
        <v>1755</v>
      </c>
      <c r="K29" s="80" t="str">
        <f t="shared" si="2"/>
        <v/>
      </c>
      <c r="L29" s="80">
        <f t="shared" si="3"/>
        <v>1</v>
      </c>
      <c r="M29" s="101" t="str">
        <f t="shared" si="4"/>
        <v>25/10/30</v>
      </c>
      <c r="N29" s="93" t="s">
        <v>1655</v>
      </c>
      <c r="O29" s="93" t="s">
        <v>387</v>
      </c>
      <c r="P29" s="93" t="s">
        <v>537</v>
      </c>
      <c r="Q29" s="93" t="s">
        <v>239</v>
      </c>
      <c r="R29" s="93" t="s">
        <v>676</v>
      </c>
      <c r="S29" s="93" t="s">
        <v>636</v>
      </c>
      <c r="T29" s="93" t="s">
        <v>405</v>
      </c>
      <c r="U29" s="80" t="str">
        <f t="shared" si="5"/>
        <v>福島</v>
      </c>
      <c r="V29" s="80">
        <f t="shared" si="6"/>
        <v>4</v>
      </c>
      <c r="W29" s="92" t="s">
        <v>1756</v>
      </c>
    </row>
    <row r="30" spans="1:23">
      <c r="A30" s="509" t="str">
        <f t="shared" si="0"/>
        <v>0065-251024-多肉 ちょこん入り 7種セット A 抜き苗</v>
      </c>
      <c r="B30" s="80">
        <f t="shared" si="1"/>
        <v>65</v>
      </c>
      <c r="C30" s="80">
        <v>1</v>
      </c>
      <c r="D30" s="94">
        <v>45954</v>
      </c>
      <c r="E30" s="95" t="s">
        <v>1746</v>
      </c>
      <c r="F30" s="80">
        <v>2700</v>
      </c>
      <c r="G30" s="96" t="s">
        <v>1727</v>
      </c>
      <c r="H30" s="80" t="s">
        <v>1728</v>
      </c>
      <c r="I30" s="80" t="s">
        <v>1729</v>
      </c>
      <c r="J30" s="100" t="s">
        <v>1730</v>
      </c>
      <c r="K30" s="80" t="str">
        <f t="shared" si="2"/>
        <v/>
      </c>
      <c r="L30" s="80">
        <f t="shared" si="3"/>
        <v>4</v>
      </c>
      <c r="M30" s="101" t="str">
        <f t="shared" si="4"/>
        <v>25/10/31</v>
      </c>
      <c r="N30" s="93" t="s">
        <v>1655</v>
      </c>
      <c r="O30" s="93" t="s">
        <v>398</v>
      </c>
      <c r="P30" s="93" t="s">
        <v>290</v>
      </c>
      <c r="Q30" s="93" t="s">
        <v>387</v>
      </c>
      <c r="R30" s="93" t="s">
        <v>676</v>
      </c>
      <c r="S30" s="93" t="s">
        <v>636</v>
      </c>
      <c r="T30" s="93" t="s">
        <v>405</v>
      </c>
      <c r="U30" s="80" t="str">
        <f t="shared" si="5"/>
        <v>佐賀</v>
      </c>
      <c r="V30" s="80">
        <f t="shared" si="6"/>
        <v>5</v>
      </c>
      <c r="W30" s="92" t="s">
        <v>1763</v>
      </c>
    </row>
    <row r="31" spans="1:23">
      <c r="A31" s="509" t="str">
        <f t="shared" si="0"/>
        <v>0064-251017-多肉 ちょこん入り 7種セット 抜き苗</v>
      </c>
      <c r="B31" s="80">
        <f t="shared" si="1"/>
        <v>64</v>
      </c>
      <c r="C31" s="80">
        <v>10</v>
      </c>
      <c r="D31" s="94">
        <v>45947</v>
      </c>
      <c r="E31" s="95" t="s">
        <v>1770</v>
      </c>
      <c r="F31" s="80">
        <v>2600</v>
      </c>
      <c r="G31" s="96" t="s">
        <v>1771</v>
      </c>
      <c r="H31" s="80" t="s">
        <v>1772</v>
      </c>
      <c r="I31" s="80" t="s">
        <v>1773</v>
      </c>
      <c r="J31" s="100" t="s">
        <v>1774</v>
      </c>
      <c r="K31" s="80" t="str">
        <f t="shared" si="2"/>
        <v/>
      </c>
      <c r="L31" s="80">
        <f t="shared" si="3"/>
        <v>2</v>
      </c>
      <c r="M31" s="101" t="str">
        <f t="shared" si="4"/>
        <v>25/10/23</v>
      </c>
      <c r="N31" s="93" t="s">
        <v>1655</v>
      </c>
      <c r="O31" s="93" t="s">
        <v>1047</v>
      </c>
      <c r="P31" s="93" t="s">
        <v>497</v>
      </c>
      <c r="Q31" s="93" t="s">
        <v>383</v>
      </c>
      <c r="R31" s="93" t="s">
        <v>639</v>
      </c>
      <c r="S31" s="93" t="s">
        <v>716</v>
      </c>
      <c r="T31" s="93" t="s">
        <v>1660</v>
      </c>
      <c r="U31" s="80" t="str">
        <f t="shared" si="5"/>
        <v>東京</v>
      </c>
      <c r="V31" s="80">
        <f t="shared" si="6"/>
        <v>7</v>
      </c>
      <c r="W31" s="92" t="s">
        <v>3356</v>
      </c>
    </row>
    <row r="32" spans="1:23">
      <c r="A32" s="509" t="str">
        <f t="shared" si="0"/>
        <v>0063-251017-多肉 モルゲンロート入り 7種セット B 抜き苗</v>
      </c>
      <c r="B32" s="80">
        <f t="shared" si="1"/>
        <v>63</v>
      </c>
      <c r="C32" s="80">
        <v>12</v>
      </c>
      <c r="D32" s="94">
        <v>45947</v>
      </c>
      <c r="E32" s="95" t="s">
        <v>1764</v>
      </c>
      <c r="F32" s="80">
        <v>2400</v>
      </c>
      <c r="G32" s="96" t="s">
        <v>1765</v>
      </c>
      <c r="H32" s="80" t="s">
        <v>1766</v>
      </c>
      <c r="I32" s="80" t="s">
        <v>1767</v>
      </c>
      <c r="J32" s="100" t="s">
        <v>1768</v>
      </c>
      <c r="K32" s="80" t="str">
        <f t="shared" si="2"/>
        <v/>
      </c>
      <c r="L32" s="80">
        <f t="shared" si="3"/>
        <v>2</v>
      </c>
      <c r="M32" s="101" t="str">
        <f t="shared" si="4"/>
        <v>25/10/24</v>
      </c>
      <c r="N32" s="102" t="s">
        <v>1673</v>
      </c>
      <c r="O32" s="93" t="s">
        <v>1655</v>
      </c>
      <c r="P32" s="93" t="s">
        <v>676</v>
      </c>
      <c r="Q32" s="93" t="s">
        <v>523</v>
      </c>
      <c r="R32" s="93" t="s">
        <v>805</v>
      </c>
      <c r="S32" s="93" t="s">
        <v>740</v>
      </c>
      <c r="T32" s="93" t="s">
        <v>1660</v>
      </c>
      <c r="U32" s="80" t="str">
        <f t="shared" si="5"/>
        <v>大阪</v>
      </c>
      <c r="V32" s="80">
        <f t="shared" si="6"/>
        <v>4</v>
      </c>
      <c r="W32" s="92" t="s">
        <v>1769</v>
      </c>
    </row>
    <row r="33" spans="1:23">
      <c r="A33" s="509" t="str">
        <f t="shared" si="0"/>
        <v>0062-251017-多肉 モルゲンロート入り 7種セット A 抜き苗</v>
      </c>
      <c r="B33" s="80">
        <f t="shared" si="1"/>
        <v>62</v>
      </c>
      <c r="C33" s="80">
        <v>8</v>
      </c>
      <c r="D33" s="94">
        <v>45947</v>
      </c>
      <c r="E33" s="95" t="s">
        <v>1775</v>
      </c>
      <c r="F33" s="80">
        <v>2400</v>
      </c>
      <c r="G33" s="96" t="s">
        <v>1776</v>
      </c>
      <c r="H33" s="80" t="s">
        <v>1777</v>
      </c>
      <c r="I33" s="80" t="s">
        <v>1778</v>
      </c>
      <c r="J33" s="100" t="s">
        <v>1779</v>
      </c>
      <c r="K33" s="80" t="str">
        <f t="shared" si="2"/>
        <v/>
      </c>
      <c r="L33" s="80">
        <f t="shared" si="3"/>
        <v>1</v>
      </c>
      <c r="M33" s="101" t="str">
        <f t="shared" si="4"/>
        <v>25/10/23</v>
      </c>
      <c r="N33" s="102" t="s">
        <v>1673</v>
      </c>
      <c r="O33" s="93" t="s">
        <v>1655</v>
      </c>
      <c r="P33" s="93" t="s">
        <v>1047</v>
      </c>
      <c r="Q33" s="93" t="s">
        <v>645</v>
      </c>
      <c r="R33" s="93" t="s">
        <v>676</v>
      </c>
      <c r="S33" s="93" t="s">
        <v>462</v>
      </c>
      <c r="T33" s="93" t="s">
        <v>1660</v>
      </c>
      <c r="U33" s="80" t="str">
        <f t="shared" si="5"/>
        <v>愛知</v>
      </c>
      <c r="V33" s="80">
        <f t="shared" si="6"/>
        <v>2</v>
      </c>
      <c r="W33" s="92" t="s">
        <v>1780</v>
      </c>
    </row>
    <row r="34" spans="1:23">
      <c r="A34" s="509" t="str">
        <f t="shared" si="0"/>
        <v>0061-251017-多肉 ぺったん入り 7種セット B 抜き苗</v>
      </c>
      <c r="B34" s="80">
        <f t="shared" si="1"/>
        <v>61</v>
      </c>
      <c r="C34" s="80">
        <v>1</v>
      </c>
      <c r="D34" s="94">
        <v>45947</v>
      </c>
      <c r="E34" s="95" t="s">
        <v>1781</v>
      </c>
      <c r="F34" s="80">
        <v>2400</v>
      </c>
      <c r="G34" s="96" t="s">
        <v>1782</v>
      </c>
      <c r="H34" s="80" t="s">
        <v>1783</v>
      </c>
      <c r="I34" s="80" t="s">
        <v>1784</v>
      </c>
      <c r="J34" s="100" t="s">
        <v>1785</v>
      </c>
      <c r="K34" s="80" t="str">
        <f t="shared" si="2"/>
        <v/>
      </c>
      <c r="L34" s="80">
        <f t="shared" si="3"/>
        <v>1</v>
      </c>
      <c r="M34" s="101" t="str">
        <f t="shared" si="4"/>
        <v>25/10/22</v>
      </c>
      <c r="N34" s="102" t="s">
        <v>1667</v>
      </c>
      <c r="O34" s="93" t="s">
        <v>1655</v>
      </c>
      <c r="P34" s="93" t="s">
        <v>1047</v>
      </c>
      <c r="Q34" s="93" t="s">
        <v>676</v>
      </c>
      <c r="R34" s="93" t="s">
        <v>805</v>
      </c>
      <c r="S34" s="93" t="s">
        <v>645</v>
      </c>
      <c r="T34" s="93" t="s">
        <v>1660</v>
      </c>
      <c r="U34" s="80" t="str">
        <f t="shared" si="5"/>
        <v>茨城</v>
      </c>
      <c r="V34" s="80">
        <f t="shared" si="6"/>
        <v>2</v>
      </c>
      <c r="W34" s="92" t="s">
        <v>1786</v>
      </c>
    </row>
    <row r="35" spans="1:23">
      <c r="A35" s="509" t="str">
        <f t="shared" si="0"/>
        <v>0060-251017-多肉 ぺったん入り 7種セット A 抜き苗</v>
      </c>
      <c r="B35" s="80">
        <f t="shared" si="1"/>
        <v>60</v>
      </c>
      <c r="C35" s="80">
        <v>1</v>
      </c>
      <c r="D35" s="94">
        <v>45947</v>
      </c>
      <c r="E35" s="95" t="s">
        <v>1787</v>
      </c>
      <c r="F35" s="80">
        <v>2400</v>
      </c>
      <c r="G35" s="96" t="s">
        <v>1788</v>
      </c>
      <c r="H35" s="80" t="s">
        <v>1789</v>
      </c>
      <c r="I35" s="80" t="s">
        <v>1790</v>
      </c>
      <c r="J35" s="100" t="s">
        <v>1791</v>
      </c>
      <c r="K35" s="80" t="str">
        <f t="shared" si="2"/>
        <v/>
      </c>
      <c r="L35" s="80">
        <f t="shared" si="3"/>
        <v>1</v>
      </c>
      <c r="M35" s="101" t="str">
        <f t="shared" si="4"/>
        <v>25/10/23</v>
      </c>
      <c r="N35" s="102" t="s">
        <v>1667</v>
      </c>
      <c r="O35" s="93" t="s">
        <v>1655</v>
      </c>
      <c r="P35" s="93" t="s">
        <v>523</v>
      </c>
      <c r="Q35" s="93" t="s">
        <v>676</v>
      </c>
      <c r="R35" s="93" t="s">
        <v>462</v>
      </c>
      <c r="S35" s="93" t="s">
        <v>740</v>
      </c>
      <c r="T35" s="93" t="s">
        <v>1660</v>
      </c>
      <c r="U35" s="80" t="str">
        <f t="shared" si="5"/>
        <v>静岡</v>
      </c>
      <c r="V35" s="80">
        <f t="shared" si="6"/>
        <v>2</v>
      </c>
      <c r="W35" s="92" t="s">
        <v>1792</v>
      </c>
    </row>
    <row r="36" spans="1:23">
      <c r="A36" s="510" t="str">
        <f t="shared" si="0"/>
        <v>0059-251003-多肉 ぺったん入り 7種セット 抜き苗</v>
      </c>
      <c r="B36" s="80">
        <f t="shared" si="1"/>
        <v>59</v>
      </c>
      <c r="C36" s="80">
        <v>6</v>
      </c>
      <c r="D36" s="94">
        <v>45933</v>
      </c>
      <c r="E36" s="95" t="s">
        <v>1793</v>
      </c>
      <c r="F36" s="80">
        <v>2200</v>
      </c>
      <c r="G36" s="96" t="s">
        <v>3310</v>
      </c>
      <c r="H36" s="80" t="s">
        <v>1794</v>
      </c>
      <c r="I36" s="80" t="s">
        <v>1795</v>
      </c>
      <c r="J36" s="100" t="s">
        <v>1796</v>
      </c>
      <c r="K36" s="80" t="str">
        <f t="shared" si="2"/>
        <v/>
      </c>
      <c r="L36" s="80">
        <f t="shared" si="3"/>
        <v>1</v>
      </c>
      <c r="M36" s="101" t="str">
        <f t="shared" si="4"/>
        <v>25/10/07</v>
      </c>
      <c r="N36" s="93" t="s">
        <v>1667</v>
      </c>
      <c r="O36" s="93" t="s">
        <v>1671</v>
      </c>
      <c r="P36" s="93" t="s">
        <v>642</v>
      </c>
      <c r="Q36" s="93" t="s">
        <v>636</v>
      </c>
      <c r="R36" s="93" t="s">
        <v>732</v>
      </c>
      <c r="S36" s="93" t="s">
        <v>840</v>
      </c>
      <c r="T36" s="93" t="s">
        <v>823</v>
      </c>
      <c r="U36" s="80" t="str">
        <f t="shared" si="5"/>
        <v>福岡</v>
      </c>
      <c r="V36" s="80">
        <f t="shared" si="6"/>
        <v>4</v>
      </c>
      <c r="W36" s="92" t="s">
        <v>1797</v>
      </c>
    </row>
    <row r="37" spans="1:23">
      <c r="A37" s="509" t="str">
        <f t="shared" si="0"/>
        <v>0058-251003-多肉 ちょこん入り 7種セット B 抜き苗</v>
      </c>
      <c r="B37" s="80">
        <f t="shared" si="1"/>
        <v>58</v>
      </c>
      <c r="C37" s="80">
        <v>5</v>
      </c>
      <c r="D37" s="94">
        <v>45933</v>
      </c>
      <c r="E37" s="95" t="s">
        <v>1751</v>
      </c>
      <c r="F37" s="80">
        <v>2600</v>
      </c>
      <c r="G37" s="96" t="s">
        <v>1798</v>
      </c>
      <c r="H37" s="80" t="s">
        <v>1799</v>
      </c>
      <c r="I37" s="80" t="s">
        <v>1800</v>
      </c>
      <c r="J37" s="100" t="s">
        <v>1801</v>
      </c>
      <c r="K37" s="80" t="str">
        <f t="shared" si="2"/>
        <v/>
      </c>
      <c r="L37" s="80">
        <f t="shared" si="3"/>
        <v>1</v>
      </c>
      <c r="M37" s="101" t="str">
        <f t="shared" si="4"/>
        <v>25/10/09</v>
      </c>
      <c r="N37" s="93" t="s">
        <v>1655</v>
      </c>
      <c r="O37" s="93" t="s">
        <v>829</v>
      </c>
      <c r="P37" s="93" t="s">
        <v>642</v>
      </c>
      <c r="Q37" s="93" t="s">
        <v>661</v>
      </c>
      <c r="R37" s="93" t="s">
        <v>536</v>
      </c>
      <c r="S37" s="93" t="s">
        <v>735</v>
      </c>
      <c r="T37" s="93" t="s">
        <v>823</v>
      </c>
      <c r="U37" s="80" t="str">
        <f t="shared" si="5"/>
        <v>大分</v>
      </c>
      <c r="V37" s="80">
        <f t="shared" si="6"/>
        <v>1</v>
      </c>
      <c r="W37" s="92" t="s">
        <v>1802</v>
      </c>
    </row>
    <row r="38" spans="1:23">
      <c r="A38" s="509" t="str">
        <f t="shared" si="0"/>
        <v>0057-251003-多肉 ちょこん入り 7種セット A 抜き苗</v>
      </c>
      <c r="B38" s="80">
        <f t="shared" si="1"/>
        <v>57</v>
      </c>
      <c r="C38" s="80">
        <v>1</v>
      </c>
      <c r="D38" s="521">
        <v>45933</v>
      </c>
      <c r="E38" s="522" t="s">
        <v>1746</v>
      </c>
      <c r="F38" s="516">
        <v>2800</v>
      </c>
      <c r="G38" s="519" t="s">
        <v>1732</v>
      </c>
      <c r="H38" s="516" t="s">
        <v>1733</v>
      </c>
      <c r="I38" s="516" t="s">
        <v>1734</v>
      </c>
      <c r="J38" s="520" t="s">
        <v>1735</v>
      </c>
      <c r="K38" s="80" t="str">
        <f t="shared" si="2"/>
        <v/>
      </c>
      <c r="L38" s="516">
        <f t="shared" si="3"/>
        <v>7</v>
      </c>
      <c r="M38" s="101" t="str">
        <f t="shared" si="4"/>
        <v>25/10/09</v>
      </c>
      <c r="N38" s="93" t="s">
        <v>1655</v>
      </c>
      <c r="O38" s="93" t="s">
        <v>829</v>
      </c>
      <c r="P38" s="93" t="s">
        <v>642</v>
      </c>
      <c r="Q38" s="93" t="s">
        <v>661</v>
      </c>
      <c r="R38" s="93" t="s">
        <v>536</v>
      </c>
      <c r="S38" s="93" t="s">
        <v>735</v>
      </c>
      <c r="T38" s="93" t="s">
        <v>823</v>
      </c>
      <c r="U38" s="80" t="str">
        <f t="shared" si="5"/>
        <v>香川</v>
      </c>
      <c r="V38" s="80">
        <f t="shared" si="6"/>
        <v>8</v>
      </c>
      <c r="W38" s="92" t="s">
        <v>1803</v>
      </c>
    </row>
    <row r="39" spans="1:23">
      <c r="A39" s="509" t="str">
        <f t="shared" si="0"/>
        <v>0056-251003-多肉 はじまりの花入り 7種セット 抜き苗</v>
      </c>
      <c r="B39" s="80">
        <f t="shared" si="1"/>
        <v>56</v>
      </c>
      <c r="C39" s="80">
        <v>1</v>
      </c>
      <c r="D39" s="521">
        <v>45933</v>
      </c>
      <c r="E39" s="522" t="s">
        <v>1749</v>
      </c>
      <c r="F39" s="516">
        <v>2200</v>
      </c>
      <c r="G39" s="519" t="s">
        <v>1804</v>
      </c>
      <c r="H39" s="516" t="s">
        <v>1805</v>
      </c>
      <c r="I39" s="516" t="s">
        <v>1806</v>
      </c>
      <c r="J39" s="520" t="s">
        <v>1807</v>
      </c>
      <c r="K39" s="80" t="str">
        <f t="shared" si="2"/>
        <v/>
      </c>
      <c r="L39" s="516">
        <f t="shared" si="3"/>
        <v>2</v>
      </c>
      <c r="M39" s="101" t="str">
        <f t="shared" si="4"/>
        <v>25/10/09</v>
      </c>
      <c r="N39" s="93" t="s">
        <v>1657</v>
      </c>
      <c r="O39" s="93" t="s">
        <v>1671</v>
      </c>
      <c r="P39" s="93" t="s">
        <v>642</v>
      </c>
      <c r="Q39" s="93" t="s">
        <v>636</v>
      </c>
      <c r="R39" s="93" t="s">
        <v>732</v>
      </c>
      <c r="S39" s="93" t="s">
        <v>840</v>
      </c>
      <c r="T39" s="93" t="s">
        <v>823</v>
      </c>
      <c r="U39" s="80" t="str">
        <f t="shared" si="5"/>
        <v>東京</v>
      </c>
      <c r="V39" s="80">
        <f t="shared" si="6"/>
        <v>7</v>
      </c>
      <c r="W39" s="92" t="s">
        <v>1808</v>
      </c>
    </row>
    <row r="40" spans="1:23">
      <c r="A40" s="509" t="str">
        <f t="shared" si="0"/>
        <v>0055-251003-多肉 モルゲンロート 7種セット 抜き苗</v>
      </c>
      <c r="B40" s="80">
        <f t="shared" si="1"/>
        <v>55</v>
      </c>
      <c r="C40" s="80">
        <v>1</v>
      </c>
      <c r="D40" s="521">
        <v>45933</v>
      </c>
      <c r="E40" s="522" t="s">
        <v>1809</v>
      </c>
      <c r="F40" s="516">
        <v>2200</v>
      </c>
      <c r="G40" s="519" t="s">
        <v>1732</v>
      </c>
      <c r="H40" s="516" t="s">
        <v>1733</v>
      </c>
      <c r="I40" s="516" t="s">
        <v>1734</v>
      </c>
      <c r="J40" s="520" t="s">
        <v>1735</v>
      </c>
      <c r="K40" s="80" t="str">
        <f t="shared" si="2"/>
        <v/>
      </c>
      <c r="L40" s="516">
        <f t="shared" si="3"/>
        <v>7</v>
      </c>
      <c r="M40" s="101" t="str">
        <f t="shared" si="4"/>
        <v>25/10/09</v>
      </c>
      <c r="N40" s="93" t="s">
        <v>1673</v>
      </c>
      <c r="O40" s="93" t="s">
        <v>1671</v>
      </c>
      <c r="P40" s="93" t="s">
        <v>642</v>
      </c>
      <c r="Q40" s="93" t="s">
        <v>636</v>
      </c>
      <c r="R40" s="93" t="s">
        <v>732</v>
      </c>
      <c r="S40" s="93" t="s">
        <v>840</v>
      </c>
      <c r="T40" s="93" t="s">
        <v>823</v>
      </c>
      <c r="U40" s="80" t="str">
        <f t="shared" si="5"/>
        <v>香川</v>
      </c>
      <c r="V40" s="80">
        <f t="shared" si="6"/>
        <v>8</v>
      </c>
      <c r="W40" s="92" t="s">
        <v>1810</v>
      </c>
    </row>
    <row r="41" spans="1:23">
      <c r="A41" s="509" t="str">
        <f t="shared" si="0"/>
        <v>0054-250905-多肉 ぺったん入り 7種セット B 抜き苗</v>
      </c>
      <c r="B41" s="80">
        <f t="shared" si="1"/>
        <v>54</v>
      </c>
      <c r="C41" s="80" t="s">
        <v>1748</v>
      </c>
      <c r="D41" s="521">
        <v>45905</v>
      </c>
      <c r="E41" s="522" t="s">
        <v>1781</v>
      </c>
      <c r="F41" s="516">
        <v>2200</v>
      </c>
      <c r="G41" s="519" t="s">
        <v>1704</v>
      </c>
      <c r="H41" s="516" t="s">
        <v>1705</v>
      </c>
      <c r="I41" s="516" t="s">
        <v>1706</v>
      </c>
      <c r="J41" s="520" t="s">
        <v>1707</v>
      </c>
      <c r="K41" s="80" t="str">
        <f t="shared" si="2"/>
        <v/>
      </c>
      <c r="L41" s="516">
        <f t="shared" si="3"/>
        <v>6</v>
      </c>
      <c r="M41" s="101" t="str">
        <f t="shared" si="4"/>
        <v>25/09/11</v>
      </c>
      <c r="N41" s="102" t="s">
        <v>1667</v>
      </c>
      <c r="O41" s="93" t="s">
        <v>1671</v>
      </c>
      <c r="P41" s="93" t="s">
        <v>661</v>
      </c>
      <c r="Q41" s="93" t="s">
        <v>654</v>
      </c>
      <c r="R41" s="93" t="s">
        <v>359</v>
      </c>
      <c r="S41" s="93" t="s">
        <v>840</v>
      </c>
      <c r="T41" s="93" t="s">
        <v>259</v>
      </c>
      <c r="U41" s="80" t="str">
        <f t="shared" si="5"/>
        <v>神奈川</v>
      </c>
      <c r="V41" s="80">
        <f t="shared" si="6"/>
        <v>11</v>
      </c>
      <c r="W41" s="92" t="s">
        <v>3357</v>
      </c>
    </row>
    <row r="42" spans="1:23">
      <c r="A42" s="509" t="str">
        <f t="shared" si="0"/>
        <v>0053-250912-多肉 ぺったん入り 7種セット A 抜き苗</v>
      </c>
      <c r="B42" s="80">
        <f t="shared" si="1"/>
        <v>53</v>
      </c>
      <c r="C42" s="80" t="s">
        <v>1811</v>
      </c>
      <c r="D42" s="94">
        <v>45912</v>
      </c>
      <c r="E42" s="95" t="s">
        <v>1787</v>
      </c>
      <c r="F42" s="80">
        <v>2200</v>
      </c>
      <c r="G42" s="96" t="s">
        <v>1812</v>
      </c>
      <c r="H42" s="80" t="s">
        <v>1813</v>
      </c>
      <c r="I42" s="80" t="s">
        <v>1814</v>
      </c>
      <c r="J42" s="100" t="s">
        <v>1815</v>
      </c>
      <c r="K42" s="80" t="str">
        <f t="shared" si="2"/>
        <v/>
      </c>
      <c r="L42" s="80">
        <f t="shared" si="3"/>
        <v>1</v>
      </c>
      <c r="M42" s="101" t="str">
        <f t="shared" si="4"/>
        <v>25/09/22</v>
      </c>
      <c r="N42" s="102" t="s">
        <v>1667</v>
      </c>
      <c r="O42" s="93" t="s">
        <v>1671</v>
      </c>
      <c r="P42" s="93" t="s">
        <v>661</v>
      </c>
      <c r="Q42" s="93" t="s">
        <v>654</v>
      </c>
      <c r="R42" s="93" t="s">
        <v>359</v>
      </c>
      <c r="S42" s="93" t="s">
        <v>840</v>
      </c>
      <c r="T42" s="93" t="s">
        <v>259</v>
      </c>
      <c r="U42" s="80" t="str">
        <f t="shared" si="5"/>
        <v>三重</v>
      </c>
      <c r="V42" s="80">
        <f t="shared" si="6"/>
        <v>3</v>
      </c>
      <c r="W42" s="92" t="s">
        <v>1816</v>
      </c>
    </row>
    <row r="43" spans="1:23">
      <c r="A43" s="509" t="str">
        <f t="shared" si="0"/>
        <v>0052-250908-多肉 はじまりの花入り 7種セット 抜き苗</v>
      </c>
      <c r="B43" s="80">
        <f t="shared" si="1"/>
        <v>52</v>
      </c>
      <c r="C43" s="80" t="s">
        <v>1817</v>
      </c>
      <c r="D43" s="94">
        <v>45908</v>
      </c>
      <c r="E43" s="95" t="s">
        <v>1749</v>
      </c>
      <c r="F43" s="80">
        <v>2200</v>
      </c>
      <c r="G43" s="96" t="s">
        <v>1717</v>
      </c>
      <c r="H43" s="80" t="s">
        <v>1718</v>
      </c>
      <c r="I43" s="80" t="s">
        <v>1719</v>
      </c>
      <c r="J43" s="100" t="s">
        <v>1720</v>
      </c>
      <c r="K43" s="80" t="str">
        <f t="shared" si="2"/>
        <v/>
      </c>
      <c r="L43" s="80">
        <f t="shared" si="3"/>
        <v>2</v>
      </c>
      <c r="M43" s="101" t="str">
        <f t="shared" si="4"/>
        <v>25/10/03</v>
      </c>
      <c r="N43" s="102" t="s">
        <v>1657</v>
      </c>
      <c r="O43" s="93" t="s">
        <v>1671</v>
      </c>
      <c r="P43" s="93" t="s">
        <v>661</v>
      </c>
      <c r="Q43" s="93" t="s">
        <v>654</v>
      </c>
      <c r="R43" s="93" t="s">
        <v>359</v>
      </c>
      <c r="S43" s="93" t="s">
        <v>840</v>
      </c>
      <c r="T43" s="93" t="s">
        <v>259</v>
      </c>
      <c r="U43" s="80" t="str">
        <f t="shared" si="5"/>
        <v>福岡</v>
      </c>
      <c r="V43" s="80">
        <f t="shared" si="6"/>
        <v>4</v>
      </c>
      <c r="W43" s="92" t="s">
        <v>1818</v>
      </c>
    </row>
    <row r="44" spans="1:23">
      <c r="A44" s="509" t="str">
        <f t="shared" si="0"/>
        <v>0051-250905-多肉 紫紺の矢入り 7種セット 抜き苗</v>
      </c>
      <c r="B44" s="80">
        <f t="shared" si="1"/>
        <v>51</v>
      </c>
      <c r="C44" s="80">
        <v>9</v>
      </c>
      <c r="D44" s="94">
        <v>45905</v>
      </c>
      <c r="E44" s="95" t="s">
        <v>1758</v>
      </c>
      <c r="F44" s="80">
        <v>2600</v>
      </c>
      <c r="G44" s="96" t="s">
        <v>1819</v>
      </c>
      <c r="H44" s="80" t="s">
        <v>1820</v>
      </c>
      <c r="I44" s="80" t="s">
        <v>1821</v>
      </c>
      <c r="J44" s="100" t="s">
        <v>1822</v>
      </c>
      <c r="K44" s="80" t="str">
        <f t="shared" si="2"/>
        <v/>
      </c>
      <c r="L44" s="80">
        <f t="shared" si="3"/>
        <v>1</v>
      </c>
      <c r="M44" s="101" t="str">
        <f t="shared" si="4"/>
        <v>25/09/11</v>
      </c>
      <c r="N44" s="102" t="s">
        <v>1652</v>
      </c>
      <c r="O44" s="93" t="s">
        <v>161</v>
      </c>
      <c r="P44" s="93" t="s">
        <v>248</v>
      </c>
      <c r="Q44" s="93" t="s">
        <v>537</v>
      </c>
      <c r="R44" s="93" t="s">
        <v>636</v>
      </c>
      <c r="S44" s="93" t="s">
        <v>840</v>
      </c>
      <c r="T44" s="93" t="s">
        <v>259</v>
      </c>
      <c r="U44" s="80" t="str">
        <f t="shared" si="5"/>
        <v>兵庫</v>
      </c>
      <c r="V44" s="80">
        <f t="shared" si="6"/>
        <v>3</v>
      </c>
      <c r="W44" s="92" t="s">
        <v>1823</v>
      </c>
    </row>
    <row r="45" spans="1:23">
      <c r="A45" s="509" t="str">
        <f t="shared" si="0"/>
        <v>0050-250905-多肉 ちょこん入り 7種セット 抜き苗</v>
      </c>
      <c r="B45" s="80">
        <f t="shared" si="1"/>
        <v>50</v>
      </c>
      <c r="C45" s="80">
        <v>6</v>
      </c>
      <c r="D45" s="521">
        <v>45905</v>
      </c>
      <c r="E45" s="522" t="s">
        <v>1770</v>
      </c>
      <c r="F45" s="516">
        <v>2600</v>
      </c>
      <c r="G45" s="96" t="s">
        <v>1765</v>
      </c>
      <c r="H45" s="516" t="s">
        <v>1766</v>
      </c>
      <c r="I45" s="516" t="s">
        <v>1767</v>
      </c>
      <c r="J45" s="520" t="s">
        <v>1768</v>
      </c>
      <c r="K45" s="80" t="str">
        <f t="shared" si="2"/>
        <v/>
      </c>
      <c r="L45" s="516">
        <f t="shared" si="3"/>
        <v>2</v>
      </c>
      <c r="M45" s="101" t="str">
        <f t="shared" si="4"/>
        <v>25/09/12</v>
      </c>
      <c r="N45" s="102" t="s">
        <v>1655</v>
      </c>
      <c r="O45" s="93" t="s">
        <v>248</v>
      </c>
      <c r="P45" s="93" t="s">
        <v>537</v>
      </c>
      <c r="Q45" s="93" t="s">
        <v>636</v>
      </c>
      <c r="R45" s="93" t="s">
        <v>716</v>
      </c>
      <c r="S45" s="93" t="s">
        <v>840</v>
      </c>
      <c r="T45" s="93" t="s">
        <v>259</v>
      </c>
      <c r="U45" s="80" t="str">
        <f t="shared" si="5"/>
        <v>大阪</v>
      </c>
      <c r="V45" s="80">
        <f t="shared" si="6"/>
        <v>4</v>
      </c>
      <c r="W45" s="92" t="s">
        <v>1824</v>
      </c>
    </row>
    <row r="46" spans="1:23">
      <c r="A46" s="510" t="str">
        <f t="shared" si="0"/>
        <v>0049-250530-多肉 はじまりの花入り 7種セット 抜き苗</v>
      </c>
      <c r="B46" s="80">
        <f t="shared" si="1"/>
        <v>49</v>
      </c>
      <c r="C46" s="80" t="s">
        <v>1825</v>
      </c>
      <c r="D46" s="94">
        <v>45807</v>
      </c>
      <c r="E46" s="95" t="s">
        <v>1749</v>
      </c>
      <c r="F46" s="80">
        <v>2000</v>
      </c>
      <c r="G46" s="96" t="s">
        <v>1826</v>
      </c>
      <c r="H46" s="80" t="s">
        <v>1827</v>
      </c>
      <c r="I46" s="80" t="s">
        <v>1828</v>
      </c>
      <c r="J46" s="100" t="s">
        <v>1829</v>
      </c>
      <c r="K46" s="80" t="str">
        <f t="shared" si="2"/>
        <v/>
      </c>
      <c r="L46" s="80">
        <f t="shared" si="3"/>
        <v>1</v>
      </c>
      <c r="M46" s="101" t="str">
        <f t="shared" si="4"/>
        <v>25/06/04</v>
      </c>
      <c r="N46" s="102" t="s">
        <v>1657</v>
      </c>
      <c r="O46" s="93" t="s">
        <v>161</v>
      </c>
      <c r="P46" s="93" t="s">
        <v>256</v>
      </c>
      <c r="Q46" s="93" t="s">
        <v>536</v>
      </c>
      <c r="R46" s="93" t="s">
        <v>697</v>
      </c>
      <c r="S46" s="93" t="s">
        <v>840</v>
      </c>
      <c r="T46" s="93" t="s">
        <v>667</v>
      </c>
      <c r="U46" s="80" t="str">
        <f t="shared" si="5"/>
        <v>三重</v>
      </c>
      <c r="V46" s="80">
        <f t="shared" si="6"/>
        <v>3</v>
      </c>
      <c r="W46" s="92" t="s">
        <v>1830</v>
      </c>
    </row>
    <row r="47" spans="1:23">
      <c r="A47" s="509" t="str">
        <f t="shared" si="0"/>
        <v>0048-250530-多肉 七福神入り 7種セット B 抜き苗</v>
      </c>
      <c r="B47" s="80">
        <f t="shared" si="1"/>
        <v>48</v>
      </c>
      <c r="C47" s="80">
        <v>18</v>
      </c>
      <c r="D47" s="94">
        <v>45807</v>
      </c>
      <c r="E47" s="95" t="s">
        <v>1843</v>
      </c>
      <c r="F47" s="80">
        <v>1700</v>
      </c>
      <c r="G47" s="96" t="s">
        <v>1844</v>
      </c>
      <c r="H47" s="80" t="s">
        <v>1845</v>
      </c>
      <c r="I47" s="80" t="s">
        <v>1846</v>
      </c>
      <c r="J47" s="100" t="s">
        <v>1847</v>
      </c>
      <c r="K47" s="80" t="str">
        <f t="shared" si="2"/>
        <v/>
      </c>
      <c r="L47" s="80">
        <f t="shared" si="3"/>
        <v>1</v>
      </c>
      <c r="M47" s="101" t="str">
        <f t="shared" si="4"/>
        <v>25/06/05</v>
      </c>
      <c r="N47" s="102" t="s">
        <v>442</v>
      </c>
      <c r="O47" s="93" t="s">
        <v>1657</v>
      </c>
      <c r="P47" s="93" t="s">
        <v>536</v>
      </c>
      <c r="Q47" s="93" t="s">
        <v>697</v>
      </c>
      <c r="R47" s="93" t="s">
        <v>805</v>
      </c>
      <c r="S47" s="93" t="s">
        <v>840</v>
      </c>
      <c r="T47" s="93" t="s">
        <v>667</v>
      </c>
      <c r="U47" s="80" t="str">
        <f t="shared" si="5"/>
        <v>神奈川</v>
      </c>
      <c r="V47" s="80">
        <f t="shared" si="6"/>
        <v>11</v>
      </c>
      <c r="W47" s="92" t="s">
        <v>1848</v>
      </c>
    </row>
    <row r="48" spans="1:23">
      <c r="A48" s="509" t="str">
        <f t="shared" si="0"/>
        <v>0047-250530-多肉 七福神入り 7種セット A 抜き苗</v>
      </c>
      <c r="B48" s="80">
        <f t="shared" si="1"/>
        <v>47</v>
      </c>
      <c r="C48" s="80" t="s">
        <v>1831</v>
      </c>
      <c r="D48" s="94">
        <v>45807</v>
      </c>
      <c r="E48" s="95" t="s">
        <v>1832</v>
      </c>
      <c r="F48" s="80">
        <v>1700</v>
      </c>
      <c r="G48" s="96" t="s">
        <v>1833</v>
      </c>
      <c r="H48" s="80" t="s">
        <v>1834</v>
      </c>
      <c r="I48" s="80" t="s">
        <v>1835</v>
      </c>
      <c r="J48" s="100" t="s">
        <v>1836</v>
      </c>
      <c r="K48" s="80" t="str">
        <f t="shared" si="2"/>
        <v/>
      </c>
      <c r="L48" s="80">
        <f t="shared" si="3"/>
        <v>1</v>
      </c>
      <c r="M48" s="101" t="str">
        <f t="shared" si="4"/>
        <v>25/06/05</v>
      </c>
      <c r="N48" s="102" t="s">
        <v>442</v>
      </c>
      <c r="O48" s="93" t="s">
        <v>1671</v>
      </c>
      <c r="P48" s="93" t="s">
        <v>536</v>
      </c>
      <c r="Q48" s="93" t="s">
        <v>697</v>
      </c>
      <c r="R48" s="93" t="s">
        <v>805</v>
      </c>
      <c r="S48" s="93" t="s">
        <v>840</v>
      </c>
      <c r="T48" s="93" t="s">
        <v>667</v>
      </c>
      <c r="U48" s="80" t="str">
        <f t="shared" si="5"/>
        <v>神奈川</v>
      </c>
      <c r="V48" s="80">
        <f t="shared" si="6"/>
        <v>11</v>
      </c>
      <c r="W48" s="92" t="s">
        <v>3358</v>
      </c>
    </row>
    <row r="49" spans="1:23" ht="13.5" customHeight="1">
      <c r="A49" s="509" t="str">
        <f t="shared" si="0"/>
        <v>0046-250530-多肉 紫紺の矢入り 7種セット B 抜き苗</v>
      </c>
      <c r="B49" s="80">
        <f t="shared" si="1"/>
        <v>46</v>
      </c>
      <c r="C49" s="80" t="s">
        <v>1831</v>
      </c>
      <c r="D49" s="94">
        <v>45807</v>
      </c>
      <c r="E49" s="95" t="s">
        <v>1837</v>
      </c>
      <c r="F49" s="80">
        <v>2400</v>
      </c>
      <c r="G49" s="96" t="s">
        <v>1838</v>
      </c>
      <c r="H49" s="80" t="s">
        <v>1839</v>
      </c>
      <c r="I49" s="80" t="s">
        <v>1840</v>
      </c>
      <c r="J49" s="100" t="s">
        <v>1841</v>
      </c>
      <c r="K49" s="80" t="str">
        <f t="shared" si="2"/>
        <v/>
      </c>
      <c r="L49" s="80">
        <f t="shared" si="3"/>
        <v>1</v>
      </c>
      <c r="M49" s="101" t="str">
        <f t="shared" si="4"/>
        <v>25/06/05</v>
      </c>
      <c r="N49" s="102" t="s">
        <v>1652</v>
      </c>
      <c r="O49" s="93" t="s">
        <v>161</v>
      </c>
      <c r="P49" s="93" t="s">
        <v>256</v>
      </c>
      <c r="Q49" s="93" t="s">
        <v>239</v>
      </c>
      <c r="R49" s="93" t="s">
        <v>805</v>
      </c>
      <c r="S49" s="93" t="s">
        <v>740</v>
      </c>
      <c r="T49" s="93" t="s">
        <v>667</v>
      </c>
      <c r="U49" s="80" t="str">
        <f t="shared" si="5"/>
        <v>埼玉</v>
      </c>
      <c r="V49" s="80">
        <f t="shared" si="6"/>
        <v>2</v>
      </c>
      <c r="W49" s="92" t="s">
        <v>3359</v>
      </c>
    </row>
    <row r="50" spans="1:23">
      <c r="A50" s="509" t="str">
        <f t="shared" si="0"/>
        <v>0045-250530-多肉 紫紺の矢入り 7種セット A 抜き苗</v>
      </c>
      <c r="B50" s="80">
        <f t="shared" si="1"/>
        <v>45</v>
      </c>
      <c r="C50" s="80">
        <v>23</v>
      </c>
      <c r="D50" s="521">
        <v>45807</v>
      </c>
      <c r="E50" s="522" t="s">
        <v>1842</v>
      </c>
      <c r="F50" s="516">
        <v>2400</v>
      </c>
      <c r="G50" s="519" t="s">
        <v>1704</v>
      </c>
      <c r="H50" s="516" t="s">
        <v>1705</v>
      </c>
      <c r="I50" s="516" t="s">
        <v>1706</v>
      </c>
      <c r="J50" s="520" t="s">
        <v>1707</v>
      </c>
      <c r="K50" s="80" t="str">
        <f t="shared" si="2"/>
        <v/>
      </c>
      <c r="L50" s="516">
        <f t="shared" si="3"/>
        <v>6</v>
      </c>
      <c r="M50" s="101" t="str">
        <f t="shared" si="4"/>
        <v>25/06/05</v>
      </c>
      <c r="N50" s="102" t="s">
        <v>1652</v>
      </c>
      <c r="O50" s="93" t="s">
        <v>161</v>
      </c>
      <c r="P50" s="93" t="s">
        <v>462</v>
      </c>
      <c r="Q50" s="93" t="s">
        <v>661</v>
      </c>
      <c r="R50" s="93" t="s">
        <v>239</v>
      </c>
      <c r="S50" s="93" t="s">
        <v>740</v>
      </c>
      <c r="T50" s="93" t="s">
        <v>667</v>
      </c>
      <c r="U50" s="80" t="str">
        <f t="shared" si="5"/>
        <v>神奈川</v>
      </c>
      <c r="V50" s="80">
        <f t="shared" si="6"/>
        <v>11</v>
      </c>
      <c r="W50" s="92" t="s">
        <v>3360</v>
      </c>
    </row>
    <row r="51" spans="1:23">
      <c r="A51" s="509" t="str">
        <f t="shared" si="0"/>
        <v>0044-250509-多肉 ももりん入り 7種セット B 抜き苗</v>
      </c>
      <c r="B51" s="80">
        <f t="shared" si="1"/>
        <v>44</v>
      </c>
      <c r="C51" s="80">
        <v>5</v>
      </c>
      <c r="D51" s="94">
        <v>45786</v>
      </c>
      <c r="E51" s="95" t="s">
        <v>1856</v>
      </c>
      <c r="F51" s="80">
        <v>2200</v>
      </c>
      <c r="G51" s="96" t="s">
        <v>1857</v>
      </c>
      <c r="H51" s="80" t="s">
        <v>1858</v>
      </c>
      <c r="I51" s="80" t="s">
        <v>1859</v>
      </c>
      <c r="J51" s="100" t="s">
        <v>1860</v>
      </c>
      <c r="K51" s="80" t="str">
        <f t="shared" si="2"/>
        <v/>
      </c>
      <c r="L51" s="80">
        <f t="shared" si="3"/>
        <v>1</v>
      </c>
      <c r="M51" s="101" t="str">
        <f t="shared" si="4"/>
        <v>25/05/15</v>
      </c>
      <c r="N51" s="93" t="s">
        <v>1671</v>
      </c>
      <c r="O51" s="93" t="s">
        <v>1657</v>
      </c>
      <c r="P51" s="93" t="s">
        <v>256</v>
      </c>
      <c r="Q51" s="93" t="s">
        <v>654</v>
      </c>
      <c r="R51" s="93" t="s">
        <v>763</v>
      </c>
      <c r="S51" s="93" t="s">
        <v>840</v>
      </c>
      <c r="T51" s="93" t="s">
        <v>667</v>
      </c>
      <c r="U51" s="80" t="str">
        <f t="shared" si="5"/>
        <v>東京</v>
      </c>
      <c r="V51" s="80">
        <f t="shared" si="6"/>
        <v>7</v>
      </c>
      <c r="W51" s="92" t="s">
        <v>1861</v>
      </c>
    </row>
    <row r="52" spans="1:23">
      <c r="A52" s="509" t="str">
        <f t="shared" si="0"/>
        <v>0043-250509-多肉 ももりん入り 7種セット A 抜き苗</v>
      </c>
      <c r="B52" s="80">
        <f t="shared" si="1"/>
        <v>43</v>
      </c>
      <c r="C52" s="80">
        <v>11</v>
      </c>
      <c r="D52" s="94">
        <v>45786</v>
      </c>
      <c r="E52" s="95" t="s">
        <v>1849</v>
      </c>
      <c r="F52" s="80">
        <v>2200</v>
      </c>
      <c r="G52" s="96" t="s">
        <v>1850</v>
      </c>
      <c r="H52" s="80" t="s">
        <v>1851</v>
      </c>
      <c r="I52" s="80" t="s">
        <v>1852</v>
      </c>
      <c r="J52" s="100" t="s">
        <v>1853</v>
      </c>
      <c r="K52" s="80" t="str">
        <f t="shared" si="2"/>
        <v/>
      </c>
      <c r="L52" s="80">
        <f t="shared" si="3"/>
        <v>1</v>
      </c>
      <c r="M52" s="101" t="str">
        <f t="shared" si="4"/>
        <v>25/05/15</v>
      </c>
      <c r="N52" s="102" t="s">
        <v>1671</v>
      </c>
      <c r="O52" s="93" t="s">
        <v>1657</v>
      </c>
      <c r="P52" s="93" t="s">
        <v>165</v>
      </c>
      <c r="Q52" s="93" t="s">
        <v>654</v>
      </c>
      <c r="R52" s="93" t="s">
        <v>730</v>
      </c>
      <c r="S52" s="93" t="s">
        <v>840</v>
      </c>
      <c r="T52" s="93" t="s">
        <v>667</v>
      </c>
      <c r="U52" s="80" t="str">
        <f t="shared" si="5"/>
        <v>愛媛</v>
      </c>
      <c r="V52" s="80">
        <f t="shared" si="6"/>
        <v>2</v>
      </c>
      <c r="W52" s="92" t="s">
        <v>1854</v>
      </c>
    </row>
    <row r="53" spans="1:23">
      <c r="A53" s="509" t="str">
        <f t="shared" si="0"/>
        <v>0042-250509-多肉 ちょこん入り 7種セット 抜き苗</v>
      </c>
      <c r="B53" s="80">
        <f t="shared" si="1"/>
        <v>42</v>
      </c>
      <c r="C53" s="80">
        <v>5</v>
      </c>
      <c r="D53" s="521">
        <v>45786</v>
      </c>
      <c r="E53" s="522" t="s">
        <v>1770</v>
      </c>
      <c r="F53" s="516">
        <v>2200</v>
      </c>
      <c r="G53" s="519" t="s">
        <v>1732</v>
      </c>
      <c r="H53" s="516" t="s">
        <v>1733</v>
      </c>
      <c r="I53" s="516" t="s">
        <v>1734</v>
      </c>
      <c r="J53" s="520" t="s">
        <v>1735</v>
      </c>
      <c r="K53" s="80" t="str">
        <f t="shared" si="2"/>
        <v/>
      </c>
      <c r="L53" s="516">
        <f t="shared" si="3"/>
        <v>7</v>
      </c>
      <c r="M53" s="101" t="str">
        <f t="shared" si="4"/>
        <v>25/05/15</v>
      </c>
      <c r="N53" s="93" t="s">
        <v>1655</v>
      </c>
      <c r="O53" s="93" t="s">
        <v>165</v>
      </c>
      <c r="P53" s="93" t="s">
        <v>645</v>
      </c>
      <c r="Q53" s="93" t="s">
        <v>642</v>
      </c>
      <c r="R53" s="93" t="s">
        <v>805</v>
      </c>
      <c r="S53" s="93" t="s">
        <v>713</v>
      </c>
      <c r="T53" s="93" t="s">
        <v>667</v>
      </c>
      <c r="U53" s="80" t="str">
        <f t="shared" si="5"/>
        <v>香川</v>
      </c>
      <c r="V53" s="80">
        <f t="shared" si="6"/>
        <v>8</v>
      </c>
      <c r="W53" s="92" t="s">
        <v>1855</v>
      </c>
    </row>
    <row r="54" spans="1:23">
      <c r="A54" s="509" t="str">
        <f t="shared" si="0"/>
        <v>0041-250509-多肉 紫紺の矢入り 7種セット 抜き苗</v>
      </c>
      <c r="B54" s="80">
        <f t="shared" si="1"/>
        <v>41</v>
      </c>
      <c r="C54" s="80">
        <v>4</v>
      </c>
      <c r="D54" s="94">
        <v>45786</v>
      </c>
      <c r="E54" s="95" t="s">
        <v>1758</v>
      </c>
      <c r="F54" s="80">
        <v>2200</v>
      </c>
      <c r="G54" s="519" t="s">
        <v>1704</v>
      </c>
      <c r="H54" s="80" t="s">
        <v>1705</v>
      </c>
      <c r="I54" s="80" t="s">
        <v>1706</v>
      </c>
      <c r="J54" s="100" t="s">
        <v>1707</v>
      </c>
      <c r="K54" s="80" t="str">
        <f t="shared" si="2"/>
        <v/>
      </c>
      <c r="L54" s="80">
        <f t="shared" si="3"/>
        <v>6</v>
      </c>
      <c r="M54" s="101" t="str">
        <f t="shared" si="4"/>
        <v>25/05/15</v>
      </c>
      <c r="N54" s="93" t="s">
        <v>1652</v>
      </c>
      <c r="O54" s="93" t="s">
        <v>165</v>
      </c>
      <c r="P54" s="93" t="s">
        <v>645</v>
      </c>
      <c r="Q54" s="93" t="s">
        <v>642</v>
      </c>
      <c r="R54" s="93" t="s">
        <v>805</v>
      </c>
      <c r="S54" s="93" t="s">
        <v>713</v>
      </c>
      <c r="T54" s="93" t="s">
        <v>667</v>
      </c>
      <c r="U54" s="80" t="str">
        <f t="shared" si="5"/>
        <v>神奈川</v>
      </c>
      <c r="V54" s="80">
        <f t="shared" si="6"/>
        <v>11</v>
      </c>
      <c r="W54" s="92" t="s">
        <v>1862</v>
      </c>
    </row>
    <row r="55" spans="1:23">
      <c r="A55" s="509" t="str">
        <f t="shared" si="0"/>
        <v>0040-250509-多肉 はじまりの花入り 7種セット 抜き苗</v>
      </c>
      <c r="B55" s="80">
        <f t="shared" si="1"/>
        <v>40</v>
      </c>
      <c r="C55" s="80">
        <v>3</v>
      </c>
      <c r="D55" s="94">
        <v>45786</v>
      </c>
      <c r="E55" s="95" t="s">
        <v>1749</v>
      </c>
      <c r="F55" s="80">
        <v>2200</v>
      </c>
      <c r="G55" s="96" t="s">
        <v>1863</v>
      </c>
      <c r="H55" s="80" t="s">
        <v>1864</v>
      </c>
      <c r="I55" s="80" t="s">
        <v>1865</v>
      </c>
      <c r="J55" s="100" t="s">
        <v>1866</v>
      </c>
      <c r="K55" s="80" t="str">
        <f t="shared" si="2"/>
        <v/>
      </c>
      <c r="L55" s="80">
        <f t="shared" si="3"/>
        <v>1</v>
      </c>
      <c r="M55" s="101" t="str">
        <f t="shared" si="4"/>
        <v>25/05/15</v>
      </c>
      <c r="N55" s="93" t="s">
        <v>1657</v>
      </c>
      <c r="O55" s="93" t="s">
        <v>1659</v>
      </c>
      <c r="P55" s="93" t="s">
        <v>256</v>
      </c>
      <c r="Q55" s="93" t="s">
        <v>543</v>
      </c>
      <c r="R55" s="93" t="s">
        <v>805</v>
      </c>
      <c r="S55" s="93" t="s">
        <v>228</v>
      </c>
      <c r="T55" s="93" t="s">
        <v>667</v>
      </c>
      <c r="U55" s="80" t="str">
        <f t="shared" si="5"/>
        <v>三重</v>
      </c>
      <c r="V55" s="80">
        <f t="shared" si="6"/>
        <v>3</v>
      </c>
      <c r="W55" s="92" t="s">
        <v>1867</v>
      </c>
    </row>
    <row r="56" spans="1:23">
      <c r="A56" s="509" t="str">
        <f t="shared" si="0"/>
        <v>0039-250307-多肉 紫紺の矢入り 7種セット B 抜き苗</v>
      </c>
      <c r="B56" s="80">
        <f t="shared" si="1"/>
        <v>39</v>
      </c>
      <c r="C56" s="80">
        <v>39</v>
      </c>
      <c r="D56" s="94">
        <v>45723</v>
      </c>
      <c r="E56" s="95" t="s">
        <v>1837</v>
      </c>
      <c r="F56" s="80">
        <v>2200</v>
      </c>
      <c r="G56" s="96" t="s">
        <v>1874</v>
      </c>
      <c r="H56" s="80" t="s">
        <v>1875</v>
      </c>
      <c r="I56" s="80" t="s">
        <v>1876</v>
      </c>
      <c r="J56" s="100" t="s">
        <v>1877</v>
      </c>
      <c r="K56" s="80" t="str">
        <f t="shared" si="2"/>
        <v/>
      </c>
      <c r="L56" s="80">
        <f t="shared" si="3"/>
        <v>1</v>
      </c>
      <c r="M56" s="101" t="str">
        <f t="shared" si="4"/>
        <v>25/03/13</v>
      </c>
      <c r="N56" s="93" t="s">
        <v>1652</v>
      </c>
      <c r="O56" s="93" t="s">
        <v>165</v>
      </c>
      <c r="P56" s="93" t="s">
        <v>716</v>
      </c>
      <c r="Q56" s="93" t="s">
        <v>523</v>
      </c>
      <c r="R56" s="93" t="s">
        <v>536</v>
      </c>
      <c r="S56" s="93" t="s">
        <v>256</v>
      </c>
      <c r="T56" s="93" t="s">
        <v>667</v>
      </c>
      <c r="U56" s="80" t="str">
        <f t="shared" si="5"/>
        <v>愛媛</v>
      </c>
      <c r="V56" s="80">
        <f t="shared" si="6"/>
        <v>2</v>
      </c>
      <c r="W56" s="92" t="s">
        <v>1878</v>
      </c>
    </row>
    <row r="57" spans="1:23">
      <c r="A57" s="509" t="str">
        <f t="shared" si="0"/>
        <v>0038-250307-多肉 紫紺の矢入り 7種セット A 抜き苗</v>
      </c>
      <c r="B57" s="80">
        <f t="shared" si="1"/>
        <v>38</v>
      </c>
      <c r="C57" s="80" t="s">
        <v>1748</v>
      </c>
      <c r="D57" s="523">
        <v>45723</v>
      </c>
      <c r="E57" s="524" t="s">
        <v>1842</v>
      </c>
      <c r="F57" s="515">
        <v>2200</v>
      </c>
      <c r="G57" s="525" t="s">
        <v>1869</v>
      </c>
      <c r="H57" s="515" t="s">
        <v>1870</v>
      </c>
      <c r="I57" s="515" t="s">
        <v>1871</v>
      </c>
      <c r="J57" s="526" t="s">
        <v>1872</v>
      </c>
      <c r="K57" s="80" t="str">
        <f t="shared" si="2"/>
        <v>〇</v>
      </c>
      <c r="L57" s="515">
        <f t="shared" si="3"/>
        <v>2</v>
      </c>
      <c r="M57" s="101" t="str">
        <f t="shared" si="4"/>
        <v>25/03/13</v>
      </c>
      <c r="N57" s="93" t="s">
        <v>1652</v>
      </c>
      <c r="O57" s="93" t="s">
        <v>165</v>
      </c>
      <c r="P57" s="93" t="s">
        <v>387</v>
      </c>
      <c r="Q57" s="93" t="s">
        <v>640</v>
      </c>
      <c r="R57" s="93" t="s">
        <v>805</v>
      </c>
      <c r="S57" s="93" t="s">
        <v>480</v>
      </c>
      <c r="T57" s="93" t="s">
        <v>667</v>
      </c>
      <c r="U57" s="80" t="str">
        <f t="shared" si="5"/>
        <v>山形</v>
      </c>
      <c r="V57" s="80">
        <f t="shared" si="6"/>
        <v>2</v>
      </c>
      <c r="W57" s="92" t="s">
        <v>1873</v>
      </c>
    </row>
    <row r="58" spans="1:23">
      <c r="A58" s="509" t="str">
        <f t="shared" si="0"/>
        <v>0037-250307-多肉 ももりん入り 7種セット 抜き苗</v>
      </c>
      <c r="B58" s="80">
        <f t="shared" si="1"/>
        <v>37</v>
      </c>
      <c r="C58" s="80" t="s">
        <v>1748</v>
      </c>
      <c r="D58" s="523">
        <v>45723</v>
      </c>
      <c r="E58" s="524" t="s">
        <v>1868</v>
      </c>
      <c r="F58" s="515">
        <v>2200</v>
      </c>
      <c r="G58" s="525" t="s">
        <v>1869</v>
      </c>
      <c r="H58" s="515" t="s">
        <v>1870</v>
      </c>
      <c r="I58" s="515" t="s">
        <v>1871</v>
      </c>
      <c r="J58" s="526" t="s">
        <v>1872</v>
      </c>
      <c r="K58" s="80" t="str">
        <f t="shared" si="2"/>
        <v>〇</v>
      </c>
      <c r="L58" s="515">
        <f t="shared" si="3"/>
        <v>2</v>
      </c>
      <c r="M58" s="101" t="str">
        <f t="shared" si="4"/>
        <v>25/03/13</v>
      </c>
      <c r="N58" s="93" t="s">
        <v>1671</v>
      </c>
      <c r="O58" s="93" t="s">
        <v>1657</v>
      </c>
      <c r="P58" s="93" t="s">
        <v>716</v>
      </c>
      <c r="Q58" s="93" t="s">
        <v>387</v>
      </c>
      <c r="R58" s="93" t="s">
        <v>805</v>
      </c>
      <c r="S58" s="93" t="s">
        <v>256</v>
      </c>
      <c r="T58" s="93" t="s">
        <v>667</v>
      </c>
      <c r="U58" s="80" t="str">
        <f t="shared" si="5"/>
        <v>山形</v>
      </c>
      <c r="V58" s="80">
        <f t="shared" si="6"/>
        <v>2</v>
      </c>
      <c r="W58" s="92" t="s">
        <v>1873</v>
      </c>
    </row>
    <row r="59" spans="1:23">
      <c r="A59" s="509" t="str">
        <f t="shared" si="0"/>
        <v>0036-250307-多肉 ちょこん入り 7種セット B 抜き苗</v>
      </c>
      <c r="B59" s="80">
        <f t="shared" si="1"/>
        <v>36</v>
      </c>
      <c r="C59" s="80">
        <v>32</v>
      </c>
      <c r="D59" s="521">
        <v>45723</v>
      </c>
      <c r="E59" s="522" t="s">
        <v>1751</v>
      </c>
      <c r="F59" s="516">
        <v>2400</v>
      </c>
      <c r="G59" s="519" t="s">
        <v>1732</v>
      </c>
      <c r="H59" s="516" t="s">
        <v>1733</v>
      </c>
      <c r="I59" s="516" t="s">
        <v>1734</v>
      </c>
      <c r="J59" s="520" t="s">
        <v>1735</v>
      </c>
      <c r="K59" s="80" t="str">
        <f t="shared" si="2"/>
        <v/>
      </c>
      <c r="L59" s="516">
        <f t="shared" si="3"/>
        <v>7</v>
      </c>
      <c r="M59" s="101" t="str">
        <f t="shared" si="4"/>
        <v>25/03/14</v>
      </c>
      <c r="N59" s="93" t="s">
        <v>1655</v>
      </c>
      <c r="O59" s="93" t="s">
        <v>165</v>
      </c>
      <c r="P59" s="93" t="s">
        <v>716</v>
      </c>
      <c r="Q59" s="93" t="s">
        <v>523</v>
      </c>
      <c r="R59" s="93" t="s">
        <v>536</v>
      </c>
      <c r="S59" s="93" t="s">
        <v>256</v>
      </c>
      <c r="T59" s="93" t="s">
        <v>667</v>
      </c>
      <c r="U59" s="80" t="str">
        <f t="shared" si="5"/>
        <v>香川</v>
      </c>
      <c r="V59" s="80">
        <f t="shared" si="6"/>
        <v>8</v>
      </c>
      <c r="W59" s="92" t="s">
        <v>1879</v>
      </c>
    </row>
    <row r="60" spans="1:23">
      <c r="A60" s="509" t="str">
        <f t="shared" si="0"/>
        <v>0035-250307-多肉 ちょこん入り 7種セット A 抜き苗</v>
      </c>
      <c r="B60" s="80">
        <f t="shared" si="1"/>
        <v>35</v>
      </c>
      <c r="C60" s="80">
        <v>25</v>
      </c>
      <c r="D60" s="94">
        <v>45723</v>
      </c>
      <c r="E60" s="95" t="s">
        <v>1746</v>
      </c>
      <c r="F60" s="80">
        <v>2400</v>
      </c>
      <c r="G60" s="96" t="s">
        <v>1880</v>
      </c>
      <c r="H60" s="80" t="s">
        <v>1881</v>
      </c>
      <c r="I60" s="80" t="s">
        <v>1882</v>
      </c>
      <c r="J60" s="100" t="s">
        <v>1883</v>
      </c>
      <c r="K60" s="80" t="str">
        <f t="shared" si="2"/>
        <v/>
      </c>
      <c r="L60" s="80">
        <f t="shared" si="3"/>
        <v>1</v>
      </c>
      <c r="M60" s="101" t="str">
        <f t="shared" si="4"/>
        <v>25/03/13</v>
      </c>
      <c r="N60" s="93" t="s">
        <v>1655</v>
      </c>
      <c r="O60" s="93" t="s">
        <v>165</v>
      </c>
      <c r="P60" s="93" t="s">
        <v>387</v>
      </c>
      <c r="Q60" s="93" t="s">
        <v>640</v>
      </c>
      <c r="R60" s="93" t="s">
        <v>805</v>
      </c>
      <c r="S60" s="93" t="s">
        <v>480</v>
      </c>
      <c r="T60" s="93" t="s">
        <v>667</v>
      </c>
      <c r="U60" s="80" t="str">
        <f t="shared" si="5"/>
        <v>徳島</v>
      </c>
      <c r="V60" s="80">
        <f t="shared" si="6"/>
        <v>2</v>
      </c>
      <c r="W60" s="92" t="s">
        <v>1884</v>
      </c>
    </row>
    <row r="61" spans="1:23">
      <c r="A61" s="509" t="str">
        <f t="shared" si="0"/>
        <v>0034-250228-多肉 紫紺の矢入り 7種セット B 抜き苗</v>
      </c>
      <c r="B61" s="80">
        <f t="shared" si="1"/>
        <v>34</v>
      </c>
      <c r="C61" s="80" t="s">
        <v>1885</v>
      </c>
      <c r="D61" s="94">
        <v>45716</v>
      </c>
      <c r="E61" s="95" t="s">
        <v>1837</v>
      </c>
      <c r="F61" s="80">
        <v>2200</v>
      </c>
      <c r="G61" s="96" t="s">
        <v>1886</v>
      </c>
      <c r="H61" s="80" t="s">
        <v>1887</v>
      </c>
      <c r="I61" s="80" t="s">
        <v>1888</v>
      </c>
      <c r="J61" s="100" t="s">
        <v>1889</v>
      </c>
      <c r="K61" s="80" t="str">
        <f t="shared" si="2"/>
        <v/>
      </c>
      <c r="L61" s="80">
        <f t="shared" si="3"/>
        <v>1</v>
      </c>
      <c r="M61" s="101" t="str">
        <f t="shared" si="4"/>
        <v>25/03/07</v>
      </c>
      <c r="N61" s="93" t="s">
        <v>1652</v>
      </c>
      <c r="O61" s="93" t="s">
        <v>661</v>
      </c>
      <c r="P61" s="93" t="s">
        <v>248</v>
      </c>
      <c r="Q61" s="93" t="s">
        <v>716</v>
      </c>
      <c r="R61" s="93" t="s">
        <v>537</v>
      </c>
      <c r="S61" s="93" t="s">
        <v>278</v>
      </c>
      <c r="T61" s="93" t="s">
        <v>591</v>
      </c>
      <c r="U61" s="80" t="str">
        <f t="shared" si="5"/>
        <v>東京</v>
      </c>
      <c r="V61" s="80">
        <f t="shared" si="6"/>
        <v>7</v>
      </c>
      <c r="W61" s="92" t="s">
        <v>1890</v>
      </c>
    </row>
    <row r="62" spans="1:23">
      <c r="A62" s="509" t="str">
        <f t="shared" si="0"/>
        <v>0033-250228-多肉 紫紺の矢入り 7種セット A 抜き苗</v>
      </c>
      <c r="B62" s="80">
        <f t="shared" si="1"/>
        <v>33</v>
      </c>
      <c r="C62" s="80" t="s">
        <v>1748</v>
      </c>
      <c r="D62" s="94">
        <v>45716</v>
      </c>
      <c r="E62" s="95" t="s">
        <v>1842</v>
      </c>
      <c r="F62" s="80">
        <v>2200</v>
      </c>
      <c r="G62" s="96" t="s">
        <v>1891</v>
      </c>
      <c r="H62" s="80" t="s">
        <v>1892</v>
      </c>
      <c r="I62" s="80" t="s">
        <v>1893</v>
      </c>
      <c r="J62" s="100" t="s">
        <v>1894</v>
      </c>
      <c r="K62" s="80" t="str">
        <f t="shared" si="2"/>
        <v/>
      </c>
      <c r="L62" s="80">
        <f t="shared" si="3"/>
        <v>1</v>
      </c>
      <c r="M62" s="101" t="str">
        <f t="shared" si="4"/>
        <v>25/03/06</v>
      </c>
      <c r="N62" s="93" t="s">
        <v>1652</v>
      </c>
      <c r="O62" s="93" t="s">
        <v>713</v>
      </c>
      <c r="P62" s="93" t="s">
        <v>256</v>
      </c>
      <c r="Q62" s="93" t="s">
        <v>591</v>
      </c>
      <c r="R62" s="93" t="s">
        <v>805</v>
      </c>
      <c r="S62" s="93" t="s">
        <v>480</v>
      </c>
      <c r="T62" s="93" t="s">
        <v>874</v>
      </c>
      <c r="U62" s="80" t="str">
        <f t="shared" si="5"/>
        <v>石川</v>
      </c>
      <c r="V62" s="80">
        <f t="shared" si="6"/>
        <v>3</v>
      </c>
      <c r="W62" s="92" t="s">
        <v>3361</v>
      </c>
    </row>
    <row r="63" spans="1:23">
      <c r="A63" s="509" t="str">
        <f t="shared" si="0"/>
        <v>0032-250228-多肉 ちょこん入り 7種セット B 抜き苗</v>
      </c>
      <c r="B63" s="80">
        <f t="shared" si="1"/>
        <v>32</v>
      </c>
      <c r="C63" s="80" t="s">
        <v>1748</v>
      </c>
      <c r="D63" s="94">
        <v>45716</v>
      </c>
      <c r="E63" s="95" t="s">
        <v>1751</v>
      </c>
      <c r="F63" s="80">
        <v>2400</v>
      </c>
      <c r="G63" s="96" t="s">
        <v>1895</v>
      </c>
      <c r="H63" s="80" t="s">
        <v>1896</v>
      </c>
      <c r="I63" s="80" t="s">
        <v>1897</v>
      </c>
      <c r="J63" s="100" t="s">
        <v>1898</v>
      </c>
      <c r="K63" s="80" t="str">
        <f t="shared" si="2"/>
        <v/>
      </c>
      <c r="L63" s="80">
        <f t="shared" si="3"/>
        <v>1</v>
      </c>
      <c r="M63" s="101" t="str">
        <f t="shared" si="4"/>
        <v>25/03/06</v>
      </c>
      <c r="N63" s="93" t="s">
        <v>1655</v>
      </c>
      <c r="O63" s="93" t="s">
        <v>661</v>
      </c>
      <c r="P63" s="93" t="s">
        <v>248</v>
      </c>
      <c r="Q63" s="93" t="s">
        <v>716</v>
      </c>
      <c r="R63" s="93" t="s">
        <v>537</v>
      </c>
      <c r="S63" s="93" t="s">
        <v>278</v>
      </c>
      <c r="T63" s="93" t="s">
        <v>591</v>
      </c>
      <c r="U63" s="80" t="str">
        <f t="shared" si="5"/>
        <v>栃木</v>
      </c>
      <c r="V63" s="80">
        <f t="shared" si="6"/>
        <v>1</v>
      </c>
      <c r="W63" s="92" t="s">
        <v>1899</v>
      </c>
    </row>
    <row r="64" spans="1:23">
      <c r="A64" s="509" t="str">
        <f t="shared" si="0"/>
        <v>0031-250228-多肉 ちょこん入り 7種セット A 抜き苗</v>
      </c>
      <c r="B64" s="80">
        <f t="shared" si="1"/>
        <v>31</v>
      </c>
      <c r="C64" s="80">
        <v>58</v>
      </c>
      <c r="D64" s="94">
        <v>45716</v>
      </c>
      <c r="E64" s="95" t="s">
        <v>1746</v>
      </c>
      <c r="F64" s="80">
        <v>2400</v>
      </c>
      <c r="G64" s="96" t="s">
        <v>1900</v>
      </c>
      <c r="H64" s="80" t="s">
        <v>1901</v>
      </c>
      <c r="I64" s="80" t="s">
        <v>1902</v>
      </c>
      <c r="J64" s="100" t="s">
        <v>1903</v>
      </c>
      <c r="K64" s="80" t="str">
        <f t="shared" si="2"/>
        <v/>
      </c>
      <c r="L64" s="80">
        <f t="shared" si="3"/>
        <v>1</v>
      </c>
      <c r="M64" s="101" t="str">
        <f t="shared" si="4"/>
        <v>25/03/06</v>
      </c>
      <c r="N64" s="93" t="s">
        <v>1655</v>
      </c>
      <c r="O64" s="93" t="s">
        <v>713</v>
      </c>
      <c r="P64" s="93" t="s">
        <v>256</v>
      </c>
      <c r="Q64" s="93" t="s">
        <v>591</v>
      </c>
      <c r="R64" s="93" t="s">
        <v>805</v>
      </c>
      <c r="S64" s="93" t="s">
        <v>480</v>
      </c>
      <c r="T64" s="93" t="s">
        <v>874</v>
      </c>
      <c r="U64" s="80" t="str">
        <f t="shared" si="5"/>
        <v>京都</v>
      </c>
      <c r="V64" s="80">
        <f t="shared" si="6"/>
        <v>5</v>
      </c>
      <c r="W64" s="92" t="s">
        <v>1904</v>
      </c>
    </row>
    <row r="65" spans="1:23">
      <c r="A65" s="509" t="str">
        <f t="shared" si="0"/>
        <v>0030-250228-多肉 ももりん入り 7種セット 抜き苗</v>
      </c>
      <c r="B65" s="80">
        <f t="shared" si="1"/>
        <v>30</v>
      </c>
      <c r="C65" s="80">
        <v>11</v>
      </c>
      <c r="D65" s="94">
        <v>45716</v>
      </c>
      <c r="E65" s="95" t="s">
        <v>1868</v>
      </c>
      <c r="F65" s="80">
        <v>2200</v>
      </c>
      <c r="G65" s="96" t="s">
        <v>1905</v>
      </c>
      <c r="H65" s="80" t="s">
        <v>1906</v>
      </c>
      <c r="I65" s="80" t="s">
        <v>1907</v>
      </c>
      <c r="J65" s="100" t="s">
        <v>1908</v>
      </c>
      <c r="K65" s="80" t="str">
        <f t="shared" si="2"/>
        <v/>
      </c>
      <c r="L65" s="80">
        <f t="shared" si="3"/>
        <v>1</v>
      </c>
      <c r="M65" s="101" t="str">
        <f t="shared" si="4"/>
        <v>25/03/05</v>
      </c>
      <c r="N65" s="93" t="s">
        <v>1671</v>
      </c>
      <c r="O65" s="93" t="s">
        <v>1657</v>
      </c>
      <c r="P65" s="93" t="s">
        <v>537</v>
      </c>
      <c r="Q65" s="93" t="s">
        <v>661</v>
      </c>
      <c r="R65" s="93" t="s">
        <v>805</v>
      </c>
      <c r="S65" s="93" t="s">
        <v>256</v>
      </c>
      <c r="T65" s="93" t="s">
        <v>480</v>
      </c>
      <c r="U65" s="80" t="str">
        <f t="shared" si="5"/>
        <v>青森</v>
      </c>
      <c r="V65" s="80">
        <f t="shared" si="6"/>
        <v>1</v>
      </c>
      <c r="W65" s="92" t="s">
        <v>1909</v>
      </c>
    </row>
    <row r="66" spans="1:23">
      <c r="A66" s="509" t="str">
        <f t="shared" si="0"/>
        <v>0029-241222-多肉 クリスペートビューティー入り 7種セット 抜き苗</v>
      </c>
      <c r="B66" s="80">
        <f t="shared" si="1"/>
        <v>29</v>
      </c>
      <c r="C66" s="80" t="s">
        <v>1910</v>
      </c>
      <c r="D66" s="94">
        <v>45648</v>
      </c>
      <c r="E66" s="95" t="s">
        <v>1911</v>
      </c>
      <c r="F66" s="80">
        <v>1400</v>
      </c>
      <c r="G66" s="96" t="s">
        <v>1912</v>
      </c>
      <c r="H66" s="80" t="s">
        <v>1913</v>
      </c>
      <c r="I66" s="80" t="s">
        <v>1914</v>
      </c>
      <c r="J66" s="100" t="s">
        <v>1915</v>
      </c>
      <c r="K66" s="80" t="str">
        <f t="shared" si="2"/>
        <v/>
      </c>
      <c r="L66" s="80">
        <f t="shared" si="3"/>
        <v>1</v>
      </c>
      <c r="M66" s="101" t="str">
        <f t="shared" si="4"/>
        <v>24/12/26</v>
      </c>
      <c r="N66" s="93" t="s">
        <v>1646</v>
      </c>
      <c r="O66" s="93" t="s">
        <v>239</v>
      </c>
      <c r="P66" s="93" t="s">
        <v>697</v>
      </c>
      <c r="Q66" s="93" t="s">
        <v>625</v>
      </c>
      <c r="R66" s="93" t="s">
        <v>257</v>
      </c>
      <c r="S66" s="93" t="s">
        <v>716</v>
      </c>
      <c r="T66" s="93" t="s">
        <v>259</v>
      </c>
      <c r="U66" s="80" t="str">
        <f t="shared" si="5"/>
        <v>東京</v>
      </c>
      <c r="V66" s="80">
        <f t="shared" si="6"/>
        <v>7</v>
      </c>
      <c r="W66" s="92" t="s">
        <v>1916</v>
      </c>
    </row>
    <row r="67" spans="1:23">
      <c r="A67" s="509" t="str">
        <f t="shared" si="0"/>
        <v>0028-241221-多肉 ももりん入り 7種セット 抜き苗</v>
      </c>
      <c r="B67" s="80">
        <f t="shared" si="1"/>
        <v>28</v>
      </c>
      <c r="C67" s="80">
        <v>19</v>
      </c>
      <c r="D67" s="94">
        <v>45647</v>
      </c>
      <c r="E67" s="95" t="s">
        <v>1868</v>
      </c>
      <c r="F67" s="80">
        <v>1500</v>
      </c>
      <c r="G67" s="96" t="s">
        <v>1918</v>
      </c>
      <c r="H67" s="80" t="s">
        <v>1919</v>
      </c>
      <c r="I67" s="80" t="s">
        <v>1920</v>
      </c>
      <c r="J67" s="100" t="s">
        <v>1921</v>
      </c>
      <c r="K67" s="80" t="str">
        <f t="shared" si="2"/>
        <v/>
      </c>
      <c r="L67" s="80">
        <f t="shared" si="3"/>
        <v>1</v>
      </c>
      <c r="M67" s="101" t="str">
        <f t="shared" si="4"/>
        <v>24/12/27</v>
      </c>
      <c r="N67" s="93" t="s">
        <v>1671</v>
      </c>
      <c r="O67" s="93" t="s">
        <v>697</v>
      </c>
      <c r="P67" s="93" t="s">
        <v>574</v>
      </c>
      <c r="Q67" s="93" t="s">
        <v>387</v>
      </c>
      <c r="R67" s="93" t="s">
        <v>503</v>
      </c>
      <c r="S67" s="93" t="s">
        <v>716</v>
      </c>
      <c r="T67" s="93" t="s">
        <v>667</v>
      </c>
      <c r="U67" s="80" t="str">
        <f t="shared" si="5"/>
        <v>岡山</v>
      </c>
      <c r="V67" s="80">
        <f t="shared" si="6"/>
        <v>1</v>
      </c>
      <c r="W67" s="92" t="s">
        <v>1922</v>
      </c>
    </row>
    <row r="68" spans="1:23">
      <c r="A68" s="509" t="str">
        <f t="shared" si="0"/>
        <v>0027-241221-多肉 紫紺の矢入り 7種セット B 抜き苗</v>
      </c>
      <c r="B68" s="80">
        <f t="shared" si="1"/>
        <v>27</v>
      </c>
      <c r="C68" s="80">
        <v>36</v>
      </c>
      <c r="D68" s="521">
        <v>45647</v>
      </c>
      <c r="E68" s="522" t="s">
        <v>1837</v>
      </c>
      <c r="F68" s="516">
        <v>2400</v>
      </c>
      <c r="G68" s="519" t="s">
        <v>1732</v>
      </c>
      <c r="H68" s="516" t="s">
        <v>1733</v>
      </c>
      <c r="I68" s="516" t="s">
        <v>1734</v>
      </c>
      <c r="J68" s="520" t="s">
        <v>1735</v>
      </c>
      <c r="K68" s="80" t="str">
        <f t="shared" si="2"/>
        <v/>
      </c>
      <c r="L68" s="516">
        <f t="shared" si="3"/>
        <v>7</v>
      </c>
      <c r="M68" s="101" t="str">
        <f t="shared" si="4"/>
        <v>24/12/26</v>
      </c>
      <c r="N68" s="93" t="s">
        <v>1652</v>
      </c>
      <c r="O68" s="93" t="s">
        <v>161</v>
      </c>
      <c r="P68" s="93" t="s">
        <v>716</v>
      </c>
      <c r="Q68" s="93" t="s">
        <v>654</v>
      </c>
      <c r="R68" s="93" t="s">
        <v>805</v>
      </c>
      <c r="S68" s="93" t="s">
        <v>307</v>
      </c>
      <c r="T68" s="93" t="s">
        <v>667</v>
      </c>
      <c r="U68" s="80" t="str">
        <f t="shared" si="5"/>
        <v>香川</v>
      </c>
      <c r="V68" s="80">
        <f t="shared" si="6"/>
        <v>8</v>
      </c>
      <c r="W68" s="92" t="s">
        <v>1917</v>
      </c>
    </row>
    <row r="69" spans="1:23">
      <c r="A69" s="510" t="str">
        <f t="shared" si="0"/>
        <v>0026-241221-多肉 紫紺の矢入り 7種セット A 抜き苗</v>
      </c>
      <c r="B69" s="80">
        <f t="shared" si="1"/>
        <v>26</v>
      </c>
      <c r="C69" s="80">
        <v>2</v>
      </c>
      <c r="D69" s="94">
        <v>45647</v>
      </c>
      <c r="E69" s="95" t="s">
        <v>1842</v>
      </c>
      <c r="F69" s="80">
        <v>2200</v>
      </c>
      <c r="G69" s="96" t="s">
        <v>1923</v>
      </c>
      <c r="H69" s="80" t="s">
        <v>1924</v>
      </c>
      <c r="I69" s="80" t="s">
        <v>1925</v>
      </c>
      <c r="J69" s="100" t="s">
        <v>1926</v>
      </c>
      <c r="K69" s="80" t="str">
        <f t="shared" si="2"/>
        <v>〇</v>
      </c>
      <c r="L69" s="80">
        <f t="shared" si="3"/>
        <v>2</v>
      </c>
      <c r="M69" s="101" t="str">
        <f t="shared" si="4"/>
        <v>24/12/24</v>
      </c>
      <c r="N69" s="93" t="s">
        <v>1652</v>
      </c>
      <c r="O69" s="93" t="s">
        <v>311</v>
      </c>
      <c r="P69" s="93" t="s">
        <v>239</v>
      </c>
      <c r="Q69" s="93" t="s">
        <v>654</v>
      </c>
      <c r="R69" s="93" t="s">
        <v>716</v>
      </c>
      <c r="S69" s="93" t="s">
        <v>307</v>
      </c>
      <c r="T69" s="93" t="s">
        <v>667</v>
      </c>
      <c r="U69" s="80" t="str">
        <f t="shared" si="5"/>
        <v>石川</v>
      </c>
      <c r="V69" s="80">
        <f t="shared" si="6"/>
        <v>3</v>
      </c>
      <c r="W69" s="92" t="s">
        <v>1927</v>
      </c>
    </row>
    <row r="70" spans="1:23">
      <c r="A70" s="510" t="str">
        <f t="shared" ref="A70:A94" si="7">TEXT(B70,"0000")&amp;"-"&amp;TEXT(D70,"yymmdd")&amp;"-"&amp;E70</f>
        <v>0025-241221-多肉 はじまりの花入り 7種セット 抜き苗</v>
      </c>
      <c r="B70" s="80">
        <f t="shared" ref="B70:B93" si="8">B71+1</f>
        <v>25</v>
      </c>
      <c r="C70" s="80">
        <v>2</v>
      </c>
      <c r="D70" s="94">
        <v>45647</v>
      </c>
      <c r="E70" s="95" t="s">
        <v>1749</v>
      </c>
      <c r="F70" s="80">
        <v>1500</v>
      </c>
      <c r="G70" s="96" t="s">
        <v>1923</v>
      </c>
      <c r="H70" s="80" t="s">
        <v>1924</v>
      </c>
      <c r="I70" s="80" t="s">
        <v>1925</v>
      </c>
      <c r="J70" s="100" t="s">
        <v>1926</v>
      </c>
      <c r="K70" s="80" t="str">
        <f t="shared" ref="K70:K94" si="9">IF(OR(H70=H69,H70=H71),"〇","")</f>
        <v>〇</v>
      </c>
      <c r="L70" s="80">
        <f t="shared" ref="L70:L94" si="10">COUNTIF(H:H,H70)</f>
        <v>2</v>
      </c>
      <c r="M70" s="101" t="str">
        <f t="shared" ref="M70:M94" si="11">SUBSTITUTE(RIGHT(W70,14),RIGHT(W70,6),"")</f>
        <v>24/12/24</v>
      </c>
      <c r="N70" s="93" t="s">
        <v>1657</v>
      </c>
      <c r="O70" s="93" t="s">
        <v>697</v>
      </c>
      <c r="P70" s="93" t="s">
        <v>387</v>
      </c>
      <c r="Q70" s="93" t="s">
        <v>503</v>
      </c>
      <c r="R70" s="93" t="s">
        <v>716</v>
      </c>
      <c r="S70" s="93" t="s">
        <v>735</v>
      </c>
      <c r="T70" s="93" t="s">
        <v>667</v>
      </c>
      <c r="U70" s="80" t="str">
        <f t="shared" ref="U70:U93" si="12">IF(MID(J70,4,1)="県",LEFT(J70,3),LEFT(J70,2))</f>
        <v>石川</v>
      </c>
      <c r="V70" s="80">
        <f t="shared" ref="V70:V93" si="13">IF(U70&lt;&gt;"",COUNTIF(U:U,U70),"")</f>
        <v>3</v>
      </c>
      <c r="W70" s="92" t="s">
        <v>1927</v>
      </c>
    </row>
    <row r="71" spans="1:23">
      <c r="A71" s="509" t="str">
        <f t="shared" si="7"/>
        <v>0024-241130-多肉 クリスペートビューティー入り 7種セット B 抜き苗</v>
      </c>
      <c r="B71" s="80">
        <f t="shared" si="8"/>
        <v>24</v>
      </c>
      <c r="C71" s="80" t="s">
        <v>1948</v>
      </c>
      <c r="D71" s="94">
        <v>45626</v>
      </c>
      <c r="E71" s="95" t="s">
        <v>1949</v>
      </c>
      <c r="F71" s="80">
        <v>1600</v>
      </c>
      <c r="G71" s="96" t="s">
        <v>1950</v>
      </c>
      <c r="H71" s="80" t="s">
        <v>1951</v>
      </c>
      <c r="I71" s="80" t="s">
        <v>1952</v>
      </c>
      <c r="J71" s="100" t="s">
        <v>1953</v>
      </c>
      <c r="K71" s="80" t="str">
        <f t="shared" si="9"/>
        <v/>
      </c>
      <c r="L71" s="80">
        <f t="shared" si="10"/>
        <v>1</v>
      </c>
      <c r="M71" s="101" t="str">
        <f t="shared" si="11"/>
        <v>24/12/05</v>
      </c>
      <c r="N71" s="93" t="s">
        <v>1646</v>
      </c>
      <c r="O71" s="93" t="s">
        <v>642</v>
      </c>
      <c r="P71" s="93" t="s">
        <v>256</v>
      </c>
      <c r="Q71" s="93" t="s">
        <v>387</v>
      </c>
      <c r="R71" s="93" t="s">
        <v>311</v>
      </c>
      <c r="S71" s="93" t="s">
        <v>880</v>
      </c>
      <c r="T71" s="93" t="s">
        <v>870</v>
      </c>
      <c r="U71" s="80" t="str">
        <f t="shared" si="12"/>
        <v>茨城</v>
      </c>
      <c r="V71" s="80">
        <f t="shared" si="13"/>
        <v>2</v>
      </c>
      <c r="W71" s="92" t="s">
        <v>1954</v>
      </c>
    </row>
    <row r="72" spans="1:23">
      <c r="A72" s="509" t="str">
        <f t="shared" si="7"/>
        <v>0023-241201-多肉 クリスペートビューティー入り 7種セット A 抜き苗</v>
      </c>
      <c r="B72" s="80">
        <f t="shared" si="8"/>
        <v>23</v>
      </c>
      <c r="C72" s="80">
        <v>27</v>
      </c>
      <c r="D72" s="94">
        <v>45627</v>
      </c>
      <c r="E72" s="95" t="s">
        <v>1928</v>
      </c>
      <c r="F72" s="80">
        <v>1600</v>
      </c>
      <c r="G72" s="96" t="s">
        <v>1929</v>
      </c>
      <c r="H72" s="80" t="s">
        <v>1930</v>
      </c>
      <c r="I72" s="80" t="s">
        <v>1931</v>
      </c>
      <c r="J72" s="100" t="s">
        <v>1932</v>
      </c>
      <c r="K72" s="80" t="str">
        <f t="shared" si="9"/>
        <v/>
      </c>
      <c r="L72" s="80">
        <f t="shared" si="10"/>
        <v>1</v>
      </c>
      <c r="M72" s="101" t="str">
        <f t="shared" si="11"/>
        <v>24/12/06</v>
      </c>
      <c r="N72" s="93" t="s">
        <v>1646</v>
      </c>
      <c r="O72" s="93" t="s">
        <v>642</v>
      </c>
      <c r="P72" s="93" t="s">
        <v>661</v>
      </c>
      <c r="Q72" s="93" t="s">
        <v>654</v>
      </c>
      <c r="R72" s="93" t="s">
        <v>877</v>
      </c>
      <c r="S72" s="93" t="s">
        <v>840</v>
      </c>
      <c r="T72" s="93" t="s">
        <v>870</v>
      </c>
      <c r="U72" s="80" t="str">
        <f t="shared" si="12"/>
        <v>岐阜</v>
      </c>
      <c r="V72" s="80">
        <f t="shared" si="13"/>
        <v>1</v>
      </c>
      <c r="W72" s="92" t="s">
        <v>1933</v>
      </c>
    </row>
    <row r="73" spans="1:23">
      <c r="A73" s="509" t="str">
        <f t="shared" si="7"/>
        <v>0022-241130-多肉 はじまりの花入り 7種セット B 抜き苗</v>
      </c>
      <c r="B73" s="80">
        <f t="shared" si="8"/>
        <v>22</v>
      </c>
      <c r="C73" s="80" t="s">
        <v>1748</v>
      </c>
      <c r="D73" s="94">
        <v>45626</v>
      </c>
      <c r="E73" s="95" t="s">
        <v>1942</v>
      </c>
      <c r="F73" s="80">
        <v>1700</v>
      </c>
      <c r="G73" s="96" t="s">
        <v>1943</v>
      </c>
      <c r="H73" s="80" t="s">
        <v>1944</v>
      </c>
      <c r="I73" s="80" t="s">
        <v>1945</v>
      </c>
      <c r="J73" s="100" t="s">
        <v>1946</v>
      </c>
      <c r="K73" s="80" t="str">
        <f t="shared" si="9"/>
        <v/>
      </c>
      <c r="L73" s="80">
        <f t="shared" si="10"/>
        <v>1</v>
      </c>
      <c r="M73" s="101" t="str">
        <f t="shared" si="11"/>
        <v>24/12/06</v>
      </c>
      <c r="N73" s="93" t="s">
        <v>1657</v>
      </c>
      <c r="O73" s="93" t="s">
        <v>1659</v>
      </c>
      <c r="P73" s="93" t="s">
        <v>239</v>
      </c>
      <c r="Q73" s="93" t="s">
        <v>257</v>
      </c>
      <c r="R73" s="93" t="s">
        <v>740</v>
      </c>
      <c r="S73" s="93" t="s">
        <v>275</v>
      </c>
      <c r="T73" s="93" t="s">
        <v>463</v>
      </c>
      <c r="U73" s="80" t="str">
        <f t="shared" si="12"/>
        <v>福岡</v>
      </c>
      <c r="V73" s="80">
        <f t="shared" si="13"/>
        <v>4</v>
      </c>
      <c r="W73" s="92" t="s">
        <v>1947</v>
      </c>
    </row>
    <row r="74" spans="1:23">
      <c r="A74" s="509" t="str">
        <f t="shared" si="7"/>
        <v>0021-241130-多肉 はじまりの花入り 7種セット A 抜き苗</v>
      </c>
      <c r="B74" s="80">
        <f t="shared" si="8"/>
        <v>21</v>
      </c>
      <c r="C74" s="80">
        <v>2</v>
      </c>
      <c r="D74" s="523">
        <v>45626</v>
      </c>
      <c r="E74" s="524" t="s">
        <v>1939</v>
      </c>
      <c r="F74" s="515">
        <v>1700</v>
      </c>
      <c r="G74" s="525" t="s">
        <v>1934</v>
      </c>
      <c r="H74" s="515" t="s">
        <v>1935</v>
      </c>
      <c r="I74" s="515" t="s">
        <v>1936</v>
      </c>
      <c r="J74" s="526" t="s">
        <v>1937</v>
      </c>
      <c r="K74" s="80" t="str">
        <f t="shared" si="9"/>
        <v>〇</v>
      </c>
      <c r="L74" s="515">
        <f t="shared" si="10"/>
        <v>2</v>
      </c>
      <c r="M74" s="101" t="str">
        <f t="shared" si="11"/>
        <v>24/12/04</v>
      </c>
      <c r="N74" s="93" t="s">
        <v>1657</v>
      </c>
      <c r="O74" s="93" t="s">
        <v>1659</v>
      </c>
      <c r="P74" s="93" t="s">
        <v>874</v>
      </c>
      <c r="Q74" s="93" t="s">
        <v>654</v>
      </c>
      <c r="R74" s="93" t="s">
        <v>716</v>
      </c>
      <c r="S74" s="93" t="s">
        <v>840</v>
      </c>
      <c r="T74" s="93" t="s">
        <v>877</v>
      </c>
      <c r="U74" s="80" t="str">
        <f t="shared" si="12"/>
        <v>京都</v>
      </c>
      <c r="V74" s="80">
        <f t="shared" si="13"/>
        <v>5</v>
      </c>
      <c r="W74" s="92" t="s">
        <v>1938</v>
      </c>
    </row>
    <row r="75" spans="1:23">
      <c r="A75" s="509" t="str">
        <f t="shared" si="7"/>
        <v>0020-241130-多肉 紫紺の矢入り 7種セット 抜き苗</v>
      </c>
      <c r="B75" s="80">
        <f t="shared" si="8"/>
        <v>20</v>
      </c>
      <c r="C75" s="80">
        <v>2</v>
      </c>
      <c r="D75" s="523">
        <v>45626</v>
      </c>
      <c r="E75" s="524" t="s">
        <v>1758</v>
      </c>
      <c r="F75" s="515">
        <v>2400</v>
      </c>
      <c r="G75" s="525" t="s">
        <v>1934</v>
      </c>
      <c r="H75" s="515" t="s">
        <v>1935</v>
      </c>
      <c r="I75" s="515" t="s">
        <v>1936</v>
      </c>
      <c r="J75" s="526" t="s">
        <v>1937</v>
      </c>
      <c r="K75" s="80" t="str">
        <f t="shared" si="9"/>
        <v>〇</v>
      </c>
      <c r="L75" s="515">
        <f t="shared" si="10"/>
        <v>2</v>
      </c>
      <c r="M75" s="101" t="str">
        <f t="shared" si="11"/>
        <v>24/12/04</v>
      </c>
      <c r="N75" s="93" t="s">
        <v>1652</v>
      </c>
      <c r="O75" s="93" t="s">
        <v>161</v>
      </c>
      <c r="P75" s="93" t="s">
        <v>165</v>
      </c>
      <c r="Q75" s="93" t="s">
        <v>545</v>
      </c>
      <c r="R75" s="93" t="s">
        <v>860</v>
      </c>
      <c r="S75" s="93" t="s">
        <v>267</v>
      </c>
      <c r="T75" s="93" t="s">
        <v>667</v>
      </c>
      <c r="U75" s="80" t="str">
        <f t="shared" si="12"/>
        <v>京都</v>
      </c>
      <c r="V75" s="80">
        <f t="shared" si="13"/>
        <v>5</v>
      </c>
      <c r="W75" s="92" t="s">
        <v>1938</v>
      </c>
    </row>
    <row r="76" spans="1:23">
      <c r="A76" s="509" t="str">
        <f t="shared" si="7"/>
        <v>0019-241130-多肉 ももりん入り 7種セット 抜き苗</v>
      </c>
      <c r="B76" s="80">
        <f t="shared" si="8"/>
        <v>19</v>
      </c>
      <c r="C76" s="80">
        <v>56</v>
      </c>
      <c r="D76" s="94">
        <v>45626</v>
      </c>
      <c r="E76" s="95" t="s">
        <v>1868</v>
      </c>
      <c r="F76" s="80">
        <v>1600</v>
      </c>
      <c r="G76" s="96" t="s">
        <v>1709</v>
      </c>
      <c r="H76" s="80" t="s">
        <v>1710</v>
      </c>
      <c r="I76" s="80" t="s">
        <v>1711</v>
      </c>
      <c r="J76" s="100" t="s">
        <v>1940</v>
      </c>
      <c r="K76" s="80" t="str">
        <f t="shared" si="9"/>
        <v/>
      </c>
      <c r="L76" s="80">
        <f t="shared" si="10"/>
        <v>2</v>
      </c>
      <c r="M76" s="101" t="str">
        <f t="shared" si="11"/>
        <v>24/12/05</v>
      </c>
      <c r="N76" s="93" t="s">
        <v>1671</v>
      </c>
      <c r="O76" s="93" t="s">
        <v>1659</v>
      </c>
      <c r="P76" s="93" t="s">
        <v>860</v>
      </c>
      <c r="Q76" s="93" t="s">
        <v>829</v>
      </c>
      <c r="R76" s="93" t="s">
        <v>716</v>
      </c>
      <c r="S76" s="93" t="s">
        <v>394</v>
      </c>
      <c r="T76" s="93" t="s">
        <v>337</v>
      </c>
      <c r="U76" s="80" t="str">
        <f t="shared" si="12"/>
        <v>大阪</v>
      </c>
      <c r="V76" s="80">
        <f t="shared" si="13"/>
        <v>4</v>
      </c>
      <c r="W76" s="92" t="s">
        <v>1941</v>
      </c>
    </row>
    <row r="77" spans="1:23">
      <c r="A77" s="509" t="str">
        <f t="shared" si="7"/>
        <v>0018-241108-多肉 七福神入り 7種セット B 抜き苗</v>
      </c>
      <c r="B77" s="80">
        <f t="shared" si="8"/>
        <v>18</v>
      </c>
      <c r="C77" s="80" t="s">
        <v>1748</v>
      </c>
      <c r="D77" s="94">
        <v>45604</v>
      </c>
      <c r="E77" s="95" t="s">
        <v>1843</v>
      </c>
      <c r="F77" s="80">
        <v>1500</v>
      </c>
      <c r="G77" s="96" t="s">
        <v>1960</v>
      </c>
      <c r="H77" s="80" t="s">
        <v>1961</v>
      </c>
      <c r="I77" s="80" t="s">
        <v>1962</v>
      </c>
      <c r="J77" s="100" t="s">
        <v>1963</v>
      </c>
      <c r="K77" s="80" t="str">
        <f t="shared" si="9"/>
        <v/>
      </c>
      <c r="L77" s="80">
        <f t="shared" si="10"/>
        <v>1</v>
      </c>
      <c r="M77" s="101" t="str">
        <f t="shared" si="11"/>
        <v>24/11/13</v>
      </c>
      <c r="N77" s="93" t="s">
        <v>442</v>
      </c>
      <c r="O77" s="93" t="s">
        <v>1671</v>
      </c>
      <c r="P77" s="93" t="s">
        <v>574</v>
      </c>
      <c r="Q77" s="93" t="s">
        <v>697</v>
      </c>
      <c r="R77" s="93" t="s">
        <v>770</v>
      </c>
      <c r="S77" s="93" t="s">
        <v>716</v>
      </c>
      <c r="T77" s="93" t="s">
        <v>384</v>
      </c>
      <c r="U77" s="80" t="str">
        <f t="shared" si="12"/>
        <v>神奈川</v>
      </c>
      <c r="V77" s="80">
        <f t="shared" si="13"/>
        <v>11</v>
      </c>
      <c r="W77" s="92" t="s">
        <v>1964</v>
      </c>
    </row>
    <row r="78" spans="1:23">
      <c r="A78" s="509" t="str">
        <f t="shared" si="7"/>
        <v>0017-241108-多肉 七福神入り 7種セット A 抜き苗</v>
      </c>
      <c r="B78" s="80">
        <f t="shared" si="8"/>
        <v>17</v>
      </c>
      <c r="C78" s="80" t="s">
        <v>1748</v>
      </c>
      <c r="D78" s="94">
        <v>45604</v>
      </c>
      <c r="E78" s="95" t="s">
        <v>1832</v>
      </c>
      <c r="F78" s="80">
        <v>1500</v>
      </c>
      <c r="G78" s="96" t="s">
        <v>1955</v>
      </c>
      <c r="H78" s="80" t="s">
        <v>1956</v>
      </c>
      <c r="I78" s="80" t="s">
        <v>1957</v>
      </c>
      <c r="J78" s="100" t="s">
        <v>1958</v>
      </c>
      <c r="K78" s="80" t="str">
        <f t="shared" si="9"/>
        <v/>
      </c>
      <c r="L78" s="80">
        <f t="shared" si="10"/>
        <v>1</v>
      </c>
      <c r="M78" s="101" t="str">
        <f t="shared" si="11"/>
        <v>24/11/14</v>
      </c>
      <c r="N78" s="93" t="s">
        <v>442</v>
      </c>
      <c r="O78" s="93" t="s">
        <v>1671</v>
      </c>
      <c r="P78" s="93" t="s">
        <v>574</v>
      </c>
      <c r="Q78" s="93" t="s">
        <v>697</v>
      </c>
      <c r="R78" s="93" t="s">
        <v>770</v>
      </c>
      <c r="S78" s="93" t="s">
        <v>716</v>
      </c>
      <c r="T78" s="93" t="s">
        <v>384</v>
      </c>
      <c r="U78" s="80" t="str">
        <f t="shared" si="12"/>
        <v>兵庫</v>
      </c>
      <c r="V78" s="80">
        <f t="shared" si="13"/>
        <v>3</v>
      </c>
      <c r="W78" s="92" t="s">
        <v>1959</v>
      </c>
    </row>
    <row r="79" spans="1:23">
      <c r="A79" s="509" t="str">
        <f t="shared" si="7"/>
        <v>0016-241108-多肉 ももりん入り 7種セット 抜き苗</v>
      </c>
      <c r="B79" s="80">
        <f t="shared" si="8"/>
        <v>16</v>
      </c>
      <c r="C79" s="80">
        <v>5</v>
      </c>
      <c r="D79" s="521">
        <v>45604</v>
      </c>
      <c r="E79" s="522" t="s">
        <v>1868</v>
      </c>
      <c r="F79" s="516">
        <v>1600</v>
      </c>
      <c r="G79" s="96" t="s">
        <v>1771</v>
      </c>
      <c r="H79" s="516" t="s">
        <v>1772</v>
      </c>
      <c r="I79" s="516" t="s">
        <v>1773</v>
      </c>
      <c r="J79" s="520" t="s">
        <v>1774</v>
      </c>
      <c r="K79" s="80" t="str">
        <f t="shared" si="9"/>
        <v/>
      </c>
      <c r="L79" s="516">
        <f t="shared" si="10"/>
        <v>2</v>
      </c>
      <c r="M79" s="101" t="str">
        <f t="shared" si="11"/>
        <v>24/11/14</v>
      </c>
      <c r="N79" s="93" t="s">
        <v>1671</v>
      </c>
      <c r="O79" s="93" t="s">
        <v>860</v>
      </c>
      <c r="P79" s="93" t="s">
        <v>661</v>
      </c>
      <c r="Q79" s="93" t="s">
        <v>243</v>
      </c>
      <c r="R79" s="93" t="s">
        <v>394</v>
      </c>
      <c r="S79" s="93" t="s">
        <v>480</v>
      </c>
      <c r="T79" s="93" t="s">
        <v>667</v>
      </c>
      <c r="U79" s="80" t="str">
        <f t="shared" si="12"/>
        <v>東京</v>
      </c>
      <c r="V79" s="80">
        <f t="shared" si="13"/>
        <v>7</v>
      </c>
      <c r="W79" s="92" t="s">
        <v>3362</v>
      </c>
    </row>
    <row r="80" spans="1:23">
      <c r="A80" s="509" t="str">
        <f t="shared" si="7"/>
        <v>0015-241102-多肉 ピンクキャビア入り 7種セット B 抜き苗</v>
      </c>
      <c r="B80" s="80">
        <f t="shared" si="8"/>
        <v>15</v>
      </c>
      <c r="C80" s="80" t="s">
        <v>1965</v>
      </c>
      <c r="D80" s="94">
        <v>45598</v>
      </c>
      <c r="E80" s="95" t="s">
        <v>1966</v>
      </c>
      <c r="F80" s="80">
        <v>1500</v>
      </c>
      <c r="G80" s="96" t="s">
        <v>1967</v>
      </c>
      <c r="H80" s="80" t="s">
        <v>1968</v>
      </c>
      <c r="I80" s="80" t="s">
        <v>1969</v>
      </c>
      <c r="J80" s="100" t="s">
        <v>1970</v>
      </c>
      <c r="K80" s="80" t="str">
        <f t="shared" si="9"/>
        <v/>
      </c>
      <c r="L80" s="80">
        <f t="shared" si="10"/>
        <v>1</v>
      </c>
      <c r="M80" s="101" t="str">
        <f t="shared" si="11"/>
        <v>24/11/08</v>
      </c>
      <c r="N80" s="93" t="s">
        <v>636</v>
      </c>
      <c r="O80" s="93" t="s">
        <v>642</v>
      </c>
      <c r="P80" s="93" t="s">
        <v>512</v>
      </c>
      <c r="Q80" s="93" t="s">
        <v>704</v>
      </c>
      <c r="R80" s="93" t="s">
        <v>309</v>
      </c>
      <c r="S80" s="93" t="s">
        <v>384</v>
      </c>
      <c r="T80" s="93" t="s">
        <v>259</v>
      </c>
      <c r="U80" s="80" t="str">
        <f t="shared" si="12"/>
        <v>京都</v>
      </c>
      <c r="V80" s="80">
        <f t="shared" si="13"/>
        <v>5</v>
      </c>
      <c r="W80" s="92" t="s">
        <v>1971</v>
      </c>
    </row>
    <row r="81" spans="1:23">
      <c r="A81" s="509" t="str">
        <f t="shared" si="7"/>
        <v>0014-241029-多肉 ピンクキャビア入り 7種セット A 抜き苗</v>
      </c>
      <c r="B81" s="80">
        <f t="shared" si="8"/>
        <v>14</v>
      </c>
      <c r="C81" s="80" t="s">
        <v>1817</v>
      </c>
      <c r="D81" s="94">
        <v>45594</v>
      </c>
      <c r="E81" s="95" t="s">
        <v>1972</v>
      </c>
      <c r="F81" s="80">
        <v>1500</v>
      </c>
      <c r="G81" s="96" t="s">
        <v>1973</v>
      </c>
      <c r="H81" s="80" t="s">
        <v>1974</v>
      </c>
      <c r="I81" s="80" t="s">
        <v>1975</v>
      </c>
      <c r="J81" s="100" t="s">
        <v>1976</v>
      </c>
      <c r="K81" s="80" t="str">
        <f t="shared" si="9"/>
        <v/>
      </c>
      <c r="L81" s="80">
        <f t="shared" si="10"/>
        <v>1</v>
      </c>
      <c r="M81" s="101" t="str">
        <f t="shared" si="11"/>
        <v>24/11/11</v>
      </c>
      <c r="N81" s="93" t="s">
        <v>636</v>
      </c>
      <c r="O81" s="93" t="s">
        <v>625</v>
      </c>
      <c r="P81" s="93" t="s">
        <v>512</v>
      </c>
      <c r="Q81" s="93" t="s">
        <v>248</v>
      </c>
      <c r="R81" s="93" t="s">
        <v>463</v>
      </c>
      <c r="S81" s="93" t="s">
        <v>724</v>
      </c>
      <c r="T81" s="93" t="s">
        <v>710</v>
      </c>
      <c r="U81" s="80" t="str">
        <f t="shared" si="12"/>
        <v>香川</v>
      </c>
      <c r="V81" s="80">
        <f t="shared" si="13"/>
        <v>8</v>
      </c>
      <c r="W81" s="92" t="s">
        <v>1977</v>
      </c>
    </row>
    <row r="82" spans="1:23">
      <c r="A82" s="509" t="str">
        <f t="shared" si="7"/>
        <v>0013-241029-多肉 モラニーxルンヨニーサンカルロス入り 7種セット 抜き苗</v>
      </c>
      <c r="B82" s="80">
        <f t="shared" si="8"/>
        <v>13</v>
      </c>
      <c r="C82" s="80" t="s">
        <v>1978</v>
      </c>
      <c r="D82" s="94">
        <v>45594</v>
      </c>
      <c r="E82" s="95" t="s">
        <v>1979</v>
      </c>
      <c r="F82" s="80">
        <v>1700</v>
      </c>
      <c r="G82" s="96" t="s">
        <v>1980</v>
      </c>
      <c r="H82" s="80" t="s">
        <v>1981</v>
      </c>
      <c r="I82" s="80" t="s">
        <v>1982</v>
      </c>
      <c r="J82" s="100" t="s">
        <v>1983</v>
      </c>
      <c r="K82" s="80" t="str">
        <f t="shared" si="9"/>
        <v/>
      </c>
      <c r="L82" s="80">
        <f t="shared" si="10"/>
        <v>1</v>
      </c>
      <c r="M82" s="101" t="str">
        <f t="shared" si="11"/>
        <v>24/11/05</v>
      </c>
      <c r="N82" s="93" t="s">
        <v>1672</v>
      </c>
      <c r="O82" s="93" t="s">
        <v>697</v>
      </c>
      <c r="P82" s="93" t="s">
        <v>713</v>
      </c>
      <c r="Q82" s="93" t="s">
        <v>1645</v>
      </c>
      <c r="R82" s="93" t="s">
        <v>732</v>
      </c>
      <c r="S82" s="93" t="s">
        <v>617</v>
      </c>
      <c r="T82" s="93" t="s">
        <v>264</v>
      </c>
      <c r="U82" s="80" t="str">
        <f t="shared" si="12"/>
        <v>静岡</v>
      </c>
      <c r="V82" s="80">
        <f t="shared" si="13"/>
        <v>2</v>
      </c>
      <c r="W82" s="92" t="s">
        <v>1984</v>
      </c>
    </row>
    <row r="83" spans="1:23">
      <c r="A83" s="509" t="str">
        <f t="shared" si="7"/>
        <v>0012-241028-多肉 クリームローズ入り 7種セット 抜き苗</v>
      </c>
      <c r="B83" s="80">
        <f t="shared" si="8"/>
        <v>12</v>
      </c>
      <c r="C83" s="80" t="s">
        <v>1748</v>
      </c>
      <c r="D83" s="94">
        <v>45593</v>
      </c>
      <c r="E83" s="95" t="s">
        <v>1985</v>
      </c>
      <c r="F83" s="80">
        <v>1500</v>
      </c>
      <c r="G83" s="96" t="s">
        <v>1986</v>
      </c>
      <c r="H83" s="80" t="s">
        <v>1987</v>
      </c>
      <c r="I83" s="80" t="s">
        <v>1988</v>
      </c>
      <c r="J83" s="100" t="s">
        <v>1989</v>
      </c>
      <c r="K83" s="80" t="str">
        <f t="shared" si="9"/>
        <v/>
      </c>
      <c r="L83" s="80">
        <f t="shared" si="10"/>
        <v>1</v>
      </c>
      <c r="M83" s="101" t="str">
        <f t="shared" si="11"/>
        <v>24/10/31</v>
      </c>
      <c r="N83" s="93" t="s">
        <v>383</v>
      </c>
      <c r="O83" s="93" t="s">
        <v>654</v>
      </c>
      <c r="P83" s="93" t="s">
        <v>275</v>
      </c>
      <c r="Q83" s="93" t="s">
        <v>704</v>
      </c>
      <c r="R83" s="93" t="s">
        <v>805</v>
      </c>
      <c r="S83" s="93" t="s">
        <v>877</v>
      </c>
      <c r="T83" s="93" t="s">
        <v>339</v>
      </c>
      <c r="U83" s="80" t="str">
        <f t="shared" si="12"/>
        <v>神奈川</v>
      </c>
      <c r="V83" s="80">
        <f t="shared" si="13"/>
        <v>11</v>
      </c>
      <c r="W83" s="92" t="s">
        <v>1990</v>
      </c>
    </row>
    <row r="84" spans="1:23">
      <c r="A84" s="509" t="str">
        <f t="shared" si="7"/>
        <v>0011-241028-多肉 クリスベートビューティー入り 7種セット 抜き苗</v>
      </c>
      <c r="B84" s="80">
        <f t="shared" si="8"/>
        <v>11</v>
      </c>
      <c r="C84" s="80">
        <v>19</v>
      </c>
      <c r="D84" s="94">
        <v>45593</v>
      </c>
      <c r="E84" s="95" t="s">
        <v>1991</v>
      </c>
      <c r="F84" s="80">
        <v>1600</v>
      </c>
      <c r="G84" s="96" t="s">
        <v>1992</v>
      </c>
      <c r="H84" s="80" t="s">
        <v>1993</v>
      </c>
      <c r="I84" s="80" t="s">
        <v>1994</v>
      </c>
      <c r="J84" s="100" t="s">
        <v>1995</v>
      </c>
      <c r="K84" s="80" t="str">
        <f t="shared" si="9"/>
        <v/>
      </c>
      <c r="L84" s="80">
        <f t="shared" si="10"/>
        <v>1</v>
      </c>
      <c r="M84" s="101" t="str">
        <f t="shared" si="11"/>
        <v>24/11/01</v>
      </c>
      <c r="N84" s="93" t="s">
        <v>1646</v>
      </c>
      <c r="O84" s="93" t="s">
        <v>654</v>
      </c>
      <c r="P84" s="93" t="s">
        <v>697</v>
      </c>
      <c r="Q84" s="93" t="s">
        <v>248</v>
      </c>
      <c r="R84" s="93" t="s">
        <v>341</v>
      </c>
      <c r="S84" s="93" t="s">
        <v>710</v>
      </c>
      <c r="T84" s="93" t="s">
        <v>667</v>
      </c>
      <c r="U84" s="80" t="str">
        <f t="shared" si="12"/>
        <v>千葉</v>
      </c>
      <c r="V84" s="80">
        <f t="shared" si="13"/>
        <v>2</v>
      </c>
      <c r="W84" s="92" t="s">
        <v>1996</v>
      </c>
    </row>
    <row r="85" spans="1:23">
      <c r="A85" s="509" t="str">
        <f t="shared" si="7"/>
        <v>0010-241028-多肉 紫紺の矢入り 7種セット B 抜き苗</v>
      </c>
      <c r="B85" s="80">
        <f t="shared" si="8"/>
        <v>10</v>
      </c>
      <c r="C85" s="80">
        <v>16</v>
      </c>
      <c r="D85" s="94">
        <v>45593</v>
      </c>
      <c r="E85" s="95" t="s">
        <v>1837</v>
      </c>
      <c r="F85" s="80">
        <v>2400</v>
      </c>
      <c r="G85" s="96" t="s">
        <v>126</v>
      </c>
      <c r="H85" s="80" t="s">
        <v>1997</v>
      </c>
      <c r="I85" s="80" t="s">
        <v>1998</v>
      </c>
      <c r="J85" s="100" t="s">
        <v>1999</v>
      </c>
      <c r="K85" s="80" t="str">
        <f t="shared" si="9"/>
        <v/>
      </c>
      <c r="L85" s="80">
        <f t="shared" si="10"/>
        <v>1</v>
      </c>
      <c r="M85" s="101" t="str">
        <f t="shared" si="11"/>
        <v>24/11/01</v>
      </c>
      <c r="N85" s="93" t="s">
        <v>1652</v>
      </c>
      <c r="O85" s="93" t="s">
        <v>161</v>
      </c>
      <c r="P85" s="93" t="s">
        <v>512</v>
      </c>
      <c r="Q85" s="93" t="s">
        <v>735</v>
      </c>
      <c r="R85" s="93" t="s">
        <v>718</v>
      </c>
      <c r="S85" s="93" t="s">
        <v>840</v>
      </c>
      <c r="T85" s="93" t="s">
        <v>480</v>
      </c>
      <c r="U85" s="80" t="str">
        <f t="shared" si="12"/>
        <v>徳島</v>
      </c>
      <c r="V85" s="80">
        <f t="shared" si="13"/>
        <v>2</v>
      </c>
      <c r="W85" s="92" t="s">
        <v>3363</v>
      </c>
    </row>
    <row r="86" spans="1:23">
      <c r="A86" s="509" t="str">
        <f t="shared" si="7"/>
        <v>0009-241028-多肉 紫紺の矢入り 7種セット A 抜き苗</v>
      </c>
      <c r="B86" s="80">
        <f t="shared" si="8"/>
        <v>9</v>
      </c>
      <c r="C86" s="80">
        <v>8</v>
      </c>
      <c r="D86" s="94">
        <v>45593</v>
      </c>
      <c r="E86" s="95" t="s">
        <v>1842</v>
      </c>
      <c r="F86" s="80">
        <v>2400</v>
      </c>
      <c r="G86" s="96" t="s">
        <v>2005</v>
      </c>
      <c r="H86" s="80" t="s">
        <v>2006</v>
      </c>
      <c r="I86" s="80" t="s">
        <v>2007</v>
      </c>
      <c r="J86" s="100" t="s">
        <v>2008</v>
      </c>
      <c r="K86" s="80" t="str">
        <f t="shared" si="9"/>
        <v/>
      </c>
      <c r="L86" s="80">
        <f t="shared" si="10"/>
        <v>1</v>
      </c>
      <c r="M86" s="101" t="str">
        <f t="shared" si="11"/>
        <v>24/10/31</v>
      </c>
      <c r="N86" s="93" t="s">
        <v>1652</v>
      </c>
      <c r="O86" s="93" t="s">
        <v>161</v>
      </c>
      <c r="P86" s="93" t="s">
        <v>341</v>
      </c>
      <c r="Q86" s="93" t="s">
        <v>724</v>
      </c>
      <c r="R86" s="93" t="s">
        <v>805</v>
      </c>
      <c r="S86" s="93" t="s">
        <v>840</v>
      </c>
      <c r="T86" s="93" t="s">
        <v>667</v>
      </c>
      <c r="U86" s="80" t="str">
        <f t="shared" si="12"/>
        <v>宮城</v>
      </c>
      <c r="V86" s="80">
        <f t="shared" si="13"/>
        <v>2</v>
      </c>
      <c r="W86" s="92" t="s">
        <v>2009</v>
      </c>
    </row>
    <row r="87" spans="1:23">
      <c r="A87" s="509" t="str">
        <f t="shared" si="7"/>
        <v>0008-241028-多肉 ももりん入り 7種セット 抜き苗</v>
      </c>
      <c r="B87" s="80">
        <f t="shared" si="8"/>
        <v>8</v>
      </c>
      <c r="C87" s="80">
        <v>16</v>
      </c>
      <c r="D87" s="94">
        <v>45593</v>
      </c>
      <c r="E87" s="95" t="s">
        <v>1868</v>
      </c>
      <c r="F87" s="80">
        <v>1600</v>
      </c>
      <c r="G87" s="96" t="s">
        <v>2000</v>
      </c>
      <c r="H87" s="80" t="s">
        <v>2001</v>
      </c>
      <c r="I87" s="80" t="s">
        <v>2002</v>
      </c>
      <c r="J87" s="100" t="s">
        <v>2003</v>
      </c>
      <c r="K87" s="80" t="str">
        <f t="shared" si="9"/>
        <v/>
      </c>
      <c r="L87" s="80">
        <f t="shared" si="10"/>
        <v>1</v>
      </c>
      <c r="M87" s="101" t="str">
        <f t="shared" si="11"/>
        <v>24/11/01</v>
      </c>
      <c r="N87" s="102" t="s">
        <v>1671</v>
      </c>
      <c r="O87" s="93" t="s">
        <v>697</v>
      </c>
      <c r="P87" s="93" t="s">
        <v>546</v>
      </c>
      <c r="Q87" s="93" t="s">
        <v>713</v>
      </c>
      <c r="R87" s="93" t="s">
        <v>805</v>
      </c>
      <c r="S87" s="93" t="s">
        <v>840</v>
      </c>
      <c r="T87" s="93" t="s">
        <v>667</v>
      </c>
      <c r="U87" s="80" t="str">
        <f t="shared" si="12"/>
        <v>千葉</v>
      </c>
      <c r="V87" s="80">
        <f t="shared" si="13"/>
        <v>2</v>
      </c>
      <c r="W87" s="92" t="s">
        <v>2004</v>
      </c>
    </row>
    <row r="88" spans="1:23">
      <c r="A88" s="509" t="str">
        <f t="shared" si="7"/>
        <v>0007-241028-多肉 はじまりの花入り 7種セット 抜き苗</v>
      </c>
      <c r="B88" s="80">
        <f t="shared" si="8"/>
        <v>7</v>
      </c>
      <c r="C88" s="80">
        <v>4</v>
      </c>
      <c r="D88" s="94">
        <v>45593</v>
      </c>
      <c r="E88" s="95" t="s">
        <v>1749</v>
      </c>
      <c r="F88" s="80">
        <v>1700</v>
      </c>
      <c r="G88" s="96" t="s">
        <v>2010</v>
      </c>
      <c r="H88" s="80" t="s">
        <v>2011</v>
      </c>
      <c r="I88" s="80" t="s">
        <v>2012</v>
      </c>
      <c r="J88" s="100" t="s">
        <v>2013</v>
      </c>
      <c r="K88" s="80" t="str">
        <f t="shared" si="9"/>
        <v/>
      </c>
      <c r="L88" s="80">
        <f t="shared" si="10"/>
        <v>1</v>
      </c>
      <c r="M88" s="101" t="str">
        <f t="shared" si="11"/>
        <v>24/10/31</v>
      </c>
      <c r="N88" s="93" t="s">
        <v>1657</v>
      </c>
      <c r="O88" s="93" t="s">
        <v>642</v>
      </c>
      <c r="P88" s="93" t="s">
        <v>874</v>
      </c>
      <c r="Q88" s="93" t="s">
        <v>339</v>
      </c>
      <c r="R88" s="93" t="s">
        <v>805</v>
      </c>
      <c r="S88" s="93" t="s">
        <v>840</v>
      </c>
      <c r="T88" s="93" t="s">
        <v>667</v>
      </c>
      <c r="U88" s="80" t="str">
        <f t="shared" si="12"/>
        <v>兵庫</v>
      </c>
      <c r="V88" s="80">
        <f t="shared" si="13"/>
        <v>3</v>
      </c>
      <c r="W88" s="92" t="s">
        <v>2014</v>
      </c>
    </row>
    <row r="89" spans="1:23">
      <c r="A89" s="509" t="str">
        <f t="shared" si="7"/>
        <v>0006-240825-多肉 七福神入り 7種セット B 抜き苗</v>
      </c>
      <c r="B89" s="80">
        <f t="shared" si="8"/>
        <v>6</v>
      </c>
      <c r="C89" s="80" t="s">
        <v>1748</v>
      </c>
      <c r="D89" s="94">
        <v>45529</v>
      </c>
      <c r="E89" s="95" t="s">
        <v>1843</v>
      </c>
      <c r="F89" s="80">
        <v>1000</v>
      </c>
      <c r="G89" s="96" t="s">
        <v>2015</v>
      </c>
      <c r="H89" s="80" t="s">
        <v>2016</v>
      </c>
      <c r="I89" s="80" t="s">
        <v>2017</v>
      </c>
      <c r="J89" s="100" t="s">
        <v>2018</v>
      </c>
      <c r="K89" s="80" t="str">
        <f t="shared" si="9"/>
        <v/>
      </c>
      <c r="L89" s="80">
        <f t="shared" si="10"/>
        <v>1</v>
      </c>
      <c r="M89" s="101" t="str">
        <f t="shared" si="11"/>
        <v>24/09/02</v>
      </c>
      <c r="N89" s="93" t="s">
        <v>442</v>
      </c>
      <c r="O89" s="93" t="s">
        <v>661</v>
      </c>
      <c r="P89" s="93" t="s">
        <v>384</v>
      </c>
      <c r="Q89" s="93" t="s">
        <v>1661</v>
      </c>
      <c r="R89" s="93" t="s">
        <v>578</v>
      </c>
      <c r="S89" s="93" t="s">
        <v>840</v>
      </c>
      <c r="T89" s="93" t="s">
        <v>710</v>
      </c>
      <c r="U89" s="80" t="str">
        <f t="shared" si="12"/>
        <v>鹿児島</v>
      </c>
      <c r="V89" s="80">
        <f t="shared" si="13"/>
        <v>1</v>
      </c>
      <c r="W89" s="92" t="s">
        <v>2019</v>
      </c>
    </row>
    <row r="90" spans="1:23">
      <c r="A90" s="509" t="str">
        <f t="shared" si="7"/>
        <v>0005-240825-多肉 七福神入り 7種セット A 抜き苗</v>
      </c>
      <c r="B90" s="80">
        <f t="shared" si="8"/>
        <v>5</v>
      </c>
      <c r="C90" s="80">
        <v>52</v>
      </c>
      <c r="D90" s="94">
        <v>45529</v>
      </c>
      <c r="E90" s="95" t="s">
        <v>1832</v>
      </c>
      <c r="F90" s="80">
        <v>1000</v>
      </c>
      <c r="G90" s="96" t="s">
        <v>2020</v>
      </c>
      <c r="H90" s="80" t="s">
        <v>2021</v>
      </c>
      <c r="I90" s="80" t="s">
        <v>2022</v>
      </c>
      <c r="J90" s="100" t="s">
        <v>2023</v>
      </c>
      <c r="K90" s="80" t="str">
        <f t="shared" si="9"/>
        <v/>
      </c>
      <c r="L90" s="80">
        <f t="shared" si="10"/>
        <v>1</v>
      </c>
      <c r="M90" s="101" t="str">
        <f t="shared" si="11"/>
        <v>24/08/29</v>
      </c>
      <c r="N90" s="93" t="s">
        <v>442</v>
      </c>
      <c r="O90" s="93" t="s">
        <v>209</v>
      </c>
      <c r="P90" s="93" t="s">
        <v>384</v>
      </c>
      <c r="Q90" s="93" t="s">
        <v>880</v>
      </c>
      <c r="R90" s="93" t="s">
        <v>578</v>
      </c>
      <c r="S90" s="93" t="s">
        <v>840</v>
      </c>
      <c r="T90" s="93" t="s">
        <v>710</v>
      </c>
      <c r="U90" s="80" t="str">
        <f t="shared" si="12"/>
        <v>福島</v>
      </c>
      <c r="V90" s="80">
        <f t="shared" si="13"/>
        <v>4</v>
      </c>
      <c r="W90" s="92" t="s">
        <v>2024</v>
      </c>
    </row>
    <row r="91" spans="1:23">
      <c r="A91" s="509" t="str">
        <f t="shared" si="7"/>
        <v>0004-240625-多肉 キュービックフロスト入り 7種セット 抜き苗</v>
      </c>
      <c r="B91" s="80">
        <f t="shared" si="8"/>
        <v>4</v>
      </c>
      <c r="C91" s="80" t="s">
        <v>1910</v>
      </c>
      <c r="D91" s="521">
        <v>45468</v>
      </c>
      <c r="E91" s="522" t="s">
        <v>2025</v>
      </c>
      <c r="F91" s="516">
        <v>1200</v>
      </c>
      <c r="G91" s="519" t="s">
        <v>1804</v>
      </c>
      <c r="H91" s="516" t="s">
        <v>1805</v>
      </c>
      <c r="I91" s="516" t="s">
        <v>1806</v>
      </c>
      <c r="J91" s="520" t="s">
        <v>1807</v>
      </c>
      <c r="K91" s="80" t="str">
        <f t="shared" si="9"/>
        <v/>
      </c>
      <c r="L91" s="516">
        <f t="shared" si="10"/>
        <v>2</v>
      </c>
      <c r="M91" s="527" t="str">
        <f t="shared" si="11"/>
        <v>24/07/03</v>
      </c>
      <c r="N91" s="93" t="s">
        <v>348</v>
      </c>
      <c r="O91" s="93" t="s">
        <v>341</v>
      </c>
      <c r="P91" s="93" t="s">
        <v>1662</v>
      </c>
      <c r="Q91" s="93" t="s">
        <v>730</v>
      </c>
      <c r="R91" s="93" t="s">
        <v>805</v>
      </c>
      <c r="S91" s="93" t="s">
        <v>591</v>
      </c>
      <c r="T91" s="93" t="s">
        <v>308</v>
      </c>
      <c r="U91" s="80" t="str">
        <f t="shared" si="12"/>
        <v>東京</v>
      </c>
      <c r="V91" s="80">
        <f t="shared" si="13"/>
        <v>7</v>
      </c>
      <c r="W91" s="92" t="s">
        <v>2026</v>
      </c>
    </row>
    <row r="92" spans="1:23">
      <c r="A92" s="509" t="str">
        <f t="shared" si="7"/>
        <v>0003-240624-多肉 チャイナローズ入り 7種セット 抜き苗</v>
      </c>
      <c r="B92" s="80">
        <f t="shared" si="8"/>
        <v>3</v>
      </c>
      <c r="C92" s="80" t="s">
        <v>1910</v>
      </c>
      <c r="D92" s="94">
        <v>45467</v>
      </c>
      <c r="E92" s="95" t="s">
        <v>2027</v>
      </c>
      <c r="F92" s="80">
        <v>1200</v>
      </c>
      <c r="G92" s="96" t="s">
        <v>2028</v>
      </c>
      <c r="H92" s="80" t="s">
        <v>2029</v>
      </c>
      <c r="I92" s="80" t="s">
        <v>2030</v>
      </c>
      <c r="J92" s="100" t="s">
        <v>2031</v>
      </c>
      <c r="K92" s="80" t="str">
        <f t="shared" si="9"/>
        <v/>
      </c>
      <c r="L92" s="80">
        <f t="shared" si="10"/>
        <v>1</v>
      </c>
      <c r="M92" s="101" t="str">
        <f t="shared" si="11"/>
        <v>24/06/28</v>
      </c>
      <c r="N92" s="93" t="s">
        <v>512</v>
      </c>
      <c r="O92" s="93" t="s">
        <v>248</v>
      </c>
      <c r="P92" s="93" t="s">
        <v>503</v>
      </c>
      <c r="Q92" s="93" t="s">
        <v>732</v>
      </c>
      <c r="R92" s="93" t="s">
        <v>718</v>
      </c>
      <c r="S92" s="93" t="s">
        <v>870</v>
      </c>
      <c r="T92" s="93" t="s">
        <v>724</v>
      </c>
      <c r="U92" s="80" t="str">
        <f t="shared" si="12"/>
        <v>福井</v>
      </c>
      <c r="V92" s="80">
        <f t="shared" si="13"/>
        <v>1</v>
      </c>
      <c r="W92" s="92" t="s">
        <v>2032</v>
      </c>
    </row>
    <row r="93" spans="1:23">
      <c r="A93" s="509" t="str">
        <f t="shared" si="7"/>
        <v>0002-240624-多肉 アガボイデス ルブラ入り 7種セット 抜き苗</v>
      </c>
      <c r="B93" s="80">
        <f t="shared" si="8"/>
        <v>2</v>
      </c>
      <c r="C93" s="80" t="s">
        <v>2033</v>
      </c>
      <c r="D93" s="94">
        <v>45467</v>
      </c>
      <c r="E93" s="95" t="s">
        <v>2034</v>
      </c>
      <c r="F93" s="80">
        <v>1200</v>
      </c>
      <c r="G93" s="96" t="s">
        <v>2035</v>
      </c>
      <c r="H93" s="80" t="s">
        <v>2036</v>
      </c>
      <c r="I93" s="80" t="s">
        <v>2037</v>
      </c>
      <c r="J93" s="100" t="s">
        <v>2038</v>
      </c>
      <c r="K93" s="80" t="str">
        <f t="shared" si="9"/>
        <v/>
      </c>
      <c r="L93" s="80">
        <f t="shared" si="10"/>
        <v>1</v>
      </c>
      <c r="M93" s="101" t="str">
        <f t="shared" si="11"/>
        <v>24/06/28</v>
      </c>
      <c r="N93" s="93" t="s">
        <v>462</v>
      </c>
      <c r="O93" s="93" t="s">
        <v>239</v>
      </c>
      <c r="P93" s="93" t="s">
        <v>661</v>
      </c>
      <c r="Q93" s="93" t="s">
        <v>716</v>
      </c>
      <c r="R93" s="93" t="s">
        <v>578</v>
      </c>
      <c r="S93" s="93" t="s">
        <v>840</v>
      </c>
      <c r="T93" s="93" t="s">
        <v>877</v>
      </c>
      <c r="U93" s="80" t="str">
        <f t="shared" si="12"/>
        <v>京都</v>
      </c>
      <c r="V93" s="80">
        <f t="shared" si="13"/>
        <v>5</v>
      </c>
      <c r="W93" s="92" t="s">
        <v>2039</v>
      </c>
    </row>
    <row r="94" spans="1:23">
      <c r="A94" s="509" t="str">
        <f t="shared" si="7"/>
        <v>0001-240616-斑入りグリーンネックレス ＆ カリシア 4点セット</v>
      </c>
      <c r="B94" s="80">
        <v>1</v>
      </c>
      <c r="C94" s="80" t="s">
        <v>1978</v>
      </c>
      <c r="D94" s="94">
        <v>45459</v>
      </c>
      <c r="E94" s="95" t="s">
        <v>2040</v>
      </c>
      <c r="F94" s="80">
        <v>1300</v>
      </c>
      <c r="G94" s="96" t="s">
        <v>2041</v>
      </c>
      <c r="H94" s="80" t="s">
        <v>15</v>
      </c>
      <c r="I94" s="80" t="s">
        <v>15</v>
      </c>
      <c r="J94" s="100" t="s">
        <v>15</v>
      </c>
      <c r="K94" s="80" t="str">
        <f t="shared" si="9"/>
        <v/>
      </c>
      <c r="L94" s="80">
        <f t="shared" si="10"/>
        <v>1</v>
      </c>
      <c r="M94" s="101" t="str">
        <f t="shared" si="11"/>
        <v>24/06/19</v>
      </c>
      <c r="N94" s="93" t="s">
        <v>667</v>
      </c>
      <c r="O94" s="93" t="s">
        <v>384</v>
      </c>
      <c r="P94" s="93" t="s">
        <v>337</v>
      </c>
      <c r="Q94" s="93" t="s">
        <v>425</v>
      </c>
      <c r="W94" s="92" t="s">
        <v>2042</v>
      </c>
    </row>
  </sheetData>
  <autoFilter ref="D5:W89" xr:uid="{00000000-0009-0000-0000-000003000000}"/>
  <phoneticPr fontId="59"/>
  <conditionalFormatting sqref="B6:M94">
    <cfRule type="expression" dxfId="66" priority="1">
      <formula>$K6="〇"</formula>
    </cfRule>
    <cfRule type="expression" dxfId="65" priority="2">
      <formula>$L6&lt;&gt;1</formula>
    </cfRule>
  </conditionalFormatting>
  <conditionalFormatting sqref="N1:T1048576">
    <cfRule type="cellIs" dxfId="64" priority="3" operator="equal">
      <formula>"モンロー"</formula>
    </cfRule>
    <cfRule type="cellIs" dxfId="63" priority="4" operator="equal">
      <formula>"斑入りグリーンネックレス"</formula>
    </cfRule>
    <cfRule type="cellIs" dxfId="62" priority="5" operator="equal">
      <formula>"ラブリーローズ"</formula>
    </cfRule>
  </conditionalFormatting>
  <conditionalFormatting sqref="U1:V1048576">
    <cfRule type="expression" dxfId="61" priority="6">
      <formula>OR($U1="福岡",$U1="佐賀",$U1="長崎",$U1="大分",$U1="熊本",$U1="宮崎",$U1="鹿児島",$U1="沖縄")</formula>
    </cfRule>
    <cfRule type="expression" dxfId="60" priority="7">
      <formula>OR($U1="愛媛",$U1="徳島",$U1="香川",$U1="高知")</formula>
    </cfRule>
    <cfRule type="expression" dxfId="59" priority="8">
      <formula>OR($U1="鳥取",$U1="島根",$U1="岡山",$U1="広島",$U1="山口")</formula>
    </cfRule>
    <cfRule type="expression" dxfId="58" priority="9">
      <formula>OR($U1="京都",$U1="大阪",$U1="兵庫",$U1="奈良",$U1="和歌山",$U1="滋賀",$U1="三重")</formula>
    </cfRule>
    <cfRule type="expression" dxfId="57" priority="10">
      <formula>OR($U1="富山",$U1="石川",$U1="福井",$U1="長野",$U1="岐阜",$U1="静岡",$U1="愛知",$U1="新潟",$U1="山梨")</formula>
    </cfRule>
    <cfRule type="expression" dxfId="56" priority="11">
      <formula>OR($U1="東京",$U1="千葉",$U1="神奈川",$U1="埼玉",$U1="茨城",$U1="栃木",$U1="群馬")</formula>
    </cfRule>
    <cfRule type="expression" dxfId="55" priority="12">
      <formula>OR($U1="北海道",$U1="青森",$U1="秋田",$U1="岩手",$U1="山形",$U1="宮城",$U1="福島")</formula>
    </cfRule>
  </conditionalFormatting>
  <hyperlinks>
    <hyperlink ref="E6" r:id="rId1" xr:uid="{30B4FE29-1223-44D4-80C3-49053F9CC5C3}"/>
    <hyperlink ref="G6" r:id="rId2" xr:uid="{B9E0EE0D-0C9D-4DD1-8E13-BA780D22F790}"/>
    <hyperlink ref="E7" r:id="rId3" xr:uid="{D0CB7483-698F-4706-A125-422C4AEF2F74}"/>
    <hyperlink ref="G7" r:id="rId4" xr:uid="{2A4C210E-2306-4A6E-BFA0-F5A30254414E}"/>
    <hyperlink ref="E8" r:id="rId5" xr:uid="{E907B426-C267-4557-91E6-881F41520395}"/>
    <hyperlink ref="G8" r:id="rId6" xr:uid="{4C3C0F06-7B60-49B3-AAAD-4EFF7E0B05EB}"/>
    <hyperlink ref="E9" r:id="rId7" xr:uid="{064810FE-3126-4AEB-A36A-B50B71825869}"/>
    <hyperlink ref="G9" r:id="rId8" xr:uid="{BB56564B-0DC6-47F8-BE8B-B49B09A9A9FF}"/>
    <hyperlink ref="E10" r:id="rId9" xr:uid="{4D13C60B-47D8-4C46-A8DE-5FD1819380CE}"/>
    <hyperlink ref="G10" r:id="rId10" xr:uid="{F50C224E-F575-4CB3-982C-B0F100B23839}"/>
    <hyperlink ref="E11" r:id="rId11" xr:uid="{EEC3B6F4-00AB-4E93-B092-4431674BD713}"/>
    <hyperlink ref="G11" r:id="rId12" xr:uid="{26216FCC-EB34-4A8C-AC10-488C8F76062F}"/>
    <hyperlink ref="E12" r:id="rId13" xr:uid="{FF5F0707-3548-46D0-9B2D-15D37FB60795}"/>
    <hyperlink ref="G12" r:id="rId14" xr:uid="{90962E9E-1B7C-482C-AC00-6F62EDD2DFD4}"/>
    <hyperlink ref="E13" r:id="rId15" xr:uid="{323CDC0B-F67E-4B46-94BE-1D5040CC2CC8}"/>
    <hyperlink ref="G13" r:id="rId16" xr:uid="{916F673F-31A5-4BBE-B914-59B3F97ED16D}"/>
    <hyperlink ref="E14" r:id="rId17" xr:uid="{B963AE86-75A6-4DB1-8005-716CAB2F1C02}"/>
    <hyperlink ref="G14" r:id="rId18" xr:uid="{2C4035D0-33E4-4AF6-ACFE-AEBF5F18A609}"/>
    <hyperlink ref="E15" r:id="rId19" xr:uid="{8BDB1F33-4989-41E4-9D6D-630107EEA115}"/>
    <hyperlink ref="G15" r:id="rId20" xr:uid="{B78D2B35-8533-480F-90AC-5AC5B45B39B9}"/>
    <hyperlink ref="E16" r:id="rId21" xr:uid="{1FC3367F-45FA-4E10-B2C0-1411276AA3C3}"/>
    <hyperlink ref="G16" r:id="rId22" xr:uid="{516A9371-3C72-4D41-8F82-863EC38327B5}"/>
    <hyperlink ref="E17" r:id="rId23" xr:uid="{FF13252A-2B09-473E-8736-CB0CA1B716F1}"/>
    <hyperlink ref="G17" r:id="rId24" xr:uid="{34B729C9-50E9-414C-A9B2-403816F6F5B3}"/>
    <hyperlink ref="E18" r:id="rId25" xr:uid="{3D7A016E-A782-4A53-9924-52B9D9007C3B}"/>
    <hyperlink ref="G18" r:id="rId26" xr:uid="{04795B9A-BDFF-428A-BED3-886AA4A18413}"/>
    <hyperlink ref="E19" r:id="rId27" xr:uid="{55D6F8E6-0A27-4E25-828E-7363358EF9F0}"/>
    <hyperlink ref="G19" r:id="rId28" xr:uid="{10487436-6B4C-468D-9B4F-DFBD16D65CA9}"/>
    <hyperlink ref="E20" r:id="rId29" xr:uid="{B6E32FA7-28BE-4396-BA4E-1283542EACB7}"/>
    <hyperlink ref="G20" r:id="rId30" xr:uid="{8CAF263C-BB29-47CC-9357-CE13A625AC11}"/>
    <hyperlink ref="E21" r:id="rId31" xr:uid="{3FC8F0C9-401E-4FA4-A43B-6AE6269BDE9D}"/>
    <hyperlink ref="G21" r:id="rId32" xr:uid="{B66F5CE1-CCAF-489D-B395-DA26EC36A76F}"/>
    <hyperlink ref="E22" r:id="rId33" xr:uid="{1485ADFA-07FD-4575-A8AF-BBF27F2566AE}"/>
    <hyperlink ref="G22" r:id="rId34" xr:uid="{9E18159D-317C-4C7D-BD6F-480C500A69BA}"/>
    <hyperlink ref="E23" r:id="rId35" xr:uid="{B42C4A41-5C41-4EBE-9E6D-510CA009A8B6}"/>
    <hyperlink ref="G23" r:id="rId36" xr:uid="{7DF64FCE-6589-4580-8317-F7657C34188B}"/>
    <hyperlink ref="E24" r:id="rId37" xr:uid="{3F454E3F-4E51-460D-B7BB-89B229EED781}"/>
    <hyperlink ref="G24" r:id="rId38" xr:uid="{A66FE72A-B9BB-4FC1-8FA0-CEE7C6B2D2FE}"/>
    <hyperlink ref="E25" r:id="rId39" xr:uid="{F6E87EB3-2BE7-420A-BACE-BF98EF97C7FC}"/>
    <hyperlink ref="G25" r:id="rId40" xr:uid="{2561173D-AA8D-4ECB-9802-CBEDBA6E87CE}"/>
    <hyperlink ref="E26" r:id="rId41" xr:uid="{8E021BAC-3F66-4217-85D5-507CE2366145}"/>
    <hyperlink ref="G26" r:id="rId42" xr:uid="{FD79D689-CF74-40E5-B87C-84F1D7B9ADA6}"/>
    <hyperlink ref="E27" r:id="rId43" xr:uid="{03824B7F-DAFB-4021-BB09-44656BDC63DA}"/>
    <hyperlink ref="G27" r:id="rId44" xr:uid="{1186B436-2F2E-43DB-9352-A8B9599C75EE}"/>
    <hyperlink ref="E28" r:id="rId45" xr:uid="{166C93A1-D8D7-430E-991B-955A63DDFE79}"/>
    <hyperlink ref="G28" r:id="rId46" xr:uid="{9AAB195C-FAA0-4888-AE7E-A253783099DA}"/>
    <hyperlink ref="E29" r:id="rId47" xr:uid="{4C4E4809-98C5-46DA-A942-5CC3374E46B5}"/>
    <hyperlink ref="G29" r:id="rId48" xr:uid="{2DDF6536-1258-4D8C-9415-B3D7B1C88419}"/>
    <hyperlink ref="E30" r:id="rId49" xr:uid="{903E2B98-F334-4BDB-8395-8CE665EF92EA}"/>
    <hyperlink ref="G30" r:id="rId50" xr:uid="{0EF60CEC-5986-4B93-AA6E-E5C55463FB4B}"/>
    <hyperlink ref="E31" r:id="rId51" xr:uid="{72E6D685-AE02-4654-9BF9-238B0BCD3CE5}"/>
    <hyperlink ref="G31" r:id="rId52" xr:uid="{283DC16C-951B-4612-979F-A3DDA7A1988D}"/>
    <hyperlink ref="E32" r:id="rId53" xr:uid="{CFB5A512-24AF-49A2-9812-1D5B66248980}"/>
    <hyperlink ref="G32" r:id="rId54" xr:uid="{7E7F6DD6-712D-4D5F-B79C-E87300F9D528}"/>
    <hyperlink ref="E33" r:id="rId55" xr:uid="{6588EF4E-5F94-445F-B4F3-C1DD71DA0F61}"/>
    <hyperlink ref="G33" r:id="rId56" xr:uid="{06A0F3F7-B0D8-4883-A7C4-62B8F09AA734}"/>
    <hyperlink ref="E34" r:id="rId57" xr:uid="{5C2C1C4F-082C-4EE9-A9F9-F606C7062EF1}"/>
    <hyperlink ref="G34" r:id="rId58" xr:uid="{53CBB9C7-E6CD-425C-A2B5-B7750CFD4E07}"/>
    <hyperlink ref="E35" r:id="rId59" xr:uid="{BFC4B1A9-60BA-474E-B577-47686A144A90}"/>
    <hyperlink ref="G35" r:id="rId60" xr:uid="{6E8125C2-9CB2-4683-BE14-FC8B43955AF7}"/>
    <hyperlink ref="E36" r:id="rId61" xr:uid="{7E4CDB9A-0164-4EB5-A96F-68A81D81556C}"/>
    <hyperlink ref="G36" r:id="rId62" xr:uid="{BEE31B7D-2D56-4E80-99D6-17F8A98C5C22}"/>
    <hyperlink ref="E37" r:id="rId63" xr:uid="{DE2C675A-A3D4-442C-AE3D-03A29FB91B11}"/>
    <hyperlink ref="G37" r:id="rId64" xr:uid="{48404562-053D-4DDA-9413-7F43BEEDF07A}"/>
    <hyperlink ref="E38" r:id="rId65" xr:uid="{DB294579-0107-417B-B658-C19A9EFE32E3}"/>
    <hyperlink ref="G38" r:id="rId66" xr:uid="{8F4051F3-EE98-4E5A-B6F8-F3F15659D4CE}"/>
    <hyperlink ref="E39" r:id="rId67" xr:uid="{702F46BA-BA5E-46FA-BCB4-7490DF8E3AA5}"/>
    <hyperlink ref="G39" r:id="rId68" xr:uid="{A1900D3C-103C-47CE-AF5A-7E4DAC67AC93}"/>
    <hyperlink ref="E40" r:id="rId69" xr:uid="{ECCD2FCA-B43B-47CC-8297-8E48033A3251}"/>
    <hyperlink ref="G40" r:id="rId70" xr:uid="{141AA124-1D65-4B51-9166-BB2D519E8A26}"/>
    <hyperlink ref="E41" r:id="rId71" xr:uid="{A7EE665A-2861-45FA-9D52-4E2D3E4FBECB}"/>
    <hyperlink ref="G41" r:id="rId72" xr:uid="{0C77A1DA-997B-4B99-9CB0-EB63B161356C}"/>
    <hyperlink ref="E42" r:id="rId73" xr:uid="{918CD791-B8FE-4D0B-ACB2-404ADAF86DA8}"/>
    <hyperlink ref="G42" r:id="rId74" xr:uid="{5707DC38-E10D-434C-BCD9-FE1AEFFCE72C}"/>
    <hyperlink ref="E43" r:id="rId75" xr:uid="{65578F1B-3F42-4019-B005-A433493FA186}"/>
    <hyperlink ref="G43" r:id="rId76" xr:uid="{3EC85E13-DFFA-42E8-9D8A-DF0DEEACD670}"/>
    <hyperlink ref="E44" r:id="rId77" xr:uid="{54E78ABC-0157-43A8-82BC-9BEF78460201}"/>
    <hyperlink ref="G44" r:id="rId78" xr:uid="{1D90B9FC-5AAC-4355-AC41-C1FCAFEC461D}"/>
    <hyperlink ref="E45" r:id="rId79" xr:uid="{DD4DFFE8-D080-4C82-A144-C9F6685D2D79}"/>
    <hyperlink ref="G45" r:id="rId80" xr:uid="{46E1A055-93C7-400F-BE6E-6DD5FE989EBC}"/>
    <hyperlink ref="E46" r:id="rId81" xr:uid="{B6266103-5238-4FB0-88BE-B9E1FFCF0EBC}"/>
    <hyperlink ref="G46" r:id="rId82" xr:uid="{B3EC566F-CF28-4877-B656-8D1AC60AB329}"/>
    <hyperlink ref="E47" r:id="rId83" xr:uid="{4FAE2BAA-BD89-43C5-AD63-F4AD806F69B3}"/>
    <hyperlink ref="G47" r:id="rId84" xr:uid="{384F540D-4508-4AEC-AD56-5697DD2E5BD5}"/>
    <hyperlink ref="E48" r:id="rId85" xr:uid="{8905AFEB-DE5D-41F5-A76A-FC1824FD39EC}"/>
    <hyperlink ref="G48" r:id="rId86" xr:uid="{E39856AC-B54E-4DBE-B07C-C819F79CB86A}"/>
    <hyperlink ref="E49" r:id="rId87" xr:uid="{2CF61864-C38F-4E41-BE89-154550122B96}"/>
    <hyperlink ref="G49" r:id="rId88" xr:uid="{48B02654-6970-452C-BB1C-F3ACDD0773AF}"/>
    <hyperlink ref="E50" r:id="rId89" xr:uid="{FE9A1AA0-81E6-4A3B-A7DE-7F1771A46BDB}"/>
    <hyperlink ref="G50" r:id="rId90" xr:uid="{2C9A9F4E-079F-4390-99E6-D4EEB83EA684}"/>
    <hyperlink ref="E51" r:id="rId91" xr:uid="{62548D50-96EE-4788-8363-B4BAC4F08B3E}"/>
    <hyperlink ref="G51" r:id="rId92" xr:uid="{5736E376-6130-4324-B17F-D67A29744267}"/>
    <hyperlink ref="E52" r:id="rId93" xr:uid="{B983D9B7-1591-4249-8024-20AC20716DD9}"/>
    <hyperlink ref="G52" r:id="rId94" xr:uid="{7441D19B-8A5C-44A4-A78F-0AE785AED5F3}"/>
    <hyperlink ref="E53" r:id="rId95" xr:uid="{76C59C00-00BD-4D60-98FD-C1C70D981F65}"/>
    <hyperlink ref="G53" r:id="rId96" xr:uid="{463F7A9B-EC4A-4E27-9578-E083610ECF89}"/>
    <hyperlink ref="E54" r:id="rId97" xr:uid="{4B386508-E1C4-418B-8EE1-73DEE5751843}"/>
    <hyperlink ref="G54" r:id="rId98" xr:uid="{9D31F828-A900-4A21-927D-E0567F413742}"/>
    <hyperlink ref="E55" r:id="rId99" xr:uid="{2FD9B8B1-1E76-47AE-B9BC-329AC2B5A9F5}"/>
    <hyperlink ref="G55" r:id="rId100" xr:uid="{9E6925AF-C510-49EF-9BA4-20AC4DB8CFAC}"/>
    <hyperlink ref="E56" r:id="rId101" xr:uid="{53722625-E01D-4030-AF7A-E577F76DF435}"/>
    <hyperlink ref="G56" r:id="rId102" xr:uid="{06C2FD30-0985-4AA3-B4A7-DE1E25662D4F}"/>
    <hyperlink ref="E57" r:id="rId103" xr:uid="{DBEB0BC4-CB41-4C9E-BC7A-2F228416E554}"/>
    <hyperlink ref="G57" r:id="rId104" xr:uid="{52FC608B-4802-4736-9A94-B3311F64EBA9}"/>
    <hyperlink ref="E58" r:id="rId105" xr:uid="{18CA98B5-94E8-4067-8178-4CA791EE7F73}"/>
    <hyperlink ref="G58" r:id="rId106" xr:uid="{DA651483-01CA-4C9B-8418-20193C8A5B43}"/>
    <hyperlink ref="E59" r:id="rId107" xr:uid="{35E05557-B189-4B49-B790-E9DA35E4F514}"/>
    <hyperlink ref="G59" r:id="rId108" xr:uid="{D2F3DDC3-DF01-4644-A3D1-5E8F75674FE4}"/>
    <hyperlink ref="E60" r:id="rId109" xr:uid="{E3F2D3DD-62D6-480A-8538-EC962E92A094}"/>
    <hyperlink ref="G60" r:id="rId110" xr:uid="{B23E47DF-0D2E-46E2-A11D-24075033FDB4}"/>
    <hyperlink ref="E61" r:id="rId111" xr:uid="{6E2E1F67-671D-4596-BA68-69367D131907}"/>
    <hyperlink ref="G61" r:id="rId112" xr:uid="{0CC36590-1CFC-4EDC-A61D-5B19494EE0A1}"/>
    <hyperlink ref="E62" r:id="rId113" xr:uid="{083A1659-E2D5-42AD-9172-C207F9156F36}"/>
    <hyperlink ref="G62" r:id="rId114" xr:uid="{30B49694-1A23-4EFB-9C52-32A04C255D8C}"/>
    <hyperlink ref="E63" r:id="rId115" xr:uid="{0DE97675-F68D-462B-B83E-161375C5EF25}"/>
    <hyperlink ref="G63" r:id="rId116" xr:uid="{979E878F-261B-4315-94A5-50FA952F6432}"/>
    <hyperlink ref="E64" r:id="rId117" xr:uid="{D5EC7F95-B239-4CB7-B225-FA7E83AB634F}"/>
    <hyperlink ref="G64" r:id="rId118" xr:uid="{99BA0CAA-8DA4-4DB7-8951-D2E5AE92A849}"/>
    <hyperlink ref="E65" r:id="rId119" xr:uid="{23A2B447-1FC9-4AC1-B3B6-1EA3CF02BA84}"/>
    <hyperlink ref="G65" r:id="rId120" xr:uid="{64393162-BCEC-4740-89D0-E18740D25E4C}"/>
    <hyperlink ref="E66" r:id="rId121" xr:uid="{F321A59A-A049-49F2-8555-5752C2E46706}"/>
    <hyperlink ref="G66" r:id="rId122" xr:uid="{CC9DE7AF-EB72-4CF8-84C6-86AC13AE1764}"/>
    <hyperlink ref="E67" r:id="rId123" xr:uid="{DB775519-CCEA-4471-B4B1-B9F2EFC7A5AC}"/>
    <hyperlink ref="G67" r:id="rId124" xr:uid="{29008E29-387A-4C9E-A5A2-41B0AE387CF0}"/>
    <hyperlink ref="E68" r:id="rId125" xr:uid="{3E2D5DDC-CAA1-43B2-9601-96C777AE6604}"/>
    <hyperlink ref="G68" r:id="rId126" xr:uid="{1F93F4D0-29E6-4AF0-9127-BAD15ACC52E1}"/>
    <hyperlink ref="E69" r:id="rId127" xr:uid="{8613E06C-CDD9-4467-AF0B-DA771395CDB7}"/>
    <hyperlink ref="G69" r:id="rId128" xr:uid="{E741E062-85B9-4D91-AFB3-97D2E8280502}"/>
    <hyperlink ref="E70" r:id="rId129" xr:uid="{14269D1D-6E72-4900-8E45-2B5270687E3A}"/>
    <hyperlink ref="G70" r:id="rId130" xr:uid="{324E8AC1-AC3B-4893-AA6B-22B6FF30AE94}"/>
    <hyperlink ref="E71" r:id="rId131" xr:uid="{443A61C1-22E5-4E0A-9A50-769C99AC063A}"/>
    <hyperlink ref="G71" r:id="rId132" xr:uid="{0A00E162-0FF8-4E37-8739-A028F1201BEB}"/>
    <hyperlink ref="E72" r:id="rId133" xr:uid="{2CB09B10-34F9-4EC5-A894-7E67F4418D42}"/>
    <hyperlink ref="G72" r:id="rId134" xr:uid="{CB0FB544-5DD6-439E-BE9F-6AE2629DEE82}"/>
    <hyperlink ref="E73" r:id="rId135" xr:uid="{37020B75-9A20-4C32-AA58-19E8D166B80D}"/>
    <hyperlink ref="G73" r:id="rId136" xr:uid="{27BD1592-B215-4D46-BD72-B36A427B27EF}"/>
    <hyperlink ref="E74" r:id="rId137" xr:uid="{D4851D24-7FD8-446D-899E-AE121F2DB2DB}"/>
    <hyperlink ref="G74" r:id="rId138" xr:uid="{524887C6-9453-4183-9726-837ACC882923}"/>
    <hyperlink ref="E75" r:id="rId139" xr:uid="{7BA373B2-C017-4F2C-9D68-9F03AC20B1FD}"/>
    <hyperlink ref="G75" r:id="rId140" xr:uid="{A848C649-2183-419C-B73E-716008B91559}"/>
    <hyperlink ref="E76" r:id="rId141" xr:uid="{E9A2BD03-EC61-4610-8549-B0A754AF97CE}"/>
    <hyperlink ref="G76" r:id="rId142" xr:uid="{BB1281A6-DC71-45D5-B3EE-697BDFB54F0C}"/>
    <hyperlink ref="E77" r:id="rId143" xr:uid="{DD5AFD50-AB5D-496F-A6F7-77846BA1F2FA}"/>
    <hyperlink ref="G77" r:id="rId144" xr:uid="{9F78E4DB-36DE-48CE-A9C9-EB31FA6F2CB6}"/>
    <hyperlink ref="E78" r:id="rId145" xr:uid="{A80120F9-1E6D-4669-A22E-8E8DF4DA6736}"/>
    <hyperlink ref="G78" r:id="rId146" xr:uid="{2C58EA18-59F8-4E86-9715-30E429E9DEED}"/>
    <hyperlink ref="E79" r:id="rId147" xr:uid="{1306B3BA-16C6-455B-89F9-765EA5325B44}"/>
    <hyperlink ref="G79" r:id="rId148" xr:uid="{62F98619-02A6-4F75-964C-DE023C2A9D2F}"/>
    <hyperlink ref="E80" r:id="rId149" xr:uid="{C195971D-4F8C-47B8-A1BD-03A575218A1F}"/>
    <hyperlink ref="G80" r:id="rId150" xr:uid="{9990F887-00CB-4ED7-9723-B2C5479091F2}"/>
    <hyperlink ref="E81" r:id="rId151" xr:uid="{563CF0EB-59B9-4162-ACEF-DB2263844FDF}"/>
    <hyperlink ref="G81" r:id="rId152" xr:uid="{B85B6A44-7FF1-4925-9093-4936F2D5D41E}"/>
    <hyperlink ref="E82" r:id="rId153" xr:uid="{F0286DB4-8CFA-4153-9EED-BF66B5CC6B64}"/>
    <hyperlink ref="G82" r:id="rId154" xr:uid="{816F1018-A6AA-4CF6-8CF4-9D560B3504D4}"/>
    <hyperlink ref="E83" r:id="rId155" xr:uid="{FB7654E7-A779-4E3E-8FC5-68854291F762}"/>
    <hyperlink ref="G83" r:id="rId156" xr:uid="{2CA4C54F-5277-4445-9B0A-7DA0FF251B2F}"/>
    <hyperlink ref="E84" r:id="rId157" xr:uid="{7B7347D5-28F9-4B23-B2EE-726798B43197}"/>
    <hyperlink ref="G84" r:id="rId158" xr:uid="{9F56FCD7-980D-4381-A186-C4D00097548D}"/>
    <hyperlink ref="E85" r:id="rId159" xr:uid="{01016D6F-FC6D-4A4C-9E4B-BF8AA49B7ACB}"/>
    <hyperlink ref="G85" r:id="rId160" xr:uid="{6096811D-E189-430B-BEDE-D03E578514D8}"/>
    <hyperlink ref="E86" r:id="rId161" xr:uid="{917727A9-C556-498B-B5AA-012EFA1F205F}"/>
    <hyperlink ref="G86" r:id="rId162" xr:uid="{BBAB6293-FF22-46DA-AB8D-4F984D8D61C4}"/>
    <hyperlink ref="E87" r:id="rId163" xr:uid="{FFF4D0A6-AAC0-4251-8A3D-E653879D6750}"/>
    <hyperlink ref="G87" r:id="rId164" xr:uid="{5FCBC7F9-42AA-49DB-A1FA-F197CF833FF2}"/>
    <hyperlink ref="E88" r:id="rId165" xr:uid="{64DEB962-3AD6-4ECB-AF06-8F7630674040}"/>
    <hyperlink ref="G88" r:id="rId166" xr:uid="{B72ED42D-9378-4D1A-A0C6-3EF6DF5A93BB}"/>
    <hyperlink ref="E89" r:id="rId167" xr:uid="{2D6C6802-0858-4F77-B94F-C1D010B8E265}"/>
    <hyperlink ref="G89" r:id="rId168" xr:uid="{4BD6A009-BF4E-4ADB-95DE-CBA03D63B60B}"/>
    <hyperlink ref="E90" r:id="rId169" xr:uid="{8DCB1D2D-4EB8-4678-9DD8-D75E63644B5C}"/>
    <hyperlink ref="G90" r:id="rId170" xr:uid="{48624033-9B8E-49E7-839A-7BCA0095EE99}"/>
    <hyperlink ref="E91" r:id="rId171" xr:uid="{FADAA71A-86F3-4425-8CAC-9A310D44E697}"/>
    <hyperlink ref="G91" r:id="rId172" xr:uid="{4B70AA40-C4CD-4B77-974F-BA0531AD2EC5}"/>
    <hyperlink ref="E92" r:id="rId173" xr:uid="{7BE560B6-6713-47F7-8457-5BC3C2452E4D}"/>
    <hyperlink ref="G92" r:id="rId174" xr:uid="{722AD771-2E01-4CBD-8DD7-7A87EF402F51}"/>
    <hyperlink ref="E93" r:id="rId175" xr:uid="{648B142C-E5F1-4CB2-A712-AE2735BDFF5D}"/>
    <hyperlink ref="G93" r:id="rId176" xr:uid="{601E9238-FD91-4884-BA49-0DB68440AE65}"/>
    <hyperlink ref="E94" r:id="rId177" xr:uid="{7CC0ECDF-FD3E-478E-A410-E27164B457DD}"/>
    <hyperlink ref="G94" r:id="rId178" xr:uid="{3EE9DECE-3676-43C0-99F4-8174F5ABB05D}"/>
  </hyperlinks>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AA240"/>
  <sheetViews>
    <sheetView tabSelected="1" workbookViewId="0">
      <pane ySplit="3" topLeftCell="A4" activePane="bottomLeft" state="frozen"/>
      <selection pane="bottomLeft" activeCell="O5" sqref="O5"/>
    </sheetView>
  </sheetViews>
  <sheetFormatPr defaultColWidth="9" defaultRowHeight="16"/>
  <cols>
    <col min="1" max="1" width="2.6328125" style="511" customWidth="1"/>
    <col min="2" max="2" width="5.6328125" style="511" customWidth="1"/>
    <col min="3" max="3" width="5.6328125" style="33" customWidth="1"/>
    <col min="4" max="4" width="38.6328125" style="1" customWidth="1"/>
    <col min="14" max="14" width="10.6328125" style="511" customWidth="1"/>
  </cols>
  <sheetData>
    <row r="2" spans="1:27">
      <c r="H2" s="34"/>
    </row>
    <row r="3" spans="1:27">
      <c r="B3" s="80" t="s">
        <v>2043</v>
      </c>
      <c r="C3" s="35" t="s">
        <v>2044</v>
      </c>
      <c r="D3" s="36" t="s">
        <v>2045</v>
      </c>
      <c r="E3" s="40" t="s">
        <v>2046</v>
      </c>
      <c r="F3" s="36" t="s">
        <v>2047</v>
      </c>
      <c r="G3" s="36" t="s">
        <v>2048</v>
      </c>
      <c r="H3" s="34" t="s">
        <v>2049</v>
      </c>
      <c r="I3" s="36" t="s">
        <v>2050</v>
      </c>
      <c r="J3" s="36" t="s">
        <v>2051</v>
      </c>
      <c r="K3" s="36" t="s">
        <v>1689</v>
      </c>
      <c r="L3" s="36" t="s">
        <v>1690</v>
      </c>
      <c r="M3" s="1"/>
      <c r="N3" s="1"/>
      <c r="O3" s="1"/>
      <c r="P3" s="1"/>
      <c r="Q3" s="1"/>
      <c r="R3" s="1"/>
      <c r="S3" s="1"/>
      <c r="T3" s="1"/>
      <c r="U3" s="1"/>
      <c r="V3" s="1"/>
      <c r="W3" s="1"/>
      <c r="X3" s="1"/>
      <c r="Y3" s="1"/>
      <c r="Z3" s="1"/>
      <c r="AA3" s="1"/>
    </row>
    <row r="4" spans="1:27">
      <c r="C4" s="35"/>
      <c r="D4" s="81"/>
      <c r="E4" s="40"/>
      <c r="F4" s="36"/>
      <c r="G4" s="36"/>
      <c r="H4" s="34"/>
      <c r="I4" s="36"/>
      <c r="J4" s="36"/>
      <c r="K4" s="1"/>
      <c r="L4" s="1"/>
      <c r="M4" s="1"/>
      <c r="N4" s="1"/>
      <c r="P4" s="1"/>
      <c r="Q4" s="1"/>
      <c r="R4" s="1"/>
      <c r="S4" s="1"/>
      <c r="T4" s="1"/>
      <c r="U4" s="1"/>
      <c r="V4" s="1"/>
      <c r="W4" s="1"/>
      <c r="X4" s="1"/>
      <c r="Y4" s="1"/>
      <c r="Z4" s="1"/>
      <c r="AA4" s="1"/>
    </row>
    <row r="5" spans="1:27" s="79" customFormat="1" ht="15">
      <c r="B5" s="82" t="s">
        <v>24</v>
      </c>
      <c r="C5" s="83">
        <f>IF(B5&lt;&gt;"",COUNTIF(B5:$B$556,"〇"),"")</f>
        <v>214</v>
      </c>
      <c r="D5" s="42" t="s">
        <v>2078</v>
      </c>
      <c r="E5" s="85" t="str">
        <f>IF(ISERROR(_xlfn.XLOOKUP(D5,[1]購入者リスト!G:G,[1]購入者リスト!B:B,,0,1)),"",_xlfn.XLOOKUP(D5,[1]購入者リスト!G:G,[1]購入者リスト!B:B,,0,1))</f>
        <v/>
      </c>
      <c r="F5" s="86">
        <v>9</v>
      </c>
      <c r="G5" s="86">
        <v>1511</v>
      </c>
      <c r="H5" s="86">
        <v>891</v>
      </c>
      <c r="I5" s="86">
        <v>27</v>
      </c>
      <c r="J5" s="85" t="s">
        <v>17</v>
      </c>
      <c r="K5" s="87" t="s">
        <v>2079</v>
      </c>
      <c r="L5" s="88">
        <f>IF(K5&lt;&gt;"",COUNTIF(K:K,K5),"")</f>
        <v>5</v>
      </c>
      <c r="N5" s="512">
        <f>N7+1</f>
        <v>46116</v>
      </c>
      <c r="O5" s="513">
        <f>MAX($C:$C)</f>
        <v>214</v>
      </c>
    </row>
    <row r="6" spans="1:27" ht="15">
      <c r="A6"/>
      <c r="B6" s="82" t="s">
        <v>24</v>
      </c>
      <c r="C6" s="83">
        <f>IF(B6&lt;&gt;"",COUNTIF(B6:$B$556,"〇"),"")</f>
        <v>213</v>
      </c>
      <c r="D6" s="42" t="s">
        <v>3285</v>
      </c>
      <c r="E6" s="85" t="str">
        <f>IF(ISERROR(_xlfn.XLOOKUP(D6,[1]購入者リスト!G:G,[1]購入者リスト!B:B,,0,1)),"",_xlfn.XLOOKUP(D6,[1]購入者リスト!G:G,[1]購入者リスト!B:B,,0,1))</f>
        <v/>
      </c>
      <c r="F6" s="86">
        <v>2</v>
      </c>
      <c r="G6" s="86">
        <v>91</v>
      </c>
      <c r="H6" s="86">
        <v>1</v>
      </c>
      <c r="I6" s="86">
        <v>0</v>
      </c>
      <c r="J6" s="85" t="s">
        <v>24</v>
      </c>
      <c r="K6" s="87" t="s">
        <v>2116</v>
      </c>
      <c r="L6" s="88">
        <f>IF(K6&lt;&gt;"",COUNTIF(K:K,K6),"")</f>
        <v>11</v>
      </c>
      <c r="N6" s="512">
        <f t="shared" ref="N6" si="0">N7+1</f>
        <v>46116</v>
      </c>
      <c r="O6" s="513">
        <f>MAX($C:$C)</f>
        <v>214</v>
      </c>
      <c r="P6" s="79"/>
    </row>
    <row r="7" spans="1:27" s="79" customFormat="1" ht="15">
      <c r="B7" s="82" t="s">
        <v>24</v>
      </c>
      <c r="C7" s="83">
        <f>IF(B7&lt;&gt;"",COUNTIF(B7:$B$556,"〇"),"")</f>
        <v>212</v>
      </c>
      <c r="D7" s="42" t="s">
        <v>3271</v>
      </c>
      <c r="E7" s="85" t="str">
        <f>IF(ISERROR(_xlfn.XLOOKUP(D7,[1]購入者リスト!G:G,[1]購入者リスト!B:B,,0,1)),"",_xlfn.XLOOKUP(D7,[1]購入者リスト!G:G,[1]購入者リスト!B:B,,0,1))</f>
        <v/>
      </c>
      <c r="F7" s="86">
        <v>1</v>
      </c>
      <c r="G7" s="86">
        <v>1245</v>
      </c>
      <c r="H7" s="86">
        <v>0</v>
      </c>
      <c r="I7" s="86">
        <v>2</v>
      </c>
      <c r="J7" s="85" t="s">
        <v>17</v>
      </c>
      <c r="K7" s="87" t="s">
        <v>2057</v>
      </c>
      <c r="L7" s="88">
        <f>IF(K7&lt;&gt;"",COUNTIF(K:K,K7),"")</f>
        <v>72</v>
      </c>
      <c r="N7" s="512">
        <f t="shared" ref="N7:N11" si="1">N8+1</f>
        <v>46115</v>
      </c>
      <c r="O7" s="513">
        <f>MAX($C:$C)</f>
        <v>214</v>
      </c>
    </row>
    <row r="8" spans="1:27" s="79" customFormat="1" ht="15">
      <c r="B8" s="82" t="s">
        <v>24</v>
      </c>
      <c r="C8" s="83">
        <f>IF(B8&lt;&gt;"",COUNTIF(B8:$B$556,"〇"),"")</f>
        <v>211</v>
      </c>
      <c r="D8" s="42" t="s">
        <v>3272</v>
      </c>
      <c r="E8" s="85" t="str">
        <f>IF(ISERROR(_xlfn.XLOOKUP(D8,[1]購入者リスト!G:G,[1]購入者リスト!B:B,,0,1)),"",_xlfn.XLOOKUP(D8,[1]購入者リスト!G:G,[1]購入者リスト!B:B,,0,1))</f>
        <v/>
      </c>
      <c r="F8" s="86">
        <v>5</v>
      </c>
      <c r="G8" s="86">
        <v>11</v>
      </c>
      <c r="H8" s="86">
        <v>33</v>
      </c>
      <c r="I8" s="86">
        <v>1</v>
      </c>
      <c r="J8" s="85" t="s">
        <v>24</v>
      </c>
      <c r="K8" s="87" t="s">
        <v>2116</v>
      </c>
      <c r="L8" s="88">
        <f>IF(K8&lt;&gt;"",COUNTIF(K:K,K8),"")</f>
        <v>11</v>
      </c>
      <c r="N8" s="512">
        <f t="shared" si="1"/>
        <v>46114</v>
      </c>
      <c r="O8" s="513">
        <f>MAX($C:$C)</f>
        <v>214</v>
      </c>
    </row>
    <row r="9" spans="1:27" s="79" customFormat="1" ht="15">
      <c r="B9" s="82" t="s">
        <v>24</v>
      </c>
      <c r="C9" s="83">
        <f>IF(B9&lt;&gt;"",COUNTIF(B9:$B$556,"〇"),"")</f>
        <v>210</v>
      </c>
      <c r="D9" s="42" t="s">
        <v>3273</v>
      </c>
      <c r="E9" s="85" t="str">
        <f>IF(ISERROR(_xlfn.XLOOKUP(D9,[1]購入者リスト!G:G,[1]購入者リスト!B:B,,0,1)),"",_xlfn.XLOOKUP(D9,[1]購入者リスト!G:G,[1]購入者リスト!B:B,,0,1))</f>
        <v/>
      </c>
      <c r="F9" s="86">
        <v>8</v>
      </c>
      <c r="G9" s="86">
        <v>342</v>
      </c>
      <c r="H9" s="86">
        <v>292</v>
      </c>
      <c r="I9" s="86">
        <v>37</v>
      </c>
      <c r="J9" s="85" t="s">
        <v>24</v>
      </c>
      <c r="K9" s="87" t="s">
        <v>2140</v>
      </c>
      <c r="L9" s="88">
        <f>IF(K9&lt;&gt;"",COUNTIF(K:K,K9),"")</f>
        <v>6</v>
      </c>
      <c r="N9" s="512">
        <f t="shared" si="1"/>
        <v>46113</v>
      </c>
      <c r="O9" s="513">
        <f>MAX($C:$C)</f>
        <v>214</v>
      </c>
    </row>
    <row r="10" spans="1:27" s="79" customFormat="1" ht="15">
      <c r="B10" s="82" t="s">
        <v>24</v>
      </c>
      <c r="C10" s="83">
        <f>IF(B10&lt;&gt;"",COUNTIF(B10:$B$556,"〇"),"")</f>
        <v>209</v>
      </c>
      <c r="D10" s="42" t="s">
        <v>3274</v>
      </c>
      <c r="E10" s="85" t="str">
        <f>IF(ISERROR(_xlfn.XLOOKUP(D10,[1]購入者リスト!G:G,[1]購入者リスト!B:B,,0,1)),"",_xlfn.XLOOKUP(D10,[1]購入者リスト!G:G,[1]購入者リスト!B:B,,0,1))</f>
        <v/>
      </c>
      <c r="F10" s="86">
        <v>8</v>
      </c>
      <c r="G10" s="86">
        <v>298</v>
      </c>
      <c r="H10" s="86">
        <v>219</v>
      </c>
      <c r="I10" s="86">
        <v>13</v>
      </c>
      <c r="J10" s="85" t="s">
        <v>17</v>
      </c>
      <c r="K10" s="87" t="s">
        <v>3275</v>
      </c>
      <c r="L10" s="88">
        <f>IF(K10&lt;&gt;"",COUNTIF(K:K,K10),"")</f>
        <v>1</v>
      </c>
      <c r="N10" s="512">
        <f t="shared" si="1"/>
        <v>46112</v>
      </c>
      <c r="O10" s="513">
        <f>MAX($C:$C)</f>
        <v>214</v>
      </c>
    </row>
    <row r="11" spans="1:27" s="79" customFormat="1" ht="15">
      <c r="B11" s="82"/>
      <c r="C11" s="83" t="str">
        <f>IF(B11&lt;&gt;"",COUNTIF(B11:$B$556,"〇"),"")</f>
        <v/>
      </c>
      <c r="D11" s="42" t="s">
        <v>3276</v>
      </c>
      <c r="E11" s="85" t="str">
        <f>IF(ISERROR(_xlfn.XLOOKUP(D11,[1]購入者リスト!G:G,[1]購入者リスト!B:B,,0,1)),"",_xlfn.XLOOKUP(D11,[1]購入者リスト!G:G,[1]購入者リスト!B:B,,0,1))</f>
        <v/>
      </c>
      <c r="F11" s="86">
        <v>9</v>
      </c>
      <c r="G11" s="86">
        <v>1323</v>
      </c>
      <c r="H11" s="86">
        <v>763</v>
      </c>
      <c r="I11" s="86">
        <v>303</v>
      </c>
      <c r="J11" s="85" t="s">
        <v>17</v>
      </c>
      <c r="K11" s="87" t="s">
        <v>2055</v>
      </c>
      <c r="L11" s="88">
        <f>IF(K11&lt;&gt;"",COUNTIF(K:K,K11),"")</f>
        <v>9</v>
      </c>
      <c r="N11" s="512">
        <f t="shared" si="1"/>
        <v>46111</v>
      </c>
      <c r="O11" s="87">
        <v>215</v>
      </c>
    </row>
    <row r="12" spans="1:27" ht="15">
      <c r="A12" s="79"/>
      <c r="B12" s="82" t="s">
        <v>24</v>
      </c>
      <c r="C12" s="83">
        <f>IF(B12&lt;&gt;"",COUNTIF(B12:$B$556,"〇"),"")</f>
        <v>208</v>
      </c>
      <c r="D12" s="42" t="s">
        <v>3277</v>
      </c>
      <c r="E12" s="85" t="str">
        <f>IF(ISERROR(_xlfn.XLOOKUP(D12,[1]購入者リスト!G:G,[1]購入者リスト!B:B,,0,1)),"",_xlfn.XLOOKUP(D12,[1]購入者リスト!G:G,[1]購入者リスト!B:B,,0,1))</f>
        <v/>
      </c>
      <c r="F12" s="86">
        <v>1</v>
      </c>
      <c r="G12" s="86">
        <v>81</v>
      </c>
      <c r="H12" s="86">
        <v>0</v>
      </c>
      <c r="I12" s="86">
        <v>0</v>
      </c>
      <c r="J12" s="85" t="s">
        <v>17</v>
      </c>
      <c r="K12" s="87" t="s">
        <v>2057</v>
      </c>
      <c r="L12" s="88">
        <f>IF(K12&lt;&gt;"",COUNTIF(K:K,K12),"")</f>
        <v>72</v>
      </c>
      <c r="M12" s="79"/>
      <c r="N12" s="512">
        <f t="shared" ref="N12:N18" si="2">N13+1</f>
        <v>46110</v>
      </c>
      <c r="O12" s="87">
        <v>215</v>
      </c>
      <c r="P12" s="79"/>
    </row>
    <row r="13" spans="1:27" ht="15">
      <c r="A13" s="79"/>
      <c r="B13" s="82" t="s">
        <v>24</v>
      </c>
      <c r="C13" s="83">
        <f>IF(B13&lt;&gt;"",COUNTIF(B13:$B$556,"〇"),"")</f>
        <v>207</v>
      </c>
      <c r="D13" s="84" t="s">
        <v>3278</v>
      </c>
      <c r="E13" s="85" t="str">
        <f>IF(ISERROR(_xlfn.XLOOKUP(D13,[1]購入者リスト!G:G,[1]購入者リスト!B:B,,0,1)),"",_xlfn.XLOOKUP(D13,[1]購入者リスト!G:G,[1]購入者リスト!B:B,,0,1))</f>
        <v/>
      </c>
      <c r="F13" s="86">
        <v>5</v>
      </c>
      <c r="G13" s="86">
        <v>45</v>
      </c>
      <c r="H13" s="86">
        <v>28</v>
      </c>
      <c r="I13" s="86">
        <v>1</v>
      </c>
      <c r="J13" s="85" t="s">
        <v>17</v>
      </c>
      <c r="K13" s="87" t="s">
        <v>2065</v>
      </c>
      <c r="L13" s="88">
        <f>IF(K13&lt;&gt;"",COUNTIF(K:K,K13),"")</f>
        <v>3</v>
      </c>
      <c r="M13" s="79"/>
      <c r="N13" s="512">
        <f t="shared" si="2"/>
        <v>46109</v>
      </c>
      <c r="O13" s="87">
        <v>215</v>
      </c>
      <c r="P13" s="79"/>
    </row>
    <row r="14" spans="1:27" ht="15">
      <c r="A14" s="79"/>
      <c r="B14" s="82" t="s">
        <v>24</v>
      </c>
      <c r="C14" s="83">
        <f>IF(B14&lt;&gt;"",COUNTIF(B14:$B$556,"〇"),"")</f>
        <v>206</v>
      </c>
      <c r="D14" s="42" t="s">
        <v>3279</v>
      </c>
      <c r="E14" s="85" t="str">
        <f>IF(ISERROR(_xlfn.XLOOKUP(D14,[1]購入者リスト!G:G,[1]購入者リスト!B:B,,0,1)),"",_xlfn.XLOOKUP(D14,[1]購入者リスト!G:G,[1]購入者リスト!B:B,,0,1))</f>
        <v/>
      </c>
      <c r="F14" s="86">
        <v>9</v>
      </c>
      <c r="G14" s="86">
        <v>942</v>
      </c>
      <c r="H14" s="86">
        <v>549</v>
      </c>
      <c r="I14" s="86">
        <v>145</v>
      </c>
      <c r="J14" s="85" t="s">
        <v>24</v>
      </c>
      <c r="K14" s="87" t="s">
        <v>2079</v>
      </c>
      <c r="L14" s="88">
        <f>IF(K14&lt;&gt;"",COUNTIF(K:K,K14),"")</f>
        <v>5</v>
      </c>
      <c r="M14" s="79"/>
      <c r="N14" s="512">
        <f t="shared" si="2"/>
        <v>46108</v>
      </c>
      <c r="O14" s="87">
        <v>215</v>
      </c>
      <c r="P14" s="79"/>
    </row>
    <row r="15" spans="1:27" ht="15">
      <c r="A15" s="79"/>
      <c r="B15" s="82" t="s">
        <v>24</v>
      </c>
      <c r="C15" s="83">
        <f>IF(B15&lt;&gt;"",COUNTIF(B15:$B$556,"〇"),"")</f>
        <v>205</v>
      </c>
      <c r="D15" s="42" t="s">
        <v>3280</v>
      </c>
      <c r="E15" s="85" t="str">
        <f>IF(ISERROR(_xlfn.XLOOKUP(D15,[1]購入者リスト!G:G,[1]購入者リスト!B:B,,0,1)),"",_xlfn.XLOOKUP(D15,[1]購入者リスト!G:G,[1]購入者リスト!B:B,,0,1))</f>
        <v/>
      </c>
      <c r="F15" s="86">
        <v>1</v>
      </c>
      <c r="G15" s="86">
        <v>11</v>
      </c>
      <c r="H15" s="86">
        <v>0</v>
      </c>
      <c r="I15" s="86">
        <v>0</v>
      </c>
      <c r="J15" s="85" t="s">
        <v>17</v>
      </c>
      <c r="K15" s="87" t="s">
        <v>2057</v>
      </c>
      <c r="L15" s="88">
        <f>IF(K15&lt;&gt;"",COUNTIF(K:K,K15),"")</f>
        <v>72</v>
      </c>
      <c r="M15" s="79"/>
      <c r="N15" s="512">
        <f t="shared" si="2"/>
        <v>46107</v>
      </c>
      <c r="O15" s="87">
        <v>215</v>
      </c>
      <c r="P15" s="79"/>
    </row>
    <row r="16" spans="1:27" ht="15">
      <c r="A16" s="79"/>
      <c r="B16" s="82" t="s">
        <v>24</v>
      </c>
      <c r="C16" s="83">
        <f>IF(B16&lt;&gt;"",COUNTIF(B16:$B$556,"〇"),"")</f>
        <v>204</v>
      </c>
      <c r="D16" s="42" t="s">
        <v>3281</v>
      </c>
      <c r="E16" s="85" t="str">
        <f>IF(ISERROR(_xlfn.XLOOKUP(D16,[1]購入者リスト!G:G,[1]購入者リスト!B:B,,0,1)),"",_xlfn.XLOOKUP(D16,[1]購入者リスト!G:G,[1]購入者リスト!B:B,,0,1))</f>
        <v/>
      </c>
      <c r="F16" s="86">
        <v>5</v>
      </c>
      <c r="G16" s="86">
        <v>250</v>
      </c>
      <c r="H16" s="86">
        <v>49</v>
      </c>
      <c r="I16" s="86">
        <v>13</v>
      </c>
      <c r="J16" s="85" t="s">
        <v>24</v>
      </c>
      <c r="K16" s="87" t="s">
        <v>2098</v>
      </c>
      <c r="L16" s="88">
        <f>IF(K16&lt;&gt;"",COUNTIF(K:K,K16),"")</f>
        <v>8</v>
      </c>
      <c r="M16" s="79"/>
      <c r="N16" s="512">
        <f t="shared" si="2"/>
        <v>46106</v>
      </c>
      <c r="O16" s="87">
        <v>215</v>
      </c>
      <c r="P16" s="79"/>
    </row>
    <row r="17" spans="1:16" ht="15">
      <c r="A17" s="79"/>
      <c r="B17" s="82" t="s">
        <v>24</v>
      </c>
      <c r="C17" s="83">
        <f>IF(B17&lt;&gt;"",COUNTIF(B17:$B$556,"〇"),"")</f>
        <v>203</v>
      </c>
      <c r="D17" s="42" t="s">
        <v>3282</v>
      </c>
      <c r="E17" s="85" t="str">
        <f>IF(ISERROR(_xlfn.XLOOKUP(D17,[1]購入者リスト!G:G,[1]購入者リスト!B:B,,0,1)),"",_xlfn.XLOOKUP(D17,[1]購入者リスト!G:G,[1]購入者リスト!B:B,,0,1))</f>
        <v/>
      </c>
      <c r="F17" s="86">
        <v>2</v>
      </c>
      <c r="G17" s="86">
        <v>27</v>
      </c>
      <c r="H17" s="86">
        <v>3</v>
      </c>
      <c r="I17" s="86">
        <v>1</v>
      </c>
      <c r="J17" s="85" t="s">
        <v>24</v>
      </c>
      <c r="K17" s="87" t="s">
        <v>2062</v>
      </c>
      <c r="L17" s="88">
        <f>IF(K17&lt;&gt;"",COUNTIF(K:K,K17),"")</f>
        <v>21</v>
      </c>
      <c r="M17" s="79"/>
      <c r="N17" s="512">
        <f t="shared" si="2"/>
        <v>46105</v>
      </c>
      <c r="O17" s="87">
        <v>215</v>
      </c>
      <c r="P17" s="79"/>
    </row>
    <row r="18" spans="1:16" ht="15">
      <c r="A18" s="79"/>
      <c r="B18" s="82" t="s">
        <v>24</v>
      </c>
      <c r="C18" s="83">
        <f>IF(B18&lt;&gt;"",COUNTIF(B18:$B$556,"〇"),"")</f>
        <v>202</v>
      </c>
      <c r="D18" s="42" t="s">
        <v>3283</v>
      </c>
      <c r="E18" s="85" t="str">
        <f>IF(ISERROR(_xlfn.XLOOKUP(D18,[1]購入者リスト!G:G,[1]購入者リスト!B:B,,0,1)),"",_xlfn.XLOOKUP(D18,[1]購入者リスト!G:G,[1]購入者リスト!B:B,,0,1))</f>
        <v/>
      </c>
      <c r="F18" s="86">
        <v>9</v>
      </c>
      <c r="G18" s="86">
        <v>881</v>
      </c>
      <c r="H18" s="86">
        <v>829</v>
      </c>
      <c r="I18" s="86">
        <v>164</v>
      </c>
      <c r="J18" s="85" t="s">
        <v>24</v>
      </c>
      <c r="K18" s="87" t="s">
        <v>2090</v>
      </c>
      <c r="L18" s="88">
        <f>IF(K18&lt;&gt;"",COUNTIF(K:K,K18),"")</f>
        <v>8</v>
      </c>
      <c r="M18" s="79"/>
      <c r="N18" s="512">
        <f t="shared" si="2"/>
        <v>46104</v>
      </c>
      <c r="O18" s="87">
        <v>215</v>
      </c>
      <c r="P18" s="79"/>
    </row>
    <row r="19" spans="1:16" ht="15">
      <c r="A19" s="79"/>
      <c r="B19" s="82" t="s">
        <v>24</v>
      </c>
      <c r="C19" s="83">
        <f>IF(B19&lt;&gt;"",COUNTIF(B19:$B$556,"〇"),"")</f>
        <v>201</v>
      </c>
      <c r="D19" s="42" t="s">
        <v>3284</v>
      </c>
      <c r="E19" s="85" t="str">
        <f>IF(ISERROR(_xlfn.XLOOKUP(D19,[1]購入者リスト!G:G,[1]購入者リスト!B:B,,0,1)),"",_xlfn.XLOOKUP(D19,[1]購入者リスト!G:G,[1]購入者リスト!B:B,,0,1))</f>
        <v/>
      </c>
      <c r="F19" s="86">
        <v>8</v>
      </c>
      <c r="G19" s="86">
        <v>618</v>
      </c>
      <c r="H19" s="86">
        <v>215</v>
      </c>
      <c r="I19" s="86">
        <v>10</v>
      </c>
      <c r="J19" s="85" t="s">
        <v>24</v>
      </c>
      <c r="K19" s="87" t="s">
        <v>2060</v>
      </c>
      <c r="L19" s="88">
        <f>IF(K19&lt;&gt;"",COUNTIF(K:K,K19),"")</f>
        <v>12</v>
      </c>
      <c r="M19" s="79"/>
      <c r="N19" s="512">
        <f t="shared" ref="N19:N50" si="3">N20+1</f>
        <v>46103</v>
      </c>
      <c r="O19" s="87">
        <v>215</v>
      </c>
      <c r="P19" s="79"/>
    </row>
    <row r="20" spans="1:16" ht="15">
      <c r="A20" s="79"/>
      <c r="B20" s="82" t="s">
        <v>24</v>
      </c>
      <c r="C20" s="83">
        <f>IF(B20&lt;&gt;"",COUNTIF(B20:$B$556,"〇"),"")</f>
        <v>200</v>
      </c>
      <c r="D20" s="42" t="s">
        <v>2103</v>
      </c>
      <c r="E20" s="85" t="str">
        <f>IF(ISERROR(_xlfn.XLOOKUP(D20,[1]購入者リスト!G:G,[1]購入者リスト!B:B,,0,1)),"",_xlfn.XLOOKUP(D20,[1]購入者リスト!G:G,[1]購入者リスト!B:B,,0,1))</f>
        <v/>
      </c>
      <c r="F20" s="86">
        <v>8</v>
      </c>
      <c r="G20" s="86">
        <v>720</v>
      </c>
      <c r="H20" s="86">
        <v>478</v>
      </c>
      <c r="I20" s="86">
        <v>63</v>
      </c>
      <c r="J20" s="85" t="s">
        <v>17</v>
      </c>
      <c r="K20" s="87" t="s">
        <v>2053</v>
      </c>
      <c r="L20" s="88">
        <f>IF(K20&lt;&gt;"",COUNTIF(K:K,K20),"")</f>
        <v>13</v>
      </c>
      <c r="M20" s="79"/>
      <c r="N20" s="512">
        <f t="shared" si="3"/>
        <v>46102</v>
      </c>
      <c r="O20" s="87">
        <v>215</v>
      </c>
      <c r="P20" s="79"/>
    </row>
    <row r="21" spans="1:16" ht="15">
      <c r="A21" s="79"/>
      <c r="B21" s="82" t="s">
        <v>24</v>
      </c>
      <c r="C21" s="83">
        <f>IF(B21&lt;&gt;"",COUNTIF(B21:$B$556,"〇"),"")</f>
        <v>199</v>
      </c>
      <c r="D21" s="42" t="s">
        <v>3286</v>
      </c>
      <c r="E21" s="85" t="str">
        <f>IF(ISERROR(_xlfn.XLOOKUP(D21,[1]購入者リスト!G:G,[1]購入者リスト!B:B,,0,1)),"",_xlfn.XLOOKUP(D21,[1]購入者リスト!G:G,[1]購入者リスト!B:B,,0,1))</f>
        <v/>
      </c>
      <c r="F21" s="86">
        <v>7</v>
      </c>
      <c r="G21" s="86">
        <v>215</v>
      </c>
      <c r="H21" s="86">
        <v>170</v>
      </c>
      <c r="I21" s="86">
        <v>4</v>
      </c>
      <c r="J21" s="85" t="s">
        <v>17</v>
      </c>
      <c r="K21" s="87" t="s">
        <v>2062</v>
      </c>
      <c r="L21" s="88">
        <f>IF(K21&lt;&gt;"",COUNTIF(K:K,K21),"")</f>
        <v>21</v>
      </c>
      <c r="M21" s="79"/>
      <c r="N21" s="512">
        <f t="shared" si="3"/>
        <v>46101</v>
      </c>
      <c r="O21" s="87">
        <v>215</v>
      </c>
      <c r="P21" s="79"/>
    </row>
    <row r="22" spans="1:16" s="79" customFormat="1" ht="15">
      <c r="B22" s="82" t="s">
        <v>24</v>
      </c>
      <c r="C22" s="83">
        <f>IF(B22&lt;&gt;"",COUNTIF(B22:$B$556,"〇"),"")</f>
        <v>198</v>
      </c>
      <c r="D22" s="42" t="s">
        <v>3287</v>
      </c>
      <c r="E22" s="85" t="str">
        <f>IF(ISERROR(_xlfn.XLOOKUP(D22,[1]購入者リスト!G:G,[1]購入者リスト!B:B,,0,1)),"",_xlfn.XLOOKUP(D22,[1]購入者リスト!G:G,[1]購入者リスト!B:B,,0,1))</f>
        <v/>
      </c>
      <c r="F22" s="86">
        <v>1</v>
      </c>
      <c r="G22" s="86">
        <v>239</v>
      </c>
      <c r="H22" s="86">
        <v>0</v>
      </c>
      <c r="I22" s="86">
        <v>1</v>
      </c>
      <c r="J22" s="85" t="s">
        <v>17</v>
      </c>
      <c r="K22" s="87" t="s">
        <v>2057</v>
      </c>
      <c r="L22" s="88">
        <f>IF(K22&lt;&gt;"",COUNTIF(K:K,K22),"")</f>
        <v>72</v>
      </c>
      <c r="N22" s="512">
        <f t="shared" si="3"/>
        <v>46100</v>
      </c>
      <c r="O22" s="87">
        <v>215</v>
      </c>
    </row>
    <row r="23" spans="1:16" s="79" customFormat="1" ht="15">
      <c r="B23" s="82" t="s">
        <v>24</v>
      </c>
      <c r="C23" s="83">
        <f>IF(B23&lt;&gt;"",COUNTIF(B23:$B$556,"〇"),"")</f>
        <v>197</v>
      </c>
      <c r="D23" s="42" t="s">
        <v>3288</v>
      </c>
      <c r="E23" s="85" t="str">
        <f>IF(ISERROR(_xlfn.XLOOKUP(D23,[1]購入者リスト!G:G,[1]購入者リスト!B:B,,0,1)),"",_xlfn.XLOOKUP(D23,[1]購入者リスト!G:G,[1]購入者リスト!B:B,,0,1))</f>
        <v/>
      </c>
      <c r="F23" s="86">
        <v>9</v>
      </c>
      <c r="G23" s="86">
        <v>802</v>
      </c>
      <c r="H23" s="86">
        <v>636</v>
      </c>
      <c r="I23" s="86">
        <v>65</v>
      </c>
      <c r="J23" s="85" t="s">
        <v>24</v>
      </c>
      <c r="K23" s="87" t="s">
        <v>2183</v>
      </c>
      <c r="L23" s="88">
        <f>IF(K23&lt;&gt;"",COUNTIF(K:K,K23),"")</f>
        <v>3</v>
      </c>
      <c r="N23" s="512">
        <f t="shared" si="3"/>
        <v>46099</v>
      </c>
      <c r="O23" s="87">
        <v>216</v>
      </c>
    </row>
    <row r="24" spans="1:16" s="79" customFormat="1" ht="15">
      <c r="B24" s="82"/>
      <c r="C24" s="83" t="str">
        <f>IF(B24&lt;&gt;"",COUNTIF(B24:$B$556,"〇"),"")</f>
        <v/>
      </c>
      <c r="D24" s="42" t="s">
        <v>3289</v>
      </c>
      <c r="E24" s="85" t="str">
        <f>IF(ISERROR(_xlfn.XLOOKUP(D24,[1]購入者リスト!G:G,[1]購入者リスト!B:B,,0,1)),"",_xlfn.XLOOKUP(D24,[1]購入者リスト!G:G,[1]購入者リスト!B:B,,0,1))</f>
        <v/>
      </c>
      <c r="F24" s="86">
        <v>6</v>
      </c>
      <c r="G24" s="86">
        <v>414</v>
      </c>
      <c r="H24" s="86">
        <v>81</v>
      </c>
      <c r="I24" s="86">
        <v>6</v>
      </c>
      <c r="J24" s="85" t="s">
        <v>24</v>
      </c>
      <c r="K24" s="87" t="s">
        <v>2062</v>
      </c>
      <c r="L24" s="88">
        <f>IF(K24&lt;&gt;"",COUNTIF(K:K,K24),"")</f>
        <v>21</v>
      </c>
      <c r="N24" s="512">
        <f t="shared" si="3"/>
        <v>46098</v>
      </c>
      <c r="O24" s="87">
        <v>217</v>
      </c>
    </row>
    <row r="25" spans="1:16" s="79" customFormat="1" ht="15">
      <c r="B25" s="82"/>
      <c r="C25" s="83" t="str">
        <f>IF(B25&lt;&gt;"",COUNTIF(B25:$B$556,"〇"),"")</f>
        <v/>
      </c>
      <c r="D25" s="42" t="s">
        <v>1717</v>
      </c>
      <c r="E25" s="85">
        <f>IF(ISERROR(_xlfn.XLOOKUP(D25,[1]購入者リスト!G:G,[1]購入者リスト!B:B,,0,1)),"",_xlfn.XLOOKUP(D25,[1]購入者リスト!G:G,[1]購入者リスト!B:B,,0,1))</f>
        <v>0</v>
      </c>
      <c r="F25" s="86">
        <v>6</v>
      </c>
      <c r="G25" s="86">
        <v>409</v>
      </c>
      <c r="H25" s="86">
        <v>83</v>
      </c>
      <c r="I25" s="86">
        <v>6</v>
      </c>
      <c r="J25" s="85" t="s">
        <v>17</v>
      </c>
      <c r="K25" s="87" t="s">
        <v>2069</v>
      </c>
      <c r="L25" s="88">
        <f>IF(K25&lt;&gt;"",COUNTIF(K:K,K25),"")</f>
        <v>6</v>
      </c>
      <c r="N25" s="512">
        <f t="shared" si="3"/>
        <v>46097</v>
      </c>
      <c r="O25" s="87">
        <v>217</v>
      </c>
    </row>
    <row r="26" spans="1:16" s="79" customFormat="1" ht="15">
      <c r="B26" s="82" t="s">
        <v>24</v>
      </c>
      <c r="C26" s="83">
        <f>IF(B26&lt;&gt;"",COUNTIF(B26:$B$556,"〇"),"")</f>
        <v>196</v>
      </c>
      <c r="D26" s="84" t="s">
        <v>3290</v>
      </c>
      <c r="E26" s="85" t="str">
        <f>IF(ISERROR(_xlfn.XLOOKUP(D26,[1]購入者リスト!G:G,[1]購入者リスト!B:B,,0,1)),"",_xlfn.XLOOKUP(D26,[1]購入者リスト!G:G,[1]購入者リスト!B:B,,0,1))</f>
        <v/>
      </c>
      <c r="F26" s="86">
        <v>1</v>
      </c>
      <c r="G26" s="86">
        <v>42</v>
      </c>
      <c r="H26" s="86">
        <v>0</v>
      </c>
      <c r="I26" s="86">
        <v>0</v>
      </c>
      <c r="J26" s="85" t="s">
        <v>17</v>
      </c>
      <c r="K26" s="87" t="s">
        <v>2057</v>
      </c>
      <c r="L26" s="88">
        <f>IF(K26&lt;&gt;"",COUNTIF(K:K,K26),"")</f>
        <v>72</v>
      </c>
      <c r="N26" s="512">
        <f t="shared" si="3"/>
        <v>46096</v>
      </c>
      <c r="O26" s="87">
        <v>217</v>
      </c>
    </row>
    <row r="27" spans="1:16" s="79" customFormat="1" ht="15">
      <c r="A27"/>
      <c r="B27" s="82" t="s">
        <v>24</v>
      </c>
      <c r="C27" s="83">
        <f>IF(B27&lt;&gt;"",COUNTIF(B27:$B$556,"〇"),"")</f>
        <v>195</v>
      </c>
      <c r="D27" s="42" t="s">
        <v>3291</v>
      </c>
      <c r="E27" s="85" t="str">
        <f>IF(ISERROR(_xlfn.XLOOKUP(D27,[1]購入者リスト!G:G,[1]購入者リスト!B:B,,0,1)),"",_xlfn.XLOOKUP(D27,[1]購入者リスト!G:G,[1]購入者リスト!B:B,,0,1))</f>
        <v/>
      </c>
      <c r="F27" s="86">
        <v>1</v>
      </c>
      <c r="G27" s="86">
        <v>2047</v>
      </c>
      <c r="H27" s="86">
        <v>0</v>
      </c>
      <c r="I27" s="86">
        <v>0</v>
      </c>
      <c r="J27" s="85" t="s">
        <v>24</v>
      </c>
      <c r="K27" s="87" t="s">
        <v>2057</v>
      </c>
      <c r="L27" s="88">
        <f>IF(K27&lt;&gt;"",COUNTIF(K:K,K27),"")</f>
        <v>72</v>
      </c>
      <c r="M27"/>
      <c r="N27" s="512">
        <f t="shared" si="3"/>
        <v>46095</v>
      </c>
      <c r="O27" s="87">
        <v>217</v>
      </c>
    </row>
    <row r="28" spans="1:16" ht="15">
      <c r="B28" s="82" t="s">
        <v>24</v>
      </c>
      <c r="C28" s="83">
        <f>IF(B28&lt;&gt;"",COUNTIF(B28:$B$556,"〇"),"")</f>
        <v>194</v>
      </c>
      <c r="D28" s="42" t="s">
        <v>3292</v>
      </c>
      <c r="E28" s="85" t="str">
        <f>IF(ISERROR(_xlfn.XLOOKUP(D28,[1]購入者リスト!G:G,[1]購入者リスト!B:B,,0,1)),"",_xlfn.XLOOKUP(D28,[1]購入者リスト!G:G,[1]購入者リスト!B:B,,0,1))</f>
        <v/>
      </c>
      <c r="F28" s="86">
        <v>9</v>
      </c>
      <c r="G28" s="86">
        <v>929</v>
      </c>
      <c r="H28" s="86">
        <v>567</v>
      </c>
      <c r="I28" s="86">
        <v>41</v>
      </c>
      <c r="J28" s="85" t="s">
        <v>24</v>
      </c>
      <c r="K28" s="87" t="s">
        <v>2116</v>
      </c>
      <c r="L28" s="88">
        <f>IF(K28&lt;&gt;"",COUNTIF(K:K,K28),"")</f>
        <v>11</v>
      </c>
      <c r="N28" s="512">
        <f t="shared" si="3"/>
        <v>46094</v>
      </c>
      <c r="O28" s="87">
        <v>217</v>
      </c>
      <c r="P28" s="79"/>
    </row>
    <row r="29" spans="1:16" ht="15">
      <c r="B29" s="82" t="s">
        <v>24</v>
      </c>
      <c r="C29" s="83">
        <f>IF(B29&lt;&gt;"",COUNTIF(B29:$B$556,"〇"),"")</f>
        <v>193</v>
      </c>
      <c r="D29" s="42" t="s">
        <v>3293</v>
      </c>
      <c r="E29" s="85" t="str">
        <f>IF(ISERROR(_xlfn.XLOOKUP(D29,[1]購入者リスト!G:G,[1]購入者リスト!B:B,,0,1)),"",_xlfn.XLOOKUP(D29,[1]購入者リスト!G:G,[1]購入者リスト!B:B,,0,1))</f>
        <v/>
      </c>
      <c r="F29" s="86">
        <v>1</v>
      </c>
      <c r="G29" s="86">
        <v>45</v>
      </c>
      <c r="H29" s="86">
        <v>0</v>
      </c>
      <c r="I29" s="86">
        <v>0</v>
      </c>
      <c r="J29" s="85" t="s">
        <v>24</v>
      </c>
      <c r="K29" s="87" t="s">
        <v>2062</v>
      </c>
      <c r="L29" s="88">
        <f>IF(K29&lt;&gt;"",COUNTIF(K:K,K29),"")</f>
        <v>21</v>
      </c>
      <c r="N29" s="512">
        <f t="shared" si="3"/>
        <v>46093</v>
      </c>
      <c r="O29" s="87">
        <v>215</v>
      </c>
      <c r="P29" s="79"/>
    </row>
    <row r="30" spans="1:16" ht="15">
      <c r="B30" s="82" t="s">
        <v>24</v>
      </c>
      <c r="C30" s="83">
        <f>IF(B30&lt;&gt;"",COUNTIF(B30:$B$556,"〇"),"")</f>
        <v>192</v>
      </c>
      <c r="D30" s="42" t="s">
        <v>2071</v>
      </c>
      <c r="E30" s="85" t="str">
        <f>IF(ISERROR(_xlfn.XLOOKUP(D30,[1]購入者リスト!G:G,[1]購入者リスト!B:B,,0,1)),"",_xlfn.XLOOKUP(D30,[1]購入者リスト!G:G,[1]購入者リスト!B:B,,0,1))</f>
        <v/>
      </c>
      <c r="F30" s="86">
        <v>9</v>
      </c>
      <c r="G30" s="86">
        <v>1712</v>
      </c>
      <c r="H30" s="86">
        <v>652</v>
      </c>
      <c r="I30" s="86">
        <v>83</v>
      </c>
      <c r="J30" s="85" t="s">
        <v>24</v>
      </c>
      <c r="K30" s="87" t="s">
        <v>2062</v>
      </c>
      <c r="L30" s="88">
        <f>IF(K30&lt;&gt;"",COUNTIF(K:K,K30),"")</f>
        <v>21</v>
      </c>
      <c r="N30" s="512">
        <f t="shared" si="3"/>
        <v>46092</v>
      </c>
      <c r="O30" s="87">
        <v>215</v>
      </c>
      <c r="P30" s="79"/>
    </row>
    <row r="31" spans="1:16" ht="15">
      <c r="A31" s="79"/>
      <c r="B31" s="82" t="s">
        <v>24</v>
      </c>
      <c r="C31" s="83">
        <f>IF(B31&lt;&gt;"",COUNTIF(B31:$B$556,"〇"),"")</f>
        <v>191</v>
      </c>
      <c r="D31" s="42" t="s">
        <v>3295</v>
      </c>
      <c r="E31" s="85" t="str">
        <f>IF(ISERROR(_xlfn.XLOOKUP(D31,[1]購入者リスト!G:G,[1]購入者リスト!B:B,,0,1)),"",_xlfn.XLOOKUP(D31,[1]購入者リスト!G:G,[1]購入者リスト!B:B,,0,1))</f>
        <v/>
      </c>
      <c r="F31" s="86">
        <v>1</v>
      </c>
      <c r="G31" s="86">
        <v>428</v>
      </c>
      <c r="H31" s="86">
        <v>274</v>
      </c>
      <c r="I31" s="86">
        <v>79</v>
      </c>
      <c r="J31" s="85" t="s">
        <v>24</v>
      </c>
      <c r="K31" s="87" t="s">
        <v>2140</v>
      </c>
      <c r="L31" s="88">
        <f>IF(K31&lt;&gt;"",COUNTIF(K:K,K31),"")</f>
        <v>6</v>
      </c>
      <c r="M31" s="79"/>
      <c r="N31" s="512">
        <f t="shared" si="3"/>
        <v>46091</v>
      </c>
      <c r="O31" s="87">
        <v>215</v>
      </c>
      <c r="P31" s="79"/>
    </row>
    <row r="32" spans="1:16" ht="15">
      <c r="A32" s="79"/>
      <c r="B32" s="82" t="s">
        <v>24</v>
      </c>
      <c r="C32" s="83">
        <f>IF(B32&lt;&gt;"",COUNTIF(B32:$B$556,"〇"),"")</f>
        <v>190</v>
      </c>
      <c r="D32" s="42" t="s">
        <v>3296</v>
      </c>
      <c r="E32" s="85" t="str">
        <f>IF(ISERROR(_xlfn.XLOOKUP(D32,[1]購入者リスト!G:G,[1]購入者リスト!B:B,,0,1)),"",_xlfn.XLOOKUP(D32,[1]購入者リスト!G:G,[1]購入者リスト!B:B,,0,1))</f>
        <v/>
      </c>
      <c r="F32" s="86">
        <v>1</v>
      </c>
      <c r="G32" s="86">
        <v>418</v>
      </c>
      <c r="H32" s="86">
        <v>0</v>
      </c>
      <c r="I32" s="86">
        <v>5</v>
      </c>
      <c r="J32" s="85" t="s">
        <v>17</v>
      </c>
      <c r="K32" s="87" t="s">
        <v>2057</v>
      </c>
      <c r="L32" s="88">
        <f>IF(K32&lt;&gt;"",COUNTIF(K:K,K32),"")</f>
        <v>72</v>
      </c>
      <c r="M32" s="79"/>
      <c r="N32" s="512">
        <f t="shared" si="3"/>
        <v>46090</v>
      </c>
      <c r="O32" s="87">
        <v>214</v>
      </c>
      <c r="P32" s="79"/>
    </row>
    <row r="33" spans="1:16" ht="15">
      <c r="A33" s="79"/>
      <c r="B33" s="82" t="s">
        <v>24</v>
      </c>
      <c r="C33" s="83">
        <f>IF(B33&lt;&gt;"",COUNTIF(B33:$B$556,"〇"),"")</f>
        <v>189</v>
      </c>
      <c r="D33" s="42" t="s">
        <v>3297</v>
      </c>
      <c r="E33" s="85" t="str">
        <f>IF(ISERROR(_xlfn.XLOOKUP(D33,[1]購入者リスト!G:G,[1]購入者リスト!B:B,,0,1)),"",_xlfn.XLOOKUP(D33,[1]購入者リスト!G:G,[1]購入者リスト!B:B,,0,1))</f>
        <v/>
      </c>
      <c r="F33" s="86">
        <v>1</v>
      </c>
      <c r="G33" s="86">
        <v>108</v>
      </c>
      <c r="H33" s="86">
        <v>0</v>
      </c>
      <c r="I33" s="86">
        <v>0</v>
      </c>
      <c r="J33" s="85" t="s">
        <v>17</v>
      </c>
      <c r="K33" s="87" t="s">
        <v>2057</v>
      </c>
      <c r="L33" s="88">
        <f>IF(K33&lt;&gt;"",COUNTIF(K:K,K33),"")</f>
        <v>72</v>
      </c>
      <c r="M33" s="79"/>
      <c r="N33" s="512">
        <f t="shared" si="3"/>
        <v>46089</v>
      </c>
      <c r="O33" s="87">
        <v>213</v>
      </c>
      <c r="P33" s="79"/>
    </row>
    <row r="34" spans="1:16">
      <c r="A34" s="79"/>
      <c r="B34" s="82" t="s">
        <v>24</v>
      </c>
      <c r="C34" s="83">
        <f>IF(B34&lt;&gt;"",COUNTIF(B34:$B$556,"〇"),"")</f>
        <v>188</v>
      </c>
      <c r="D34" s="42" t="s">
        <v>3298</v>
      </c>
      <c r="E34" s="85" t="str">
        <f>IF(ISERROR(_xlfn.XLOOKUP(D34,[1]購入者リスト!G:G,[1]購入者リスト!B:B,,0,1)),"",_xlfn.XLOOKUP(D34,[1]購入者リスト!G:G,[1]購入者リスト!B:B,,0,1))</f>
        <v/>
      </c>
      <c r="F34" s="86">
        <v>1</v>
      </c>
      <c r="G34" s="86">
        <v>440</v>
      </c>
      <c r="H34" s="86">
        <v>0</v>
      </c>
      <c r="I34" s="86">
        <v>0</v>
      </c>
      <c r="J34" s="85" t="s">
        <v>17</v>
      </c>
      <c r="K34" s="87" t="s">
        <v>2057</v>
      </c>
      <c r="L34" s="88">
        <f>IF(K34&lt;&gt;"",COUNTIF(K:K,K34),"")</f>
        <v>72</v>
      </c>
      <c r="M34" s="79"/>
      <c r="N34" s="512">
        <f t="shared" si="3"/>
        <v>46088</v>
      </c>
      <c r="O34" s="87">
        <v>212</v>
      </c>
      <c r="P34" s="1"/>
    </row>
    <row r="35" spans="1:16" ht="15">
      <c r="A35" s="79"/>
      <c r="B35" s="82" t="s">
        <v>24</v>
      </c>
      <c r="C35" s="83">
        <f>IF(B35&lt;&gt;"",COUNTIF(B35:$B$556,"〇"),"")</f>
        <v>187</v>
      </c>
      <c r="D35" s="42" t="s">
        <v>3299</v>
      </c>
      <c r="E35" s="85" t="str">
        <f>IF(ISERROR(_xlfn.XLOOKUP(D35,[1]購入者リスト!G:G,[1]購入者リスト!B:B,,0,1)),"",_xlfn.XLOOKUP(D35,[1]購入者リスト!G:G,[1]購入者リスト!B:B,,0,1))</f>
        <v/>
      </c>
      <c r="F35" s="86">
        <v>1</v>
      </c>
      <c r="G35" s="86">
        <v>77</v>
      </c>
      <c r="H35" s="86">
        <v>0</v>
      </c>
      <c r="I35" s="86">
        <v>2</v>
      </c>
      <c r="J35" s="85" t="s">
        <v>17</v>
      </c>
      <c r="K35" s="87" t="s">
        <v>2057</v>
      </c>
      <c r="L35" s="88">
        <f>IF(K35&lt;&gt;"",COUNTIF(K:K,K35),"")</f>
        <v>72</v>
      </c>
      <c r="M35" s="79"/>
      <c r="N35" s="512">
        <f t="shared" si="3"/>
        <v>46087</v>
      </c>
      <c r="O35" s="87">
        <v>213</v>
      </c>
    </row>
    <row r="36" spans="1:16" ht="15">
      <c r="A36" s="79"/>
      <c r="B36" s="82" t="s">
        <v>24</v>
      </c>
      <c r="C36" s="83">
        <f>IF(B36&lt;&gt;"",COUNTIF(B36:$B$556,"〇"),"")</f>
        <v>186</v>
      </c>
      <c r="D36" s="84" t="s">
        <v>3300</v>
      </c>
      <c r="E36" s="85" t="str">
        <f>IF(ISERROR(_xlfn.XLOOKUP(D36,[1]購入者リスト!G:G,[1]購入者リスト!B:B,,0,1)),"",_xlfn.XLOOKUP(D36,[1]購入者リスト!G:G,[1]購入者リスト!B:B,,0,1))</f>
        <v/>
      </c>
      <c r="F36" s="86">
        <v>1</v>
      </c>
      <c r="G36" s="86">
        <v>75</v>
      </c>
      <c r="H36" s="86">
        <v>0</v>
      </c>
      <c r="I36" s="86">
        <v>1</v>
      </c>
      <c r="J36" s="85" t="s">
        <v>17</v>
      </c>
      <c r="K36" s="87" t="s">
        <v>2057</v>
      </c>
      <c r="L36" s="88">
        <f>IF(K36&lt;&gt;"",COUNTIF(K:K,K36),"")</f>
        <v>72</v>
      </c>
      <c r="M36" s="79"/>
      <c r="N36" s="512">
        <f t="shared" si="3"/>
        <v>46086</v>
      </c>
      <c r="O36" s="87">
        <v>211</v>
      </c>
    </row>
    <row r="37" spans="1:16" ht="15">
      <c r="A37" s="79"/>
      <c r="B37" s="82" t="s">
        <v>24</v>
      </c>
      <c r="C37" s="83">
        <f>IF(B37&lt;&gt;"",COUNTIF(B37:$B$556,"〇"),"")</f>
        <v>185</v>
      </c>
      <c r="D37" s="42" t="s">
        <v>3301</v>
      </c>
      <c r="E37" s="85" t="str">
        <f>IF(ISERROR(_xlfn.XLOOKUP(D37,[1]購入者リスト!G:G,[1]購入者リスト!B:B,,0,1)),"",_xlfn.XLOOKUP(D37,[1]購入者リスト!G:G,[1]購入者リスト!B:B,,0,1))</f>
        <v/>
      </c>
      <c r="F37" s="86">
        <v>7</v>
      </c>
      <c r="G37" s="86">
        <v>286</v>
      </c>
      <c r="H37" s="86">
        <v>156</v>
      </c>
      <c r="I37" s="86">
        <v>0</v>
      </c>
      <c r="J37" s="85" t="s">
        <v>17</v>
      </c>
      <c r="K37" s="87" t="s">
        <v>2116</v>
      </c>
      <c r="L37" s="88">
        <f>IF(K37&lt;&gt;"",COUNTIF(K:K,K37),"")</f>
        <v>11</v>
      </c>
      <c r="M37" s="79"/>
      <c r="N37" s="512">
        <f t="shared" si="3"/>
        <v>46085</v>
      </c>
      <c r="O37" s="87">
        <v>211</v>
      </c>
    </row>
    <row r="38" spans="1:16" ht="15">
      <c r="A38" s="79"/>
      <c r="B38" s="82" t="s">
        <v>24</v>
      </c>
      <c r="C38" s="83">
        <f>IF(B38&lt;&gt;"",COUNTIF(B38:$B$556,"〇"),"")</f>
        <v>184</v>
      </c>
      <c r="D38" s="42" t="s">
        <v>3302</v>
      </c>
      <c r="E38" s="85" t="str">
        <f>IF(ISERROR(_xlfn.XLOOKUP(D38,[1]購入者リスト!G:G,[1]購入者リスト!B:B,,0,1)),"",_xlfn.XLOOKUP(D38,[1]購入者リスト!G:G,[1]購入者リスト!B:B,,0,1))</f>
        <v/>
      </c>
      <c r="F38" s="86">
        <v>9</v>
      </c>
      <c r="G38" s="86">
        <v>985</v>
      </c>
      <c r="H38" s="86">
        <v>533</v>
      </c>
      <c r="I38" s="86">
        <v>10</v>
      </c>
      <c r="J38" s="85" t="s">
        <v>17</v>
      </c>
      <c r="K38" s="87" t="s">
        <v>2121</v>
      </c>
      <c r="L38" s="88">
        <f>IF(K38&lt;&gt;"",COUNTIF(K:K,K38),"")</f>
        <v>2</v>
      </c>
      <c r="M38" s="79"/>
      <c r="N38" s="512">
        <f t="shared" si="3"/>
        <v>46084</v>
      </c>
      <c r="O38" s="87">
        <v>209</v>
      </c>
    </row>
    <row r="39" spans="1:16" ht="15">
      <c r="A39" s="79"/>
      <c r="B39" s="82" t="s">
        <v>24</v>
      </c>
      <c r="C39" s="83">
        <f>IF(B39&lt;&gt;"",COUNTIF(B39:$B$556,"〇"),"")</f>
        <v>183</v>
      </c>
      <c r="D39" s="84" t="s">
        <v>1693</v>
      </c>
      <c r="E39" s="85">
        <f>IF(ISERROR(_xlfn.XLOOKUP(D39,[1]購入者リスト!G:G,[1]購入者リスト!B:B,,0,1)),"",_xlfn.XLOOKUP(D39,[1]購入者リスト!G:G,[1]購入者リスト!B:B,,0,1))</f>
        <v>0</v>
      </c>
      <c r="F39" s="86">
        <v>8</v>
      </c>
      <c r="G39" s="86">
        <v>1830</v>
      </c>
      <c r="H39" s="86">
        <v>354</v>
      </c>
      <c r="I39" s="86">
        <v>78</v>
      </c>
      <c r="J39" s="85" t="s">
        <v>24</v>
      </c>
      <c r="K39" s="87" t="s">
        <v>2245</v>
      </c>
      <c r="L39" s="88">
        <f>IF(K39&lt;&gt;"",COUNTIF(K:K,K39),"")</f>
        <v>2</v>
      </c>
      <c r="M39" s="79"/>
      <c r="N39" s="512">
        <f t="shared" si="3"/>
        <v>46083</v>
      </c>
      <c r="O39" s="87">
        <v>209</v>
      </c>
    </row>
    <row r="40" spans="1:16" ht="15">
      <c r="A40" s="79"/>
      <c r="B40" s="82"/>
      <c r="C40" s="83" t="str">
        <f>IF(B40&lt;&gt;"",COUNTIF(B40:$B$556,"〇"),"")</f>
        <v/>
      </c>
      <c r="D40" s="42" t="s">
        <v>2214</v>
      </c>
      <c r="E40" s="85" t="str">
        <f>IF(ISERROR(_xlfn.XLOOKUP(D40,[1]購入者リスト!G:G,[1]購入者リスト!B:B,,0,1)),"",_xlfn.XLOOKUP(D40,[1]購入者リスト!G:G,[1]購入者リスト!B:B,,0,1))</f>
        <v/>
      </c>
      <c r="F40" s="86">
        <v>1</v>
      </c>
      <c r="G40" s="86">
        <v>99</v>
      </c>
      <c r="H40" s="86">
        <v>0</v>
      </c>
      <c r="I40" s="86">
        <v>1</v>
      </c>
      <c r="J40" s="85" t="s">
        <v>17</v>
      </c>
      <c r="K40" s="87" t="s">
        <v>2057</v>
      </c>
      <c r="L40" s="88">
        <f>IF(K40&lt;&gt;"",COUNTIF(K:K,K40),"")</f>
        <v>72</v>
      </c>
      <c r="M40" s="79"/>
      <c r="N40" s="512">
        <f t="shared" si="3"/>
        <v>46082</v>
      </c>
      <c r="O40" s="87">
        <v>208</v>
      </c>
    </row>
    <row r="41" spans="1:16" ht="15">
      <c r="A41" s="79"/>
      <c r="B41" s="82" t="s">
        <v>24</v>
      </c>
      <c r="C41" s="83">
        <f>IF(B41&lt;&gt;"",COUNTIF(B41:$B$556,"〇"),"")</f>
        <v>182</v>
      </c>
      <c r="D41" s="42" t="s">
        <v>3303</v>
      </c>
      <c r="E41" s="85" t="str">
        <f>IF(ISERROR(_xlfn.XLOOKUP(D41,[1]購入者リスト!G:G,[1]購入者リスト!B:B,,0,1)),"",_xlfn.XLOOKUP(D41,[1]購入者リスト!G:G,[1]購入者リスト!B:B,,0,1))</f>
        <v/>
      </c>
      <c r="F41" s="86">
        <v>1</v>
      </c>
      <c r="G41" s="86">
        <v>37</v>
      </c>
      <c r="H41" s="86">
        <v>0</v>
      </c>
      <c r="I41" s="86">
        <v>1</v>
      </c>
      <c r="J41" s="85" t="s">
        <v>17</v>
      </c>
      <c r="K41" s="87" t="s">
        <v>2057</v>
      </c>
      <c r="L41" s="88">
        <f>IF(K41&lt;&gt;"",COUNTIF(K:K,K41),"")</f>
        <v>72</v>
      </c>
      <c r="M41" s="79"/>
      <c r="N41" s="512">
        <f t="shared" si="3"/>
        <v>46081</v>
      </c>
      <c r="O41" s="87">
        <v>208</v>
      </c>
    </row>
    <row r="42" spans="1:16" s="79" customFormat="1" ht="15">
      <c r="B42" s="82" t="s">
        <v>24</v>
      </c>
      <c r="C42" s="83">
        <f>IF(B42&lt;&gt;"",COUNTIF(B42:$B$556,"〇"),"")</f>
        <v>181</v>
      </c>
      <c r="D42" s="84" t="s">
        <v>2052</v>
      </c>
      <c r="E42" s="85" t="str">
        <f>IF(ISERROR(_xlfn.XLOOKUP(D42,[1]購入者リスト!G:G,[1]購入者リスト!B:B,,0,1)),"",_xlfn.XLOOKUP(D42,[1]購入者リスト!G:G,[1]購入者リスト!B:B,,0,1))</f>
        <v/>
      </c>
      <c r="F42" s="86">
        <v>6</v>
      </c>
      <c r="G42" s="86">
        <v>304</v>
      </c>
      <c r="H42" s="86">
        <v>104</v>
      </c>
      <c r="I42" s="86">
        <v>3</v>
      </c>
      <c r="J42" s="85" t="s">
        <v>24</v>
      </c>
      <c r="K42" s="87" t="s">
        <v>2053</v>
      </c>
      <c r="L42" s="88">
        <f>IF(K42&lt;&gt;"",COUNTIF(K:K,K42),"")</f>
        <v>13</v>
      </c>
      <c r="N42" s="512">
        <f t="shared" si="3"/>
        <v>46080</v>
      </c>
      <c r="O42" s="87">
        <v>207</v>
      </c>
      <c r="P42" s="80" t="s">
        <v>3294</v>
      </c>
    </row>
    <row r="43" spans="1:16" ht="15">
      <c r="A43" s="79"/>
      <c r="B43" s="82"/>
      <c r="C43" s="83" t="str">
        <f>IF(B43&lt;&gt;"",COUNTIF(B43:$B$556,"〇"),"")</f>
        <v/>
      </c>
      <c r="D43" s="84" t="s">
        <v>2054</v>
      </c>
      <c r="E43" s="85" t="str">
        <f>IF(ISERROR(_xlfn.XLOOKUP(D43,[1]購入者リスト!G:G,[1]購入者リスト!B:B,,0,1)),"",_xlfn.XLOOKUP(D43,[1]購入者リスト!G:G,[1]購入者リスト!B:B,,0,1))</f>
        <v/>
      </c>
      <c r="F43" s="86">
        <v>7</v>
      </c>
      <c r="G43" s="86">
        <v>660</v>
      </c>
      <c r="H43" s="86">
        <v>166</v>
      </c>
      <c r="I43" s="86">
        <v>15</v>
      </c>
      <c r="J43" s="85" t="s">
        <v>24</v>
      </c>
      <c r="K43" s="87" t="s">
        <v>2055</v>
      </c>
      <c r="L43" s="88">
        <f>IF(K43&lt;&gt;"",COUNTIF(K:K,K43),"")</f>
        <v>9</v>
      </c>
      <c r="M43" s="79"/>
      <c r="N43" s="512">
        <f t="shared" si="3"/>
        <v>46079</v>
      </c>
      <c r="O43" s="87">
        <v>202</v>
      </c>
    </row>
    <row r="44" spans="1:16" ht="15">
      <c r="A44" s="79"/>
      <c r="B44" s="82"/>
      <c r="C44" s="83" t="str">
        <f>IF(B44&lt;&gt;"",COUNTIF(B44:$B$556,"〇"),"")</f>
        <v/>
      </c>
      <c r="D44" s="42" t="s">
        <v>2010</v>
      </c>
      <c r="E44" s="85">
        <f>IF(ISERROR(_xlfn.XLOOKUP(D44,[1]購入者リスト!G:G,[1]購入者リスト!B:B,,0,1)),"",_xlfn.XLOOKUP(D44,[1]購入者リスト!G:G,[1]購入者リスト!B:B,,0,1))</f>
        <v>0</v>
      </c>
      <c r="F44" s="86">
        <v>9</v>
      </c>
      <c r="G44" s="86">
        <v>3991</v>
      </c>
      <c r="H44" s="86">
        <v>647</v>
      </c>
      <c r="I44" s="86">
        <v>383</v>
      </c>
      <c r="J44" s="85" t="s">
        <v>24</v>
      </c>
      <c r="K44" s="87" t="s">
        <v>2055</v>
      </c>
      <c r="L44" s="88">
        <f>IF(K44&lt;&gt;"",COUNTIF(K:K,K44),"")</f>
        <v>9</v>
      </c>
      <c r="M44" s="79"/>
      <c r="N44" s="512">
        <f t="shared" si="3"/>
        <v>46078</v>
      </c>
      <c r="O44" s="87">
        <v>202</v>
      </c>
    </row>
    <row r="45" spans="1:16" ht="15">
      <c r="A45" s="79"/>
      <c r="B45" s="82" t="s">
        <v>24</v>
      </c>
      <c r="C45" s="83">
        <f>IF(B45&lt;&gt;"",COUNTIF(B45:$B$556,"〇"),"")</f>
        <v>180</v>
      </c>
      <c r="D45" s="42" t="s">
        <v>2056</v>
      </c>
      <c r="E45" s="85" t="str">
        <f>IF(ISERROR(_xlfn.XLOOKUP(D45,[1]購入者リスト!G:G,[1]購入者リスト!B:B,,0,1)),"",_xlfn.XLOOKUP(D45,[1]購入者リスト!G:G,[1]購入者リスト!B:B,,0,1))</f>
        <v/>
      </c>
      <c r="F45" s="86">
        <v>5</v>
      </c>
      <c r="G45" s="86">
        <v>125</v>
      </c>
      <c r="H45" s="86">
        <v>30</v>
      </c>
      <c r="I45" s="86">
        <v>11</v>
      </c>
      <c r="J45" s="85" t="s">
        <v>17</v>
      </c>
      <c r="K45" s="87" t="s">
        <v>2057</v>
      </c>
      <c r="L45" s="88">
        <f>IF(K45&lt;&gt;"",COUNTIF(K:K,K45),"")</f>
        <v>72</v>
      </c>
      <c r="M45" s="79"/>
      <c r="N45" s="512">
        <f t="shared" si="3"/>
        <v>46077</v>
      </c>
      <c r="O45" s="87">
        <v>202</v>
      </c>
    </row>
    <row r="46" spans="1:16" ht="15">
      <c r="A46" s="79"/>
      <c r="B46" s="82" t="s">
        <v>24</v>
      </c>
      <c r="C46" s="83">
        <f>IF(B46&lt;&gt;"",COUNTIF(B46:$B$556,"〇"),"")</f>
        <v>179</v>
      </c>
      <c r="D46" s="42" t="s">
        <v>2058</v>
      </c>
      <c r="E46" s="85" t="str">
        <f>IF(ISERROR(_xlfn.XLOOKUP(D46,[1]購入者リスト!G:G,[1]購入者リスト!B:B,,0,1)),"",_xlfn.XLOOKUP(D46,[1]購入者リスト!G:G,[1]購入者リスト!B:B,,0,1))</f>
        <v/>
      </c>
      <c r="F46" s="86">
        <v>2</v>
      </c>
      <c r="G46" s="86">
        <v>357</v>
      </c>
      <c r="H46" s="86">
        <v>2</v>
      </c>
      <c r="I46" s="86">
        <v>0</v>
      </c>
      <c r="J46" s="85" t="s">
        <v>17</v>
      </c>
      <c r="K46" s="87" t="s">
        <v>2057</v>
      </c>
      <c r="L46" s="88">
        <f>IF(K46&lt;&gt;"",COUNTIF(K:K,K46),"")</f>
        <v>72</v>
      </c>
      <c r="M46" s="79"/>
      <c r="N46" s="512">
        <f t="shared" si="3"/>
        <v>46076</v>
      </c>
      <c r="O46" s="87">
        <v>202</v>
      </c>
      <c r="P46" s="79"/>
    </row>
    <row r="47" spans="1:16" ht="15">
      <c r="A47" s="79"/>
      <c r="B47" s="82" t="s">
        <v>24</v>
      </c>
      <c r="C47" s="83">
        <f>IF(B47&lt;&gt;"",COUNTIF(B47:$B$556,"〇"),"")</f>
        <v>178</v>
      </c>
      <c r="D47" s="42" t="s">
        <v>2059</v>
      </c>
      <c r="E47" s="85">
        <f>IF(ISERROR(_xlfn.XLOOKUP(D47,[1]購入者リスト!G:G,[1]購入者リスト!B:B,,0,1)),"",_xlfn.XLOOKUP(D47,[1]購入者リスト!G:G,[1]購入者リスト!B:B,,0,1))</f>
        <v>0</v>
      </c>
      <c r="F47" s="86">
        <v>7</v>
      </c>
      <c r="G47" s="86">
        <v>161</v>
      </c>
      <c r="H47" s="86">
        <v>108</v>
      </c>
      <c r="I47" s="86">
        <v>18</v>
      </c>
      <c r="J47" s="85" t="s">
        <v>24</v>
      </c>
      <c r="K47" s="87" t="s">
        <v>2060</v>
      </c>
      <c r="L47" s="88">
        <f>IF(K47&lt;&gt;"",COUNTIF(K:K,K47),"")</f>
        <v>12</v>
      </c>
      <c r="M47" s="79"/>
      <c r="N47" s="512">
        <f t="shared" si="3"/>
        <v>46075</v>
      </c>
      <c r="O47" s="87">
        <v>201</v>
      </c>
      <c r="P47" s="79"/>
    </row>
    <row r="48" spans="1:16" ht="15">
      <c r="A48"/>
      <c r="B48" s="82" t="s">
        <v>24</v>
      </c>
      <c r="C48" s="83">
        <f>IF(B48&lt;&gt;"",COUNTIF(B48:$B$556,"〇"),"")</f>
        <v>177</v>
      </c>
      <c r="D48" s="42" t="s">
        <v>2061</v>
      </c>
      <c r="E48" s="85" t="str">
        <f>IF(ISERROR(_xlfn.XLOOKUP(D48,[1]購入者リスト!G:G,[1]購入者リスト!B:B,,0,1)),"",_xlfn.XLOOKUP(D48,[1]購入者リスト!G:G,[1]購入者リスト!B:B,,0,1))</f>
        <v/>
      </c>
      <c r="F48" s="86">
        <v>7</v>
      </c>
      <c r="G48" s="86">
        <v>228</v>
      </c>
      <c r="H48" s="86">
        <v>110</v>
      </c>
      <c r="I48" s="86">
        <v>15</v>
      </c>
      <c r="J48" s="85" t="s">
        <v>24</v>
      </c>
      <c r="K48" s="87" t="s">
        <v>2062</v>
      </c>
      <c r="L48" s="88">
        <f>IF(K48&lt;&gt;"",COUNTIF(K:K,K48),"")</f>
        <v>21</v>
      </c>
      <c r="N48" s="512">
        <f t="shared" si="3"/>
        <v>46074</v>
      </c>
      <c r="O48" s="87">
        <v>201</v>
      </c>
      <c r="P48" s="79"/>
    </row>
    <row r="49" spans="1:16" ht="15">
      <c r="B49" s="82" t="s">
        <v>24</v>
      </c>
      <c r="C49" s="83">
        <f>IF(B49&lt;&gt;"",COUNTIF(B49:$B$556,"〇"),"")</f>
        <v>176</v>
      </c>
      <c r="D49" s="42" t="s">
        <v>2063</v>
      </c>
      <c r="E49" s="85" t="str">
        <f>IF(ISERROR(_xlfn.XLOOKUP(D49,[1]購入者リスト!G:G,[1]購入者リスト!B:B,,0,1)),"",_xlfn.XLOOKUP(D49,[1]購入者リスト!G:G,[1]購入者リスト!B:B,,0,1))</f>
        <v/>
      </c>
      <c r="F49" s="86">
        <v>9</v>
      </c>
      <c r="G49" s="86">
        <v>1364</v>
      </c>
      <c r="H49" s="86">
        <v>727</v>
      </c>
      <c r="I49" s="86">
        <v>53</v>
      </c>
      <c r="J49" s="85" t="s">
        <v>17</v>
      </c>
      <c r="K49" s="87" t="s">
        <v>2060</v>
      </c>
      <c r="L49" s="88">
        <f>IF(K49&lt;&gt;"",COUNTIF(K:K,K49),"")</f>
        <v>12</v>
      </c>
      <c r="N49" s="512">
        <f t="shared" si="3"/>
        <v>46073</v>
      </c>
      <c r="O49" s="87">
        <v>201</v>
      </c>
      <c r="P49" s="79"/>
    </row>
    <row r="50" spans="1:16" ht="15">
      <c r="B50" s="82" t="s">
        <v>24</v>
      </c>
      <c r="C50" s="83">
        <f>IF(B50&lt;&gt;"",COUNTIF(B50:$B$556,"〇"),"")</f>
        <v>175</v>
      </c>
      <c r="D50" s="42" t="s">
        <v>2064</v>
      </c>
      <c r="E50" s="85">
        <f>IF(ISERROR(_xlfn.XLOOKUP(D50,[1]購入者リスト!G:G,[1]購入者リスト!B:B,,0,1)),"",_xlfn.XLOOKUP(D50,[1]購入者リスト!G:G,[1]購入者リスト!B:B,,0,1))</f>
        <v>0</v>
      </c>
      <c r="F50" s="86">
        <v>7</v>
      </c>
      <c r="G50" s="86">
        <v>287</v>
      </c>
      <c r="H50" s="86">
        <v>180</v>
      </c>
      <c r="I50" s="86">
        <v>40</v>
      </c>
      <c r="J50" s="85" t="s">
        <v>24</v>
      </c>
      <c r="K50" s="87" t="s">
        <v>2065</v>
      </c>
      <c r="L50" s="88">
        <f>IF(K50&lt;&gt;"",COUNTIF(K:K,K50),"")</f>
        <v>3</v>
      </c>
      <c r="N50" s="512">
        <f t="shared" si="3"/>
        <v>46072</v>
      </c>
      <c r="O50" s="87">
        <v>199</v>
      </c>
      <c r="P50" s="79"/>
    </row>
    <row r="51" spans="1:16" ht="15">
      <c r="B51" s="82" t="s">
        <v>24</v>
      </c>
      <c r="C51" s="83">
        <f>IF(B51&lt;&gt;"",COUNTIF(B51:$B$556,"〇"),"")</f>
        <v>174</v>
      </c>
      <c r="D51" s="42" t="s">
        <v>1698</v>
      </c>
      <c r="E51" s="85">
        <f>IF(ISERROR(_xlfn.XLOOKUP(D51,[1]購入者リスト!G:G,[1]購入者リスト!B:B,,0,1)),"",_xlfn.XLOOKUP(D51,[1]購入者リスト!G:G,[1]購入者リスト!B:B,,0,1))</f>
        <v>0</v>
      </c>
      <c r="F51" s="86">
        <v>10</v>
      </c>
      <c r="G51" s="86">
        <v>3494</v>
      </c>
      <c r="H51" s="86">
        <v>1534</v>
      </c>
      <c r="I51" s="86">
        <v>258</v>
      </c>
      <c r="J51" s="85" t="s">
        <v>17</v>
      </c>
      <c r="K51" s="87" t="s">
        <v>2057</v>
      </c>
      <c r="L51" s="88">
        <f>IF(K51&lt;&gt;"",COUNTIF(K:K,K51),"")</f>
        <v>72</v>
      </c>
      <c r="N51" s="512">
        <f t="shared" ref="N51:N70" si="4">N52+1</f>
        <v>46071</v>
      </c>
      <c r="O51" s="87">
        <v>199</v>
      </c>
      <c r="P51" s="79"/>
    </row>
    <row r="52" spans="1:16" ht="15">
      <c r="B52" s="82"/>
      <c r="C52" s="83" t="str">
        <f>IF(B52&lt;&gt;"",COUNTIF(B52:$B$556,"〇"),"")</f>
        <v/>
      </c>
      <c r="D52" s="42" t="s">
        <v>2066</v>
      </c>
      <c r="E52" s="85" t="str">
        <f>IF(ISERROR(_xlfn.XLOOKUP(D52,[1]購入者リスト!G:G,[1]購入者リスト!B:B,,0,1)),"",_xlfn.XLOOKUP(D52,[1]購入者リスト!G:G,[1]購入者リスト!B:B,,0,1))</f>
        <v/>
      </c>
      <c r="F52" s="86">
        <v>9</v>
      </c>
      <c r="G52" s="86">
        <v>1281</v>
      </c>
      <c r="H52" s="86">
        <v>548</v>
      </c>
      <c r="I52" s="86">
        <v>14</v>
      </c>
      <c r="J52" s="85" t="s">
        <v>17</v>
      </c>
      <c r="K52" s="87" t="s">
        <v>2062</v>
      </c>
      <c r="L52" s="88">
        <f>IF(K52&lt;&gt;"",COUNTIF(K:K,K52),"")</f>
        <v>21</v>
      </c>
      <c r="N52" s="512">
        <f t="shared" si="4"/>
        <v>46070</v>
      </c>
      <c r="O52" s="87">
        <v>198</v>
      </c>
      <c r="P52" s="79"/>
    </row>
    <row r="53" spans="1:16" ht="15">
      <c r="B53" s="82" t="s">
        <v>24</v>
      </c>
      <c r="C53" s="83">
        <f>IF(B53&lt;&gt;"",COUNTIF(B53:$B$556,"〇"),"")</f>
        <v>173</v>
      </c>
      <c r="D53" s="42" t="s">
        <v>2067</v>
      </c>
      <c r="E53" s="85" t="str">
        <f>IF(ISERROR(_xlfn.XLOOKUP(D53,[1]購入者リスト!G:G,[1]購入者リスト!B:B,,0,1)),"",_xlfn.XLOOKUP(D53,[1]購入者リスト!G:G,[1]購入者リスト!B:B,,0,1))</f>
        <v/>
      </c>
      <c r="F53" s="86">
        <v>1</v>
      </c>
      <c r="G53" s="86">
        <v>117</v>
      </c>
      <c r="H53" s="86">
        <v>0</v>
      </c>
      <c r="I53" s="86">
        <v>0</v>
      </c>
      <c r="J53" s="85" t="s">
        <v>17</v>
      </c>
      <c r="K53" s="87" t="s">
        <v>2057</v>
      </c>
      <c r="L53" s="88">
        <f>IF(K53&lt;&gt;"",COUNTIF(K:K,K53),"")</f>
        <v>72</v>
      </c>
      <c r="N53" s="512">
        <f t="shared" si="4"/>
        <v>46069</v>
      </c>
      <c r="O53" s="87">
        <v>198</v>
      </c>
      <c r="P53" s="79"/>
    </row>
    <row r="54" spans="1:16" ht="15">
      <c r="B54" s="82" t="s">
        <v>24</v>
      </c>
      <c r="C54" s="83">
        <f>IF(B54&lt;&gt;"",COUNTIF(B54:$B$556,"〇"),"")</f>
        <v>172</v>
      </c>
      <c r="D54" s="42" t="s">
        <v>2068</v>
      </c>
      <c r="E54" s="85" t="str">
        <f>IF(ISERROR(_xlfn.XLOOKUP(D54,[1]購入者リスト!G:G,[1]購入者リスト!B:B,,0,1)),"",_xlfn.XLOOKUP(D54,[1]購入者リスト!G:G,[1]購入者リスト!B:B,,0,1))</f>
        <v/>
      </c>
      <c r="F54" s="86">
        <v>8</v>
      </c>
      <c r="G54" s="86">
        <v>568</v>
      </c>
      <c r="H54" s="86">
        <v>288</v>
      </c>
      <c r="I54" s="86">
        <v>52</v>
      </c>
      <c r="J54" s="85" t="s">
        <v>17</v>
      </c>
      <c r="K54" s="87" t="s">
        <v>2053</v>
      </c>
      <c r="L54" s="88">
        <f>IF(K54&lt;&gt;"",COUNTIF(K:K,K54),"")</f>
        <v>13</v>
      </c>
      <c r="N54" s="512">
        <f t="shared" si="4"/>
        <v>46068</v>
      </c>
      <c r="O54" s="80">
        <v>198</v>
      </c>
      <c r="P54" s="79"/>
    </row>
    <row r="55" spans="1:16" ht="15">
      <c r="B55" s="82" t="s">
        <v>24</v>
      </c>
      <c r="C55" s="83">
        <f>IF(B55&lt;&gt;"",COUNTIF(B55:$B$556,"〇"),"")</f>
        <v>171</v>
      </c>
      <c r="D55" s="42" t="s">
        <v>3304</v>
      </c>
      <c r="E55" s="85" t="str">
        <f>IF(ISERROR(_xlfn.XLOOKUP(D55,[1]購入者リスト!G:G,[1]購入者リスト!B:B,,0,1)),"",_xlfn.XLOOKUP(D55,[1]購入者リスト!G:G,[1]購入者リスト!B:B,,0,1))</f>
        <v/>
      </c>
      <c r="F55" s="86">
        <v>5</v>
      </c>
      <c r="G55" s="86">
        <v>1109</v>
      </c>
      <c r="H55" s="86">
        <v>33</v>
      </c>
      <c r="I55" s="86">
        <v>2</v>
      </c>
      <c r="J55" s="85" t="s">
        <v>17</v>
      </c>
      <c r="K55" s="87" t="s">
        <v>2069</v>
      </c>
      <c r="L55" s="88">
        <f>IF(K55&lt;&gt;"",COUNTIF(K:K,K55),"")</f>
        <v>6</v>
      </c>
      <c r="N55" s="512">
        <f t="shared" si="4"/>
        <v>46067</v>
      </c>
      <c r="O55" s="80">
        <v>199</v>
      </c>
      <c r="P55" s="79"/>
    </row>
    <row r="56" spans="1:16" ht="15">
      <c r="B56" s="82" t="s">
        <v>24</v>
      </c>
      <c r="C56" s="83">
        <f>IF(B56&lt;&gt;"",COUNTIF(B56:$B$556,"〇"),"")</f>
        <v>170</v>
      </c>
      <c r="D56" s="42" t="s">
        <v>2070</v>
      </c>
      <c r="E56" s="85" t="str">
        <f>IF(ISERROR(_xlfn.XLOOKUP(D56,[1]購入者リスト!G:G,[1]購入者リスト!B:B,,0,1)),"",_xlfn.XLOOKUP(D56,[1]購入者リスト!G:G,[1]購入者リスト!B:B,,0,1))</f>
        <v/>
      </c>
      <c r="F56" s="86">
        <v>7</v>
      </c>
      <c r="G56" s="86">
        <v>2109</v>
      </c>
      <c r="H56" s="86">
        <v>176</v>
      </c>
      <c r="I56" s="86">
        <v>51</v>
      </c>
      <c r="J56" s="85" t="s">
        <v>17</v>
      </c>
      <c r="K56" s="87" t="s">
        <v>2062</v>
      </c>
      <c r="L56" s="88">
        <f>IF(K56&lt;&gt;"",COUNTIF(K:K,K56),"")</f>
        <v>21</v>
      </c>
      <c r="N56" s="512">
        <f t="shared" si="4"/>
        <v>46066</v>
      </c>
      <c r="O56" s="80">
        <v>199</v>
      </c>
      <c r="P56" s="79"/>
    </row>
    <row r="57" spans="1:16" ht="15">
      <c r="A57" s="79"/>
      <c r="B57" s="82" t="s">
        <v>24</v>
      </c>
      <c r="C57" s="83">
        <f>IF(B57&lt;&gt;"",COUNTIF(B57:$B$556,"〇"),"")</f>
        <v>169</v>
      </c>
      <c r="D57" s="42" t="s">
        <v>2072</v>
      </c>
      <c r="E57" s="85" t="str">
        <f>IF(ISERROR(_xlfn.XLOOKUP(D57,[1]購入者リスト!G:G,[1]購入者リスト!B:B,,0,1)),"",_xlfn.XLOOKUP(D57,[1]購入者リスト!G:G,[1]購入者リスト!B:B,,0,1))</f>
        <v/>
      </c>
      <c r="F57" s="86">
        <v>8</v>
      </c>
      <c r="G57" s="86">
        <v>415</v>
      </c>
      <c r="H57" s="86">
        <v>268</v>
      </c>
      <c r="I57" s="86">
        <v>31</v>
      </c>
      <c r="J57" s="85" t="s">
        <v>24</v>
      </c>
      <c r="K57" s="87" t="s">
        <v>2060</v>
      </c>
      <c r="L57" s="88">
        <f>IF(K57&lt;&gt;"",COUNTIF(K:K,K57),"")</f>
        <v>12</v>
      </c>
      <c r="M57" s="79"/>
      <c r="N57" s="512">
        <f t="shared" si="4"/>
        <v>46065</v>
      </c>
      <c r="O57" s="80">
        <v>199</v>
      </c>
      <c r="P57" s="79"/>
    </row>
    <row r="58" spans="1:16" ht="15">
      <c r="A58" s="79"/>
      <c r="B58" s="82" t="s">
        <v>24</v>
      </c>
      <c r="C58" s="83">
        <f>IF(B58&lt;&gt;"",COUNTIF(B58:$B$556,"〇"),"")</f>
        <v>168</v>
      </c>
      <c r="D58" s="42" t="s">
        <v>2073</v>
      </c>
      <c r="E58" s="85" t="str">
        <f>IF(ISERROR(_xlfn.XLOOKUP(D58,[1]購入者リスト!G:G,[1]購入者リスト!B:B,,0,1)),"",_xlfn.XLOOKUP(D58,[1]購入者リスト!G:G,[1]購入者リスト!B:B,,0,1))</f>
        <v/>
      </c>
      <c r="F58" s="86">
        <v>10</v>
      </c>
      <c r="G58" s="86">
        <v>7909</v>
      </c>
      <c r="H58" s="86">
        <v>2177</v>
      </c>
      <c r="I58" s="86">
        <v>103</v>
      </c>
      <c r="J58" s="85" t="s">
        <v>24</v>
      </c>
      <c r="K58" s="87" t="s">
        <v>2074</v>
      </c>
      <c r="L58" s="88">
        <f>IF(K58&lt;&gt;"",COUNTIF(K:K,K58),"")</f>
        <v>2</v>
      </c>
      <c r="M58" s="79"/>
      <c r="N58" s="512">
        <f t="shared" si="4"/>
        <v>46064</v>
      </c>
      <c r="O58" s="80">
        <v>199</v>
      </c>
      <c r="P58" s="79"/>
    </row>
    <row r="59" spans="1:16" ht="15">
      <c r="A59" s="79"/>
      <c r="B59" s="82" t="s">
        <v>24</v>
      </c>
      <c r="C59" s="83">
        <f>IF(B59&lt;&gt;"",COUNTIF(B59:$B$556,"〇"),"")</f>
        <v>167</v>
      </c>
      <c r="D59" s="42" t="s">
        <v>2075</v>
      </c>
      <c r="E59" s="85" t="str">
        <f>IF(ISERROR(_xlfn.XLOOKUP(D59,[1]購入者リスト!G:G,[1]購入者リスト!B:B,,0,1)),"",_xlfn.XLOOKUP(D59,[1]購入者リスト!G:G,[1]購入者リスト!B:B,,0,1))</f>
        <v/>
      </c>
      <c r="F59" s="86">
        <v>1</v>
      </c>
      <c r="G59" s="86">
        <v>210</v>
      </c>
      <c r="H59" s="86">
        <v>0</v>
      </c>
      <c r="I59" s="86">
        <v>0</v>
      </c>
      <c r="J59" s="85" t="s">
        <v>17</v>
      </c>
      <c r="K59" s="87" t="s">
        <v>2057</v>
      </c>
      <c r="L59" s="88">
        <f>IF(K59&lt;&gt;"",COUNTIF(K:K,K59),"")</f>
        <v>72</v>
      </c>
      <c r="M59" s="79"/>
      <c r="N59" s="512">
        <f t="shared" si="4"/>
        <v>46063</v>
      </c>
      <c r="O59" s="80">
        <v>196</v>
      </c>
      <c r="P59" s="79"/>
    </row>
    <row r="60" spans="1:16" s="79" customFormat="1" ht="15">
      <c r="B60" s="82" t="s">
        <v>24</v>
      </c>
      <c r="C60" s="83">
        <f>IF(B60&lt;&gt;"",COUNTIF(B60:$B$556,"〇"),"")</f>
        <v>166</v>
      </c>
      <c r="D60" s="42" t="s">
        <v>2076</v>
      </c>
      <c r="E60" s="85" t="str">
        <f>IF(ISERROR(_xlfn.XLOOKUP(D60,[1]購入者リスト!G:G,[1]購入者リスト!B:B,,0,1)),"",_xlfn.XLOOKUP(D60,[1]購入者リスト!G:G,[1]購入者リスト!B:B,,0,1))</f>
        <v/>
      </c>
      <c r="F60" s="86">
        <v>5</v>
      </c>
      <c r="G60" s="86">
        <v>134</v>
      </c>
      <c r="H60" s="86">
        <v>40</v>
      </c>
      <c r="I60" s="86">
        <v>2</v>
      </c>
      <c r="J60" s="85" t="s">
        <v>24</v>
      </c>
      <c r="K60" s="87" t="s">
        <v>2053</v>
      </c>
      <c r="L60" s="88">
        <f>IF(K60&lt;&gt;"",COUNTIF(K:K,K60),"")</f>
        <v>13</v>
      </c>
      <c r="N60" s="512">
        <f t="shared" si="4"/>
        <v>46062</v>
      </c>
      <c r="O60" s="80">
        <v>197</v>
      </c>
    </row>
    <row r="61" spans="1:16" ht="15">
      <c r="A61" s="79"/>
      <c r="B61" s="82" t="s">
        <v>24</v>
      </c>
      <c r="C61" s="83">
        <f>IF(B61&lt;&gt;"",COUNTIF(B61:$B$556,"〇"),"")</f>
        <v>165</v>
      </c>
      <c r="D61" s="42" t="s">
        <v>2077</v>
      </c>
      <c r="E61" s="85" t="str">
        <f>IF(ISERROR(_xlfn.XLOOKUP(D61,[1]購入者リスト!G:G,[1]購入者リスト!B:B,,0,1)),"",_xlfn.XLOOKUP(D61,[1]購入者リスト!G:G,[1]購入者リスト!B:B,,0,1))</f>
        <v/>
      </c>
      <c r="F61" s="86">
        <v>6</v>
      </c>
      <c r="G61" s="86">
        <v>204</v>
      </c>
      <c r="H61" s="86">
        <v>65</v>
      </c>
      <c r="I61" s="86">
        <v>2</v>
      </c>
      <c r="J61" s="85" t="s">
        <v>17</v>
      </c>
      <c r="K61" s="87" t="s">
        <v>2057</v>
      </c>
      <c r="L61" s="88">
        <f>IF(K61&lt;&gt;"",COUNTIF(K:K,K61),"")</f>
        <v>72</v>
      </c>
      <c r="M61" s="79"/>
      <c r="N61" s="512">
        <f t="shared" si="4"/>
        <v>46061</v>
      </c>
      <c r="O61" s="80">
        <v>197</v>
      </c>
      <c r="P61" s="79"/>
    </row>
    <row r="62" spans="1:16" ht="15">
      <c r="A62"/>
      <c r="B62" s="82" t="s">
        <v>24</v>
      </c>
      <c r="C62" s="83">
        <f>IF(B62&lt;&gt;"",COUNTIF(B62:$B$556,"〇"),"")</f>
        <v>164</v>
      </c>
      <c r="D62" s="42" t="s">
        <v>2080</v>
      </c>
      <c r="E62" s="85" t="str">
        <f>IF(ISERROR(_xlfn.XLOOKUP(D62,[1]購入者リスト!G:G,[1]購入者リスト!B:B,,0,1)),"",_xlfn.XLOOKUP(D62,[1]購入者リスト!G:G,[1]購入者リスト!B:B,,0,1))</f>
        <v/>
      </c>
      <c r="F62" s="86">
        <v>1</v>
      </c>
      <c r="G62" s="86">
        <v>1621</v>
      </c>
      <c r="H62" s="86">
        <v>0</v>
      </c>
      <c r="I62" s="86">
        <v>1</v>
      </c>
      <c r="J62" s="85" t="s">
        <v>17</v>
      </c>
      <c r="K62" s="87" t="s">
        <v>2057</v>
      </c>
      <c r="L62" s="88">
        <f>IF(K62&lt;&gt;"",COUNTIF(K:K,K62),"")</f>
        <v>72</v>
      </c>
      <c r="N62" s="512">
        <f t="shared" si="4"/>
        <v>46060</v>
      </c>
      <c r="O62" s="80">
        <v>196</v>
      </c>
      <c r="P62" s="79"/>
    </row>
    <row r="63" spans="1:16" ht="15">
      <c r="B63" s="82"/>
      <c r="C63" s="83" t="str">
        <f>IF(B63&lt;&gt;"",COUNTIF(B63:$B$556,"〇"),"")</f>
        <v/>
      </c>
      <c r="D63" s="42" t="s">
        <v>2081</v>
      </c>
      <c r="E63" s="85" t="str">
        <f>IF(ISERROR(_xlfn.XLOOKUP(D63,[1]購入者リスト!G:G,[1]購入者リスト!B:B,,0,1)),"",_xlfn.XLOOKUP(D63,[1]購入者リスト!G:G,[1]購入者リスト!B:B,,0,1))</f>
        <v/>
      </c>
      <c r="F63" s="86">
        <v>7</v>
      </c>
      <c r="G63" s="86">
        <v>796</v>
      </c>
      <c r="H63" s="86">
        <v>170</v>
      </c>
      <c r="I63" s="86">
        <v>42</v>
      </c>
      <c r="J63" s="85" t="s">
        <v>24</v>
      </c>
      <c r="K63" s="87" t="s">
        <v>2082</v>
      </c>
      <c r="L63" s="88">
        <f>IF(K63&lt;&gt;"",COUNTIF(K:K,K63),"")</f>
        <v>2</v>
      </c>
      <c r="N63" s="512">
        <f t="shared" si="4"/>
        <v>46059</v>
      </c>
      <c r="O63" s="80">
        <v>196</v>
      </c>
    </row>
    <row r="64" spans="1:16" ht="15">
      <c r="B64" s="82" t="s">
        <v>24</v>
      </c>
      <c r="C64" s="83">
        <f>IF(B64&lt;&gt;"",COUNTIF(B64:$B$556,"〇"),"")</f>
        <v>163</v>
      </c>
      <c r="D64" s="42" t="s">
        <v>2083</v>
      </c>
      <c r="E64" s="85" t="str">
        <f>IF(ISERROR(_xlfn.XLOOKUP(D64,[1]購入者リスト!G:G,[1]購入者リスト!B:B,,0,1)),"",_xlfn.XLOOKUP(D64,[1]購入者リスト!G:G,[1]購入者リスト!B:B,,0,1))</f>
        <v/>
      </c>
      <c r="F64" s="86">
        <v>1</v>
      </c>
      <c r="G64" s="86">
        <v>86</v>
      </c>
      <c r="H64" s="86">
        <v>0</v>
      </c>
      <c r="I64" s="86">
        <v>1</v>
      </c>
      <c r="J64" s="85" t="s">
        <v>17</v>
      </c>
      <c r="K64" s="87" t="s">
        <v>2057</v>
      </c>
      <c r="L64" s="88">
        <f>IF(K64&lt;&gt;"",COUNTIF(K:K,K64),"")</f>
        <v>72</v>
      </c>
      <c r="N64" s="512">
        <f t="shared" si="4"/>
        <v>46058</v>
      </c>
      <c r="O64" s="80">
        <v>193</v>
      </c>
    </row>
    <row r="65" spans="1:16" ht="15">
      <c r="B65" s="82" t="s">
        <v>24</v>
      </c>
      <c r="C65" s="83">
        <f>IF(B65&lt;&gt;"",COUNTIF(B65:$B$556,"〇"),"")</f>
        <v>162</v>
      </c>
      <c r="D65" s="42" t="s">
        <v>2084</v>
      </c>
      <c r="E65" s="85" t="str">
        <f>IF(ISERROR(_xlfn.XLOOKUP(D65,[1]購入者リスト!G:G,[1]購入者リスト!B:B,,0,1)),"",_xlfn.XLOOKUP(D65,[1]購入者リスト!G:G,[1]購入者リスト!B:B,,0,1))</f>
        <v/>
      </c>
      <c r="F65" s="86">
        <v>7</v>
      </c>
      <c r="G65" s="86">
        <v>196</v>
      </c>
      <c r="H65" s="86">
        <v>193</v>
      </c>
      <c r="I65" s="86">
        <v>56</v>
      </c>
      <c r="J65" s="85" t="s">
        <v>17</v>
      </c>
      <c r="K65" s="87" t="s">
        <v>2085</v>
      </c>
      <c r="L65" s="88">
        <f>IF(K65&lt;&gt;"",COUNTIF(K:K,K65),"")</f>
        <v>2</v>
      </c>
      <c r="N65" s="512">
        <f t="shared" si="4"/>
        <v>46057</v>
      </c>
      <c r="O65" s="80">
        <v>192</v>
      </c>
    </row>
    <row r="66" spans="1:16" ht="15">
      <c r="B66" s="82"/>
      <c r="C66" s="83" t="str">
        <f>IF(B66&lt;&gt;"",COUNTIF(B66:$B$556,"〇"),"")</f>
        <v/>
      </c>
      <c r="D66" s="42" t="s">
        <v>2086</v>
      </c>
      <c r="E66" s="85" t="str">
        <f>IF(ISERROR(_xlfn.XLOOKUP(D66,[1]購入者リスト!G:G,[1]購入者リスト!B:B,,0,1)),"",_xlfn.XLOOKUP(D66,[1]購入者リスト!G:G,[1]購入者リスト!B:B,,0,1))</f>
        <v/>
      </c>
      <c r="F66" s="86">
        <v>2</v>
      </c>
      <c r="G66" s="86">
        <v>477</v>
      </c>
      <c r="H66" s="86">
        <v>4</v>
      </c>
      <c r="I66" s="86">
        <v>0</v>
      </c>
      <c r="J66" s="85" t="s">
        <v>17</v>
      </c>
      <c r="K66" s="87" t="s">
        <v>2057</v>
      </c>
      <c r="L66" s="88">
        <f>IF(K66&lt;&gt;"",COUNTIF(K:K,K66),"")</f>
        <v>72</v>
      </c>
      <c r="N66" s="512">
        <f t="shared" si="4"/>
        <v>46056</v>
      </c>
      <c r="O66" s="80">
        <v>191</v>
      </c>
    </row>
    <row r="67" spans="1:16" ht="15">
      <c r="B67" s="82"/>
      <c r="C67" s="83" t="str">
        <f>IF(B67&lt;&gt;"",COUNTIF(B67:$B$556,"〇"),"")</f>
        <v/>
      </c>
      <c r="D67" s="42" t="s">
        <v>3305</v>
      </c>
      <c r="E67" s="85" t="str">
        <f>IF(ISERROR(_xlfn.XLOOKUP(D67,[1]購入者リスト!G:G,[1]購入者リスト!B:B,,0,1)),"",_xlfn.XLOOKUP(D67,[1]購入者リスト!G:G,[1]購入者リスト!B:B,,0,1))</f>
        <v/>
      </c>
      <c r="F67" s="86">
        <v>1</v>
      </c>
      <c r="G67" s="86">
        <v>649</v>
      </c>
      <c r="H67" s="86">
        <v>0</v>
      </c>
      <c r="I67" s="86">
        <v>0</v>
      </c>
      <c r="J67" s="85" t="s">
        <v>17</v>
      </c>
      <c r="K67" s="87" t="s">
        <v>2057</v>
      </c>
      <c r="L67" s="88">
        <f>IF(K67&lt;&gt;"",COUNTIF(K:K,K67),"")</f>
        <v>72</v>
      </c>
      <c r="N67" s="512">
        <f t="shared" si="4"/>
        <v>46055</v>
      </c>
      <c r="O67" s="80">
        <v>190</v>
      </c>
    </row>
    <row r="68" spans="1:16" ht="15">
      <c r="B68" s="82" t="s">
        <v>24</v>
      </c>
      <c r="C68" s="83">
        <f>IF(B68&lt;&gt;"",COUNTIF(B68:$B$556,"〇"),"")</f>
        <v>161</v>
      </c>
      <c r="D68" s="42" t="s">
        <v>3306</v>
      </c>
      <c r="E68" s="85" t="str">
        <f>IF(ISERROR(_xlfn.XLOOKUP(D68,[1]購入者リスト!G:G,[1]購入者リスト!B:B,,0,1)),"",_xlfn.XLOOKUP(D68,[1]購入者リスト!G:G,[1]購入者リスト!B:B,,0,1))</f>
        <v/>
      </c>
      <c r="F68" s="86">
        <v>6</v>
      </c>
      <c r="G68" s="86">
        <v>120</v>
      </c>
      <c r="H68" s="86">
        <v>114</v>
      </c>
      <c r="I68" s="86">
        <v>13</v>
      </c>
      <c r="J68" s="85" t="s">
        <v>24</v>
      </c>
      <c r="K68" s="87" t="s">
        <v>2087</v>
      </c>
      <c r="L68" s="88">
        <f>IF(K68&lt;&gt;"",COUNTIF(K:K,K68),"")</f>
        <v>6</v>
      </c>
      <c r="N68" s="512">
        <f t="shared" si="4"/>
        <v>46054</v>
      </c>
      <c r="O68" s="80">
        <v>189</v>
      </c>
    </row>
    <row r="69" spans="1:16" ht="15">
      <c r="B69" s="82"/>
      <c r="C69" s="83" t="str">
        <f>IF(B69&lt;&gt;"",COUNTIF(B69:$B$556,"〇"),"")</f>
        <v/>
      </c>
      <c r="D69" s="42" t="s">
        <v>1722</v>
      </c>
      <c r="E69" s="85">
        <f>IF(ISERROR(_xlfn.XLOOKUP(D69,[1]購入者リスト!G:G,[1]購入者リスト!B:B,,0,1)),"",_xlfn.XLOOKUP(D69,[1]購入者リスト!G:G,[1]購入者リスト!B:B,,0,1))</f>
        <v>0</v>
      </c>
      <c r="F69" s="86">
        <v>1</v>
      </c>
      <c r="G69" s="86">
        <v>683</v>
      </c>
      <c r="H69" s="86">
        <v>0</v>
      </c>
      <c r="I69" s="86">
        <v>1</v>
      </c>
      <c r="J69" s="85" t="s">
        <v>17</v>
      </c>
      <c r="K69" s="87" t="s">
        <v>2057</v>
      </c>
      <c r="L69" s="88">
        <f>IF(K69&lt;&gt;"",COUNTIF(K:K,K69),"")</f>
        <v>72</v>
      </c>
      <c r="N69" s="512">
        <f t="shared" si="4"/>
        <v>46053</v>
      </c>
      <c r="O69" s="80">
        <v>188</v>
      </c>
    </row>
    <row r="70" spans="1:16" ht="15">
      <c r="B70" s="82" t="s">
        <v>24</v>
      </c>
      <c r="C70" s="83">
        <f>IF(B70&lt;&gt;"",COUNTIF(B70:$B$556,"〇"),"")</f>
        <v>160</v>
      </c>
      <c r="D70" s="42" t="s">
        <v>3307</v>
      </c>
      <c r="E70" s="85" t="str">
        <f>IF(ISERROR(_xlfn.XLOOKUP(D70,[1]購入者リスト!G:G,[1]購入者リスト!B:B,,0,1)),"",_xlfn.XLOOKUP(D70,[1]購入者リスト!G:G,[1]購入者リスト!B:B,,0,1))</f>
        <v/>
      </c>
      <c r="F70" s="86">
        <v>8</v>
      </c>
      <c r="G70" s="86">
        <v>492</v>
      </c>
      <c r="H70" s="86">
        <v>417</v>
      </c>
      <c r="I70" s="86">
        <v>246</v>
      </c>
      <c r="J70" s="85" t="s">
        <v>24</v>
      </c>
      <c r="K70" s="87" t="s">
        <v>2088</v>
      </c>
      <c r="L70" s="88">
        <f>IF(K70&lt;&gt;"",COUNTIF(K:K,K70),"")</f>
        <v>4</v>
      </c>
      <c r="N70" s="512">
        <f t="shared" si="4"/>
        <v>46052</v>
      </c>
      <c r="O70" s="80">
        <v>188</v>
      </c>
      <c r="P70" s="80" t="s">
        <v>3294</v>
      </c>
    </row>
    <row r="71" spans="1:16" ht="15">
      <c r="B71" s="82" t="s">
        <v>24</v>
      </c>
      <c r="C71" s="83">
        <f>IF(B71&lt;&gt;"",COUNTIF(B71:$B$556,"〇"),"")</f>
        <v>159</v>
      </c>
      <c r="D71" s="42" t="s">
        <v>3308</v>
      </c>
      <c r="E71" s="85" t="str">
        <f>IF(ISERROR(_xlfn.XLOOKUP(D71,[1]購入者リスト!G:G,[1]購入者リスト!B:B,,0,1)),"",_xlfn.XLOOKUP(D71,[1]購入者リスト!G:G,[1]購入者リスト!B:B,,0,1))</f>
        <v/>
      </c>
      <c r="F71" s="86">
        <v>8</v>
      </c>
      <c r="G71" s="86">
        <v>486</v>
      </c>
      <c r="H71" s="86">
        <v>503</v>
      </c>
      <c r="I71" s="86">
        <v>80</v>
      </c>
      <c r="J71" s="85" t="s">
        <v>24</v>
      </c>
      <c r="K71" s="87" t="s">
        <v>2089</v>
      </c>
      <c r="L71" s="88">
        <f>IF(K71&lt;&gt;"",COUNTIF(K:K,K71),"")</f>
        <v>7</v>
      </c>
      <c r="N71" s="512">
        <v>46051</v>
      </c>
      <c r="O71" s="80">
        <v>182</v>
      </c>
    </row>
    <row r="72" spans="1:16" ht="15">
      <c r="B72" s="82" t="s">
        <v>24</v>
      </c>
      <c r="C72" s="83">
        <f>IF(B72&lt;&gt;"",COUNTIF(B72:$B$556,"〇"),"")</f>
        <v>158</v>
      </c>
      <c r="D72" s="42" t="s">
        <v>3309</v>
      </c>
      <c r="E72" s="85" t="str">
        <f>IF(ISERROR(_xlfn.XLOOKUP(D72,[1]購入者リスト!G:G,[1]購入者リスト!B:B,,0,1)),"",_xlfn.XLOOKUP(D72,[1]購入者リスト!G:G,[1]購入者リスト!B:B,,0,1))</f>
        <v/>
      </c>
      <c r="F72" s="86">
        <v>6</v>
      </c>
      <c r="G72" s="86">
        <v>285</v>
      </c>
      <c r="H72" s="86">
        <v>105</v>
      </c>
      <c r="I72" s="86">
        <v>15</v>
      </c>
      <c r="J72" s="85" t="s">
        <v>24</v>
      </c>
      <c r="K72" s="87" t="s">
        <v>2090</v>
      </c>
      <c r="L72" s="88">
        <f>IF(K72&lt;&gt;"",COUNTIF(K:K,K72),"")</f>
        <v>8</v>
      </c>
      <c r="N72" s="514"/>
    </row>
    <row r="73" spans="1:16" ht="15">
      <c r="B73" s="82" t="s">
        <v>24</v>
      </c>
      <c r="C73" s="83">
        <f>IF(B73&lt;&gt;"",COUNTIF(B73:$B$556,"〇"),"")</f>
        <v>157</v>
      </c>
      <c r="D73" s="42" t="s">
        <v>2091</v>
      </c>
      <c r="E73" s="85" t="str">
        <f>IF(ISERROR(_xlfn.XLOOKUP(D73,[1]購入者リスト!G:G,[1]購入者リスト!B:B,,0,1)),"",_xlfn.XLOOKUP(D73,[1]購入者リスト!G:G,[1]購入者リスト!B:B,,0,1))</f>
        <v/>
      </c>
      <c r="F73" s="86">
        <v>9</v>
      </c>
      <c r="G73" s="86">
        <v>2447</v>
      </c>
      <c r="H73" s="86">
        <v>962</v>
      </c>
      <c r="I73" s="86">
        <v>214</v>
      </c>
      <c r="J73" s="85" t="s">
        <v>24</v>
      </c>
      <c r="K73" s="87" t="s">
        <v>2060</v>
      </c>
      <c r="L73" s="88">
        <f>IF(K73&lt;&gt;"",COUNTIF(K:K,K73),"")</f>
        <v>12</v>
      </c>
      <c r="N73" s="514"/>
    </row>
    <row r="74" spans="1:16" ht="15">
      <c r="B74" s="82"/>
      <c r="C74" s="83" t="str">
        <f>IF(B74&lt;&gt;"",COUNTIF(B74:$B$556,"〇"),"")</f>
        <v/>
      </c>
      <c r="D74" s="42" t="s">
        <v>2092</v>
      </c>
      <c r="E74" s="85" t="str">
        <f>IF(ISERROR(_xlfn.XLOOKUP(D74,[1]購入者リスト!G:G,[1]購入者リスト!B:B,,0,1)),"",_xlfn.XLOOKUP(D74,[1]購入者リスト!G:G,[1]購入者リスト!B:B,,0,1))</f>
        <v/>
      </c>
      <c r="F74" s="86">
        <v>1</v>
      </c>
      <c r="G74" s="86">
        <v>27</v>
      </c>
      <c r="H74" s="86">
        <v>0</v>
      </c>
      <c r="I74" s="86">
        <v>0</v>
      </c>
      <c r="J74" s="85" t="s">
        <v>17</v>
      </c>
      <c r="K74" s="87" t="s">
        <v>2057</v>
      </c>
      <c r="L74" s="88">
        <f>IF(K74&lt;&gt;"",COUNTIF(K:K,K74),"")</f>
        <v>72</v>
      </c>
      <c r="N74" s="514"/>
    </row>
    <row r="75" spans="1:16" ht="15">
      <c r="B75" s="82" t="s">
        <v>24</v>
      </c>
      <c r="C75" s="83">
        <f>IF(B75&lt;&gt;"",COUNTIF(B75:$B$556,"〇"),"")</f>
        <v>156</v>
      </c>
      <c r="D75" s="42" t="s">
        <v>2093</v>
      </c>
      <c r="E75" s="85" t="str">
        <f>IF(ISERROR(_xlfn.XLOOKUP(D75,[1]購入者リスト!G:G,[1]購入者リスト!B:B,,0,1)),"",_xlfn.XLOOKUP(D75,[1]購入者リスト!G:G,[1]購入者リスト!B:B,,0,1))</f>
        <v/>
      </c>
      <c r="F75" s="86">
        <v>1</v>
      </c>
      <c r="G75" s="86">
        <v>147</v>
      </c>
      <c r="H75" s="86">
        <v>0</v>
      </c>
      <c r="I75" s="86">
        <v>1</v>
      </c>
      <c r="J75" s="85" t="s">
        <v>17</v>
      </c>
      <c r="K75" s="87" t="s">
        <v>2057</v>
      </c>
      <c r="L75" s="88">
        <f>IF(K75&lt;&gt;"",COUNTIF(K:K,K75),"")</f>
        <v>72</v>
      </c>
    </row>
    <row r="76" spans="1:16" ht="15">
      <c r="A76" s="79"/>
      <c r="B76" s="82"/>
      <c r="C76" s="83" t="str">
        <f>IF(B76&lt;&gt;"",COUNTIF(B76:$B$556,"〇"),"")</f>
        <v/>
      </c>
      <c r="D76" s="42" t="s">
        <v>2094</v>
      </c>
      <c r="E76" s="85" t="str">
        <f>IF(ISERROR(_xlfn.XLOOKUP(D76,[1]購入者リスト!G:G,[1]購入者リスト!B:B,,0,1)),"",_xlfn.XLOOKUP(D76,[1]購入者リスト!G:G,[1]購入者リスト!B:B,,0,1))</f>
        <v/>
      </c>
      <c r="F76" s="86">
        <v>2</v>
      </c>
      <c r="G76" s="86">
        <v>58</v>
      </c>
      <c r="H76" s="86">
        <v>3</v>
      </c>
      <c r="I76" s="86">
        <v>1</v>
      </c>
      <c r="J76" s="85" t="s">
        <v>17</v>
      </c>
      <c r="K76" s="87" t="s">
        <v>2057</v>
      </c>
      <c r="L76" s="88">
        <f>IF(K76&lt;&gt;"",COUNTIF(K:K,K76),"")</f>
        <v>72</v>
      </c>
      <c r="M76" s="79"/>
    </row>
    <row r="77" spans="1:16" ht="15">
      <c r="A77"/>
      <c r="B77" s="82"/>
      <c r="C77" s="83" t="str">
        <f>IF(B77&lt;&gt;"",COUNTIF(B77:$B$556,"〇"),"")</f>
        <v/>
      </c>
      <c r="D77" s="42" t="s">
        <v>2095</v>
      </c>
      <c r="E77" s="85" t="str">
        <f>IF(ISERROR(_xlfn.XLOOKUP(D77,[1]購入者リスト!G:G,[1]購入者リスト!B:B,,0,1)),"",_xlfn.XLOOKUP(D77,[1]購入者リスト!G:G,[1]購入者リスト!B:B,,0,1))</f>
        <v/>
      </c>
      <c r="F77" s="86">
        <v>5</v>
      </c>
      <c r="G77" s="86">
        <v>245</v>
      </c>
      <c r="H77" s="86">
        <v>47</v>
      </c>
      <c r="I77" s="86">
        <v>3</v>
      </c>
      <c r="J77" s="85" t="s">
        <v>17</v>
      </c>
      <c r="K77" s="87" t="s">
        <v>2096</v>
      </c>
      <c r="L77" s="88">
        <f>IF(K77&lt;&gt;"",COUNTIF(K:K,K77),"")</f>
        <v>1</v>
      </c>
    </row>
    <row r="78" spans="1:16" ht="15">
      <c r="B78" s="82" t="s">
        <v>24</v>
      </c>
      <c r="C78" s="83">
        <f>IF(B78&lt;&gt;"",COUNTIF(B78:$B$556,"〇"),"")</f>
        <v>155</v>
      </c>
      <c r="D78" s="42" t="s">
        <v>2097</v>
      </c>
      <c r="E78" s="85" t="str">
        <f>IF(ISERROR(_xlfn.XLOOKUP(D78,[1]購入者リスト!G:G,[1]購入者リスト!B:B,,0,1)),"",_xlfn.XLOOKUP(D78,[1]購入者リスト!G:G,[1]購入者リスト!B:B,,0,1))</f>
        <v/>
      </c>
      <c r="F78" s="86">
        <v>10</v>
      </c>
      <c r="G78" s="86">
        <v>8896</v>
      </c>
      <c r="H78" s="86">
        <v>8803</v>
      </c>
      <c r="I78" s="86">
        <v>659</v>
      </c>
      <c r="J78" s="85" t="s">
        <v>17</v>
      </c>
      <c r="K78" s="87" t="s">
        <v>2098</v>
      </c>
      <c r="L78" s="88">
        <f>IF(K78&lt;&gt;"",COUNTIF(K:K,K78),"")</f>
        <v>8</v>
      </c>
      <c r="N78"/>
    </row>
    <row r="79" spans="1:16" ht="15">
      <c r="B79" s="82" t="s">
        <v>24</v>
      </c>
      <c r="C79" s="83">
        <f>IF(B79&lt;&gt;"",COUNTIF(B79:$B$556,"〇"),"")</f>
        <v>154</v>
      </c>
      <c r="D79" s="42" t="s">
        <v>2099</v>
      </c>
      <c r="E79" s="85" t="str">
        <f>IF(ISERROR(_xlfn.XLOOKUP(D79,[1]購入者リスト!G:G,[1]購入者リスト!B:B,,0,1)),"",_xlfn.XLOOKUP(D79,[1]購入者リスト!G:G,[1]購入者リスト!B:B,,0,1))</f>
        <v/>
      </c>
      <c r="F79" s="86">
        <v>1</v>
      </c>
      <c r="G79" s="86">
        <v>63</v>
      </c>
      <c r="H79" s="86">
        <v>0</v>
      </c>
      <c r="I79" s="86">
        <v>0</v>
      </c>
      <c r="J79" s="85" t="s">
        <v>17</v>
      </c>
      <c r="K79" s="87" t="s">
        <v>2057</v>
      </c>
      <c r="L79" s="88">
        <f>IF(K79&lt;&gt;"",COUNTIF(K:K,K79),"")</f>
        <v>72</v>
      </c>
      <c r="P79" s="79"/>
    </row>
    <row r="80" spans="1:16" ht="15">
      <c r="B80" s="82" t="s">
        <v>24</v>
      </c>
      <c r="C80" s="83">
        <f>IF(B80&lt;&gt;"",COUNTIF(B80:$B$556,"〇"),"")</f>
        <v>153</v>
      </c>
      <c r="D80" s="42" t="s">
        <v>2100</v>
      </c>
      <c r="E80" s="85" t="str">
        <f>IF(ISERROR(_xlfn.XLOOKUP(D80,[1]購入者リスト!G:G,[1]購入者リスト!B:B,,0,1)),"",_xlfn.XLOOKUP(D80,[1]購入者リスト!G:G,[1]購入者リスト!B:B,,0,1))</f>
        <v/>
      </c>
      <c r="F80" s="86">
        <v>7</v>
      </c>
      <c r="G80" s="86">
        <v>387</v>
      </c>
      <c r="H80" s="86">
        <v>212</v>
      </c>
      <c r="I80" s="86">
        <v>14</v>
      </c>
      <c r="J80" s="85" t="s">
        <v>24</v>
      </c>
      <c r="K80" s="87" t="s">
        <v>2055</v>
      </c>
      <c r="L80" s="88">
        <f>IF(K80&lt;&gt;"",COUNTIF(K:K,K80),"")</f>
        <v>9</v>
      </c>
    </row>
    <row r="81" spans="1:16" ht="15">
      <c r="B81" s="82" t="s">
        <v>24</v>
      </c>
      <c r="C81" s="83">
        <f>IF(B81&lt;&gt;"",COUNTIF(B81:$B$556,"〇"),"")</f>
        <v>152</v>
      </c>
      <c r="D81" s="42" t="s">
        <v>2101</v>
      </c>
      <c r="E81" s="85" t="str">
        <f>IF(ISERROR(_xlfn.XLOOKUP(D81,[1]購入者リスト!G:G,[1]購入者リスト!B:B,,0,1)),"",_xlfn.XLOOKUP(D81,[1]購入者リスト!G:G,[1]購入者リスト!B:B,,0,1))</f>
        <v/>
      </c>
      <c r="F81" s="86">
        <v>5</v>
      </c>
      <c r="G81" s="86">
        <v>425</v>
      </c>
      <c r="H81" s="86">
        <v>29</v>
      </c>
      <c r="I81" s="86">
        <v>1</v>
      </c>
      <c r="J81" s="85" t="s">
        <v>17</v>
      </c>
      <c r="K81" s="87" t="s">
        <v>2102</v>
      </c>
      <c r="L81" s="88">
        <f>IF(K81&lt;&gt;"",COUNTIF(K:K,K81),"")</f>
        <v>2</v>
      </c>
    </row>
    <row r="82" spans="1:16" ht="15">
      <c r="B82" s="82" t="s">
        <v>24</v>
      </c>
      <c r="C82" s="83">
        <f>IF(B82&lt;&gt;"",COUNTIF(B82:$B$556,"〇"),"")</f>
        <v>151</v>
      </c>
      <c r="D82" s="42" t="s">
        <v>2104</v>
      </c>
      <c r="E82" s="85" t="str">
        <f>IF(ISERROR(_xlfn.XLOOKUP(D82,[1]購入者リスト!G:G,[1]購入者リスト!B:B,,0,1)),"",_xlfn.XLOOKUP(D82,[1]購入者リスト!G:G,[1]購入者リスト!B:B,,0,1))</f>
        <v/>
      </c>
      <c r="F82" s="86">
        <v>1</v>
      </c>
      <c r="G82" s="86">
        <v>20</v>
      </c>
      <c r="H82" s="86">
        <v>0</v>
      </c>
      <c r="I82" s="86">
        <v>0</v>
      </c>
      <c r="J82" s="85" t="s">
        <v>17</v>
      </c>
      <c r="K82" s="87" t="s">
        <v>2057</v>
      </c>
      <c r="L82" s="88">
        <f>IF(K82&lt;&gt;"",COUNTIF(K:K,K82),"")</f>
        <v>72</v>
      </c>
      <c r="M82" s="89"/>
    </row>
    <row r="83" spans="1:16" ht="15">
      <c r="B83" s="82" t="s">
        <v>24</v>
      </c>
      <c r="C83" s="83">
        <f>IF(B83&lt;&gt;"",COUNTIF(B83:$B$556,"〇"),"")</f>
        <v>150</v>
      </c>
      <c r="D83" s="42" t="s">
        <v>2105</v>
      </c>
      <c r="E83" s="85" t="str">
        <f>IF(ISERROR(_xlfn.XLOOKUP(D83,[1]購入者リスト!G:G,[1]購入者リスト!B:B,,0,1)),"",_xlfn.XLOOKUP(D83,[1]購入者リスト!G:G,[1]購入者リスト!B:B,,0,1))</f>
        <v/>
      </c>
      <c r="F83" s="86">
        <v>1</v>
      </c>
      <c r="G83" s="86">
        <v>202</v>
      </c>
      <c r="H83" s="86">
        <v>0</v>
      </c>
      <c r="I83" s="86">
        <v>1</v>
      </c>
      <c r="J83" s="85" t="s">
        <v>17</v>
      </c>
      <c r="K83" s="87" t="s">
        <v>2057</v>
      </c>
      <c r="L83" s="88">
        <f>IF(K83&lt;&gt;"",COUNTIF(K:K,K83),"")</f>
        <v>72</v>
      </c>
    </row>
    <row r="84" spans="1:16" ht="15">
      <c r="B84" s="82" t="s">
        <v>24</v>
      </c>
      <c r="C84" s="83">
        <f>IF(B84&lt;&gt;"",COUNTIF(B84:$B$556,"〇"),"")</f>
        <v>149</v>
      </c>
      <c r="D84" s="42" t="s">
        <v>2106</v>
      </c>
      <c r="E84" s="85" t="str">
        <f>IF(ISERROR(_xlfn.XLOOKUP(D84,[1]購入者リスト!G:G,[1]購入者リスト!B:B,,0,1)),"",_xlfn.XLOOKUP(D84,[1]購入者リスト!G:G,[1]購入者リスト!B:B,,0,1))</f>
        <v/>
      </c>
      <c r="F84" s="86">
        <v>5</v>
      </c>
      <c r="G84" s="86">
        <v>317</v>
      </c>
      <c r="H84" s="86">
        <v>28</v>
      </c>
      <c r="I84" s="86">
        <v>0</v>
      </c>
      <c r="J84" s="85" t="s">
        <v>17</v>
      </c>
      <c r="K84" s="87" t="s">
        <v>2098</v>
      </c>
      <c r="L84" s="88">
        <f>IF(K84&lt;&gt;"",COUNTIF(K:K,K84),"")</f>
        <v>8</v>
      </c>
    </row>
    <row r="85" spans="1:16" ht="15">
      <c r="B85" s="82" t="s">
        <v>24</v>
      </c>
      <c r="C85" s="83">
        <f>IF(B85&lt;&gt;"",COUNTIF(B85:$B$556,"〇"),"")</f>
        <v>148</v>
      </c>
      <c r="D85" s="42" t="s">
        <v>2107</v>
      </c>
      <c r="E85" s="85" t="str">
        <f>IF(ISERROR(_xlfn.XLOOKUP(D85,[1]購入者リスト!G:G,[1]購入者リスト!B:B,,0,1)),"",_xlfn.XLOOKUP(D85,[1]購入者リスト!G:G,[1]購入者リスト!B:B,,0,1))</f>
        <v/>
      </c>
      <c r="F85" s="86">
        <v>8</v>
      </c>
      <c r="G85" s="86">
        <v>324</v>
      </c>
      <c r="H85" s="86">
        <v>815</v>
      </c>
      <c r="I85" s="86">
        <v>23</v>
      </c>
      <c r="J85" s="85" t="s">
        <v>17</v>
      </c>
      <c r="K85" s="87" t="s">
        <v>2062</v>
      </c>
      <c r="L85" s="88">
        <f>IF(K85&lt;&gt;"",COUNTIF(K:K,K85),"")</f>
        <v>21</v>
      </c>
      <c r="N85" s="79"/>
      <c r="O85" s="79"/>
    </row>
    <row r="86" spans="1:16" ht="15">
      <c r="B86" s="82" t="s">
        <v>24</v>
      </c>
      <c r="C86" s="83">
        <f>IF(B86&lt;&gt;"",COUNTIF(B86:$B$556,"〇"),"")</f>
        <v>147</v>
      </c>
      <c r="D86" s="42" t="s">
        <v>2108</v>
      </c>
      <c r="E86" s="85" t="str">
        <f>IF(ISERROR(_xlfn.XLOOKUP(D86,[1]購入者リスト!G:G,[1]購入者リスト!B:B,,0,1)),"",_xlfn.XLOOKUP(D86,[1]購入者リスト!G:G,[1]購入者リスト!B:B,,0,1))</f>
        <v/>
      </c>
      <c r="F86" s="86">
        <v>7</v>
      </c>
      <c r="G86" s="86">
        <v>382</v>
      </c>
      <c r="H86" s="86">
        <v>175</v>
      </c>
      <c r="I86" s="86">
        <v>59</v>
      </c>
      <c r="J86" s="85" t="s">
        <v>24</v>
      </c>
      <c r="K86" s="87" t="s">
        <v>2109</v>
      </c>
      <c r="L86" s="88">
        <f>IF(K86&lt;&gt;"",COUNTIF(K:K,K86),"")</f>
        <v>6</v>
      </c>
    </row>
    <row r="87" spans="1:16" ht="15">
      <c r="B87" s="82" t="s">
        <v>24</v>
      </c>
      <c r="C87" s="83">
        <f>IF(B87&lt;&gt;"",COUNTIF(B87:$B$556,"〇"),"")</f>
        <v>146</v>
      </c>
      <c r="D87" s="42" t="s">
        <v>2110</v>
      </c>
      <c r="E87" s="85" t="str">
        <f>IF(ISERROR(_xlfn.XLOOKUP(D87,[1]購入者リスト!G:G,[1]購入者リスト!B:B,,0,1)),"",_xlfn.XLOOKUP(D87,[1]購入者リスト!G:G,[1]購入者リスト!B:B,,0,1))</f>
        <v/>
      </c>
      <c r="F87" s="86">
        <v>4</v>
      </c>
      <c r="G87" s="86">
        <v>28</v>
      </c>
      <c r="H87" s="86">
        <v>11</v>
      </c>
      <c r="I87" s="86">
        <v>0</v>
      </c>
      <c r="J87" s="85" t="s">
        <v>17</v>
      </c>
      <c r="K87" s="87" t="s">
        <v>2111</v>
      </c>
      <c r="L87" s="88">
        <f>IF(K87&lt;&gt;"",COUNTIF(K:K,K87),"")</f>
        <v>2</v>
      </c>
    </row>
    <row r="88" spans="1:16" ht="15">
      <c r="B88" s="82" t="s">
        <v>24</v>
      </c>
      <c r="C88" s="83">
        <f>IF(B88&lt;&gt;"",COUNTIF(B88:$B$556,"〇"),"")</f>
        <v>145</v>
      </c>
      <c r="D88" s="42" t="s">
        <v>2112</v>
      </c>
      <c r="E88" s="85" t="str">
        <f>IF(ISERROR(_xlfn.XLOOKUP(D88,[1]購入者リスト!G:G,[1]購入者リスト!B:B,,0,1)),"",_xlfn.XLOOKUP(D88,[1]購入者リスト!G:G,[1]購入者リスト!B:B,,0,1))</f>
        <v/>
      </c>
      <c r="F88" s="86">
        <v>5</v>
      </c>
      <c r="G88" s="86">
        <v>228</v>
      </c>
      <c r="H88" s="86">
        <v>21</v>
      </c>
      <c r="I88" s="86">
        <v>2</v>
      </c>
      <c r="J88" s="85" t="s">
        <v>17</v>
      </c>
      <c r="K88" s="87" t="s">
        <v>2057</v>
      </c>
      <c r="L88" s="88">
        <f>IF(K88&lt;&gt;"",COUNTIF(K:K,K88),"")</f>
        <v>72</v>
      </c>
    </row>
    <row r="89" spans="1:16" ht="15">
      <c r="B89" s="82" t="s">
        <v>24</v>
      </c>
      <c r="C89" s="83">
        <f>IF(B89&lt;&gt;"",COUNTIF(B89:$B$556,"〇"),"")</f>
        <v>144</v>
      </c>
      <c r="D89" s="42" t="s">
        <v>2113</v>
      </c>
      <c r="E89" s="85" t="str">
        <f>IF(ISERROR(_xlfn.XLOOKUP(D89,[1]購入者リスト!G:G,[1]購入者リスト!B:B,,0,1)),"",_xlfn.XLOOKUP(D89,[1]購入者リスト!G:G,[1]購入者リスト!B:B,,0,1))</f>
        <v/>
      </c>
      <c r="F89" s="86">
        <v>1</v>
      </c>
      <c r="G89" s="86">
        <v>558</v>
      </c>
      <c r="H89" s="86">
        <v>0</v>
      </c>
      <c r="I89" s="86">
        <v>5</v>
      </c>
      <c r="J89" s="85" t="s">
        <v>17</v>
      </c>
      <c r="K89" s="87" t="s">
        <v>2057</v>
      </c>
      <c r="L89" s="88">
        <f>IF(K89&lt;&gt;"",COUNTIF(K:K,K89),"")</f>
        <v>72</v>
      </c>
    </row>
    <row r="90" spans="1:16" ht="15">
      <c r="B90" s="82" t="s">
        <v>24</v>
      </c>
      <c r="C90" s="83">
        <f>IF(B90&lt;&gt;"",COUNTIF(B90:$B$556,"〇"),"")</f>
        <v>143</v>
      </c>
      <c r="D90" s="42" t="s">
        <v>2114</v>
      </c>
      <c r="E90" s="85" t="str">
        <f>IF(ISERROR(_xlfn.XLOOKUP(D90,[1]購入者リスト!G:G,[1]購入者リスト!B:B,,0,1)),"",_xlfn.XLOOKUP(D90,[1]購入者リスト!G:G,[1]購入者リスト!B:B,,0,1))</f>
        <v/>
      </c>
      <c r="F90" s="86">
        <v>8</v>
      </c>
      <c r="G90" s="86">
        <v>896</v>
      </c>
      <c r="H90" s="86">
        <v>595</v>
      </c>
      <c r="I90" s="86">
        <v>12</v>
      </c>
      <c r="J90" s="85" t="s">
        <v>17</v>
      </c>
      <c r="K90" s="87" t="s">
        <v>2053</v>
      </c>
      <c r="L90" s="88">
        <f>IF(K90&lt;&gt;"",COUNTIF(K:K,K90),"")</f>
        <v>13</v>
      </c>
    </row>
    <row r="91" spans="1:16" ht="15">
      <c r="B91" s="82" t="s">
        <v>24</v>
      </c>
      <c r="C91" s="83">
        <f>IF(B91&lt;&gt;"",COUNTIF(B91:$B$556,"〇"),"")</f>
        <v>142</v>
      </c>
      <c r="D91" s="42" t="s">
        <v>2115</v>
      </c>
      <c r="E91" s="85" t="str">
        <f>IF(ISERROR(_xlfn.XLOOKUP(D91,[1]購入者リスト!G:G,[1]購入者リスト!B:B,,0,1)),"",_xlfn.XLOOKUP(D91,[1]購入者リスト!G:G,[1]購入者リスト!B:B,,0,1))</f>
        <v/>
      </c>
      <c r="F91" s="86">
        <v>7</v>
      </c>
      <c r="G91" s="86">
        <v>692</v>
      </c>
      <c r="H91" s="86">
        <v>304</v>
      </c>
      <c r="I91" s="86">
        <v>6</v>
      </c>
      <c r="J91" s="85" t="s">
        <v>17</v>
      </c>
      <c r="K91" s="87" t="s">
        <v>2116</v>
      </c>
      <c r="L91" s="88">
        <f>IF(K91&lt;&gt;"",COUNTIF(K:K,K91),"")</f>
        <v>11</v>
      </c>
    </row>
    <row r="92" spans="1:16" ht="15">
      <c r="B92" s="82" t="s">
        <v>24</v>
      </c>
      <c r="C92" s="83">
        <f>IF(B92&lt;&gt;"",COUNTIF(B92:$B$556,"〇"),"")</f>
        <v>141</v>
      </c>
      <c r="D92" s="42" t="s">
        <v>2117</v>
      </c>
      <c r="E92" s="85" t="str">
        <f>IF(ISERROR(_xlfn.XLOOKUP(D92,[1]購入者リスト!G:G,[1]購入者リスト!B:B,,0,1)),"",_xlfn.XLOOKUP(D92,[1]購入者リスト!G:G,[1]購入者リスト!B:B,,0,1))</f>
        <v/>
      </c>
      <c r="F92" s="86">
        <v>1</v>
      </c>
      <c r="G92" s="86">
        <v>233</v>
      </c>
      <c r="H92" s="86">
        <v>0</v>
      </c>
      <c r="I92" s="86">
        <v>3</v>
      </c>
      <c r="J92" s="85" t="s">
        <v>17</v>
      </c>
      <c r="K92" s="87" t="s">
        <v>2057</v>
      </c>
      <c r="L92" s="88">
        <f>IF(K92&lt;&gt;"",COUNTIF(K:K,K92),"")</f>
        <v>72</v>
      </c>
    </row>
    <row r="93" spans="1:16" ht="15">
      <c r="A93" s="79"/>
      <c r="B93" s="82"/>
      <c r="C93" s="83" t="str">
        <f>IF(B93&lt;&gt;"",COUNTIF(B93:$B$556,"〇"),"")</f>
        <v/>
      </c>
      <c r="D93" s="42" t="s">
        <v>2058</v>
      </c>
      <c r="E93" s="85" t="str">
        <f>IF(ISERROR(_xlfn.XLOOKUP(D93,[1]購入者リスト!G:G,[1]購入者リスト!B:B,,0,1)),"",_xlfn.XLOOKUP(D93,[1]購入者リスト!G:G,[1]購入者リスト!B:B,,0,1))</f>
        <v/>
      </c>
      <c r="F93" s="86">
        <v>2</v>
      </c>
      <c r="G93" s="86">
        <v>336</v>
      </c>
      <c r="H93" s="86">
        <v>2</v>
      </c>
      <c r="I93" s="86">
        <v>0</v>
      </c>
      <c r="J93" s="85" t="s">
        <v>17</v>
      </c>
      <c r="K93" s="87" t="s">
        <v>2057</v>
      </c>
      <c r="L93" s="88">
        <f>IF(K93&lt;&gt;"",COUNTIF(K:K,K93),"")</f>
        <v>72</v>
      </c>
      <c r="M93" s="79"/>
    </row>
    <row r="94" spans="1:16" ht="15">
      <c r="A94"/>
      <c r="B94" s="82" t="s">
        <v>24</v>
      </c>
      <c r="C94" s="83">
        <f>IF(B94&lt;&gt;"",COUNTIF(B94:$B$556,"〇"),"")</f>
        <v>140</v>
      </c>
      <c r="D94" s="42" t="s">
        <v>2118</v>
      </c>
      <c r="E94" s="85" t="str">
        <f>IF(ISERROR(_xlfn.XLOOKUP(D94,[1]購入者リスト!G:G,[1]購入者リスト!B:B,,0,1)),"",_xlfn.XLOOKUP(D94,[1]購入者リスト!G:G,[1]購入者リスト!B:B,,0,1))</f>
        <v/>
      </c>
      <c r="F94" s="86">
        <v>1</v>
      </c>
      <c r="G94" s="86">
        <v>51</v>
      </c>
      <c r="H94" s="86">
        <v>0</v>
      </c>
      <c r="I94" s="86">
        <v>0</v>
      </c>
      <c r="J94" s="85" t="s">
        <v>17</v>
      </c>
      <c r="K94" s="87" t="s">
        <v>2057</v>
      </c>
      <c r="L94" s="88">
        <f>IF(K94&lt;&gt;"",COUNTIF(K:K,K94),"")</f>
        <v>72</v>
      </c>
    </row>
    <row r="95" spans="1:16" ht="15">
      <c r="B95" s="82" t="s">
        <v>24</v>
      </c>
      <c r="C95" s="83">
        <f>IF(B95&lt;&gt;"",COUNTIF(B95:$B$556,"〇"),"")</f>
        <v>139</v>
      </c>
      <c r="D95" s="42" t="s">
        <v>2119</v>
      </c>
      <c r="E95" s="85" t="str">
        <f>IF(ISERROR(_xlfn.XLOOKUP(D95,[1]購入者リスト!G:G,[1]購入者リスト!B:B,,0,1)),"",_xlfn.XLOOKUP(D95,[1]購入者リスト!G:G,[1]購入者リスト!B:B,,0,1))</f>
        <v/>
      </c>
      <c r="F95" s="86">
        <v>2</v>
      </c>
      <c r="G95" s="86">
        <v>45</v>
      </c>
      <c r="H95" s="86">
        <v>2</v>
      </c>
      <c r="I95" s="86">
        <v>0</v>
      </c>
      <c r="J95" s="85" t="s">
        <v>17</v>
      </c>
      <c r="K95" s="87" t="s">
        <v>2088</v>
      </c>
      <c r="L95" s="88">
        <f>IF(K95&lt;&gt;"",COUNTIF(K:K,K95),"")</f>
        <v>4</v>
      </c>
      <c r="N95"/>
    </row>
    <row r="96" spans="1:16" ht="15">
      <c r="B96" s="82" t="s">
        <v>24</v>
      </c>
      <c r="C96" s="83">
        <f>IF(B96&lt;&gt;"",COUNTIF(B96:$B$556,"〇"),"")</f>
        <v>138</v>
      </c>
      <c r="D96" s="42" t="s">
        <v>2120</v>
      </c>
      <c r="E96" s="85" t="str">
        <f>IF(ISERROR(_xlfn.XLOOKUP(D96,[1]購入者リスト!G:G,[1]購入者リスト!B:B,,0,1)),"",_xlfn.XLOOKUP(D96,[1]購入者リスト!G:G,[1]購入者リスト!B:B,,0,1))</f>
        <v/>
      </c>
      <c r="F96" s="86">
        <v>8</v>
      </c>
      <c r="G96" s="86">
        <v>429</v>
      </c>
      <c r="H96" s="86">
        <v>256</v>
      </c>
      <c r="I96" s="86">
        <v>34</v>
      </c>
      <c r="J96" s="85" t="s">
        <v>24</v>
      </c>
      <c r="K96" s="87" t="s">
        <v>2116</v>
      </c>
      <c r="L96" s="88">
        <f>IF(K96&lt;&gt;"",COUNTIF(K:K,K96),"")</f>
        <v>11</v>
      </c>
      <c r="P96" s="79"/>
    </row>
    <row r="97" spans="2:15" ht="15">
      <c r="B97" s="82" t="s">
        <v>24</v>
      </c>
      <c r="C97" s="83">
        <f>IF(B97&lt;&gt;"",COUNTIF(B97:$B$556,"〇"),"")</f>
        <v>137</v>
      </c>
      <c r="D97" s="42" t="s">
        <v>1727</v>
      </c>
      <c r="E97" s="85">
        <f>IF(ISERROR(_xlfn.XLOOKUP(D97,[1]購入者リスト!G:G,[1]購入者リスト!B:B,,0,1)),"",_xlfn.XLOOKUP(D97,[1]購入者リスト!G:G,[1]購入者リスト!B:B,,0,1))</f>
        <v>0</v>
      </c>
      <c r="F97" s="86">
        <v>7</v>
      </c>
      <c r="G97" s="86">
        <v>851</v>
      </c>
      <c r="H97" s="86">
        <v>195</v>
      </c>
      <c r="I97" s="86">
        <v>32</v>
      </c>
      <c r="J97" s="85" t="s">
        <v>24</v>
      </c>
      <c r="K97" s="87" t="s">
        <v>2121</v>
      </c>
      <c r="L97" s="88">
        <f>IF(K97&lt;&gt;"",COUNTIF(K:K,K97),"")</f>
        <v>2</v>
      </c>
    </row>
    <row r="98" spans="2:15" ht="15">
      <c r="B98" s="82" t="s">
        <v>24</v>
      </c>
      <c r="C98" s="83">
        <f>IF(B98&lt;&gt;"",COUNTIF(B98:$B$556,"〇"),"")</f>
        <v>136</v>
      </c>
      <c r="D98" s="42" t="s">
        <v>2122</v>
      </c>
      <c r="E98" s="85" t="str">
        <f>IF(ISERROR(_xlfn.XLOOKUP(D98,[1]購入者リスト!G:G,[1]購入者リスト!B:B,,0,1)),"",_xlfn.XLOOKUP(D98,[1]購入者リスト!G:G,[1]購入者リスト!B:B,,0,1))</f>
        <v/>
      </c>
      <c r="F98" s="86">
        <v>10</v>
      </c>
      <c r="G98" s="86">
        <v>1305</v>
      </c>
      <c r="H98" s="86">
        <v>1233</v>
      </c>
      <c r="I98" s="86">
        <v>357</v>
      </c>
      <c r="J98" s="85" t="s">
        <v>24</v>
      </c>
      <c r="K98" s="87" t="s">
        <v>2088</v>
      </c>
      <c r="L98" s="88">
        <f>IF(K98&lt;&gt;"",COUNTIF(K:K,K98),"")</f>
        <v>4</v>
      </c>
    </row>
    <row r="99" spans="2:15" ht="15">
      <c r="B99" s="82" t="s">
        <v>24</v>
      </c>
      <c r="C99" s="83">
        <f>IF(B99&lt;&gt;"",COUNTIF(B99:$B$556,"〇"),"")</f>
        <v>135</v>
      </c>
      <c r="D99" s="42" t="s">
        <v>2123</v>
      </c>
      <c r="E99" s="85" t="str">
        <f>IF(ISERROR(_xlfn.XLOOKUP(D99,[1]購入者リスト!G:G,[1]購入者リスト!B:B,,0,1)),"",_xlfn.XLOOKUP(D99,[1]購入者リスト!G:G,[1]購入者リスト!B:B,,0,1))</f>
        <v/>
      </c>
      <c r="F99" s="86">
        <v>6</v>
      </c>
      <c r="G99" s="86">
        <v>424</v>
      </c>
      <c r="H99" s="86">
        <v>85</v>
      </c>
      <c r="I99" s="86">
        <v>1</v>
      </c>
      <c r="J99" s="85" t="s">
        <v>17</v>
      </c>
      <c r="K99" s="87" t="s">
        <v>2069</v>
      </c>
      <c r="L99" s="88">
        <f>IF(K99&lt;&gt;"",COUNTIF(K:K,K99),"")</f>
        <v>6</v>
      </c>
    </row>
    <row r="100" spans="2:15" ht="15">
      <c r="B100" s="82" t="s">
        <v>24</v>
      </c>
      <c r="C100" s="83">
        <f>IF(B100&lt;&gt;"",COUNTIF(B100:$B$556,"〇"),"")</f>
        <v>134</v>
      </c>
      <c r="D100" s="42" t="s">
        <v>2124</v>
      </c>
      <c r="E100" s="85" t="str">
        <f>IF(ISERROR(_xlfn.XLOOKUP(D100,[1]購入者リスト!G:G,[1]購入者リスト!B:B,,0,1)),"",_xlfn.XLOOKUP(D100,[1]購入者リスト!G:G,[1]購入者リスト!B:B,,0,1))</f>
        <v/>
      </c>
      <c r="F100" s="86">
        <v>7</v>
      </c>
      <c r="G100" s="86">
        <v>2082</v>
      </c>
      <c r="H100" s="86">
        <v>151</v>
      </c>
      <c r="I100" s="86">
        <v>31</v>
      </c>
      <c r="J100" s="85" t="s">
        <v>17</v>
      </c>
      <c r="K100" s="87" t="s">
        <v>2060</v>
      </c>
      <c r="L100" s="88">
        <f>IF(K100&lt;&gt;"",COUNTIF(K:K,K100),"")</f>
        <v>12</v>
      </c>
    </row>
    <row r="101" spans="2:15" ht="15">
      <c r="B101" s="82" t="s">
        <v>24</v>
      </c>
      <c r="C101" s="83">
        <f>IF(B101&lt;&gt;"",COUNTIF(B101:$B$556,"〇"),"")</f>
        <v>133</v>
      </c>
      <c r="D101" s="42" t="s">
        <v>2125</v>
      </c>
      <c r="E101" s="85" t="str">
        <f>IF(ISERROR(_xlfn.XLOOKUP(D101,[1]購入者リスト!G:G,[1]購入者リスト!B:B,,0,1)),"",_xlfn.XLOOKUP(D101,[1]購入者リスト!G:G,[1]購入者リスト!B:B,,0,1))</f>
        <v/>
      </c>
      <c r="F101" s="86">
        <v>5</v>
      </c>
      <c r="G101" s="86">
        <v>93</v>
      </c>
      <c r="H101" s="86">
        <v>20</v>
      </c>
      <c r="I101" s="86">
        <v>1</v>
      </c>
      <c r="J101" s="85" t="s">
        <v>17</v>
      </c>
      <c r="K101" s="87" t="s">
        <v>2126</v>
      </c>
      <c r="L101" s="88">
        <f>IF(K101&lt;&gt;"",COUNTIF(K:K,K101),"")</f>
        <v>3</v>
      </c>
    </row>
    <row r="102" spans="2:15" ht="15">
      <c r="B102" s="82" t="s">
        <v>24</v>
      </c>
      <c r="C102" s="83">
        <f>IF(B102&lt;&gt;"",COUNTIF(B102:$B$556,"〇"),"")</f>
        <v>132</v>
      </c>
      <c r="D102" s="42" t="s">
        <v>2127</v>
      </c>
      <c r="E102" s="85" t="str">
        <f>IF(ISERROR(_xlfn.XLOOKUP(D102,[1]購入者リスト!G:G,[1]購入者リスト!B:B,,0,1)),"",_xlfn.XLOOKUP(D102,[1]購入者リスト!G:G,[1]購入者リスト!B:B,,0,1))</f>
        <v/>
      </c>
      <c r="F102" s="86">
        <v>8</v>
      </c>
      <c r="G102" s="86">
        <v>945</v>
      </c>
      <c r="H102" s="86">
        <v>501</v>
      </c>
      <c r="I102" s="86">
        <v>145</v>
      </c>
      <c r="J102" s="85" t="s">
        <v>24</v>
      </c>
      <c r="K102" s="87" t="s">
        <v>2082</v>
      </c>
      <c r="L102" s="88">
        <f>IF(K102&lt;&gt;"",COUNTIF(K:K,K102),"")</f>
        <v>2</v>
      </c>
    </row>
    <row r="103" spans="2:15" ht="15">
      <c r="B103" s="82" t="s">
        <v>24</v>
      </c>
      <c r="C103" s="83">
        <f>IF(B103&lt;&gt;"",COUNTIF(B103:$B$556,"〇"),"")</f>
        <v>131</v>
      </c>
      <c r="D103" s="42" t="s">
        <v>2128</v>
      </c>
      <c r="E103" s="85" t="str">
        <f>IF(ISERROR(_xlfn.XLOOKUP(D103,[1]購入者リスト!G:G,[1]購入者リスト!B:B,,0,1)),"",_xlfn.XLOOKUP(D103,[1]購入者リスト!G:G,[1]購入者リスト!B:B,,0,1))</f>
        <v/>
      </c>
      <c r="F103" s="86">
        <v>1</v>
      </c>
      <c r="G103" s="86">
        <v>83</v>
      </c>
      <c r="H103" s="86">
        <v>0</v>
      </c>
      <c r="I103" s="86">
        <v>1</v>
      </c>
      <c r="J103" s="85" t="s">
        <v>17</v>
      </c>
      <c r="K103" s="87" t="s">
        <v>2057</v>
      </c>
      <c r="L103" s="88">
        <f>IF(K103&lt;&gt;"",COUNTIF(K:K,K103),"")</f>
        <v>72</v>
      </c>
      <c r="N103" s="79"/>
      <c r="O103" s="79"/>
    </row>
    <row r="104" spans="2:15" ht="15">
      <c r="B104" s="82" t="s">
        <v>24</v>
      </c>
      <c r="C104" s="83">
        <f>IF(B104&lt;&gt;"",COUNTIF(B104:$B$556,"〇"),"")</f>
        <v>130</v>
      </c>
      <c r="D104" s="42" t="s">
        <v>2129</v>
      </c>
      <c r="E104" s="85" t="str">
        <f>IF(ISERROR(_xlfn.XLOOKUP(D104,[1]購入者リスト!G:G,[1]購入者リスト!B:B,,0,1)),"",_xlfn.XLOOKUP(D104,[1]購入者リスト!G:G,[1]購入者リスト!B:B,,0,1))</f>
        <v/>
      </c>
      <c r="F104" s="86">
        <v>10</v>
      </c>
      <c r="G104" s="86">
        <v>4220</v>
      </c>
      <c r="H104" s="86">
        <v>2722</v>
      </c>
      <c r="I104" s="86">
        <v>971</v>
      </c>
      <c r="J104" s="85" t="s">
        <v>24</v>
      </c>
      <c r="K104" s="87" t="s">
        <v>2090</v>
      </c>
      <c r="L104" s="88">
        <f>IF(K104&lt;&gt;"",COUNTIF(K:K,K104),"")</f>
        <v>8</v>
      </c>
    </row>
    <row r="105" spans="2:15" ht="15">
      <c r="B105" s="82" t="s">
        <v>24</v>
      </c>
      <c r="C105" s="83">
        <f>IF(B105&lt;&gt;"",COUNTIF(B105:$B$556,"〇"),"")</f>
        <v>129</v>
      </c>
      <c r="D105" s="42" t="s">
        <v>2130</v>
      </c>
      <c r="E105" s="85" t="str">
        <f>IF(ISERROR(_xlfn.XLOOKUP(D105,[1]購入者リスト!G:G,[1]購入者リスト!B:B,,0,1)),"",_xlfn.XLOOKUP(D105,[1]購入者リスト!G:G,[1]購入者リスト!B:B,,0,1))</f>
        <v/>
      </c>
      <c r="F105" s="86">
        <v>4</v>
      </c>
      <c r="G105" s="86">
        <v>268</v>
      </c>
      <c r="H105" s="86">
        <v>10</v>
      </c>
      <c r="I105" s="86">
        <v>2</v>
      </c>
      <c r="J105" s="85" t="s">
        <v>17</v>
      </c>
      <c r="K105" s="87" t="s">
        <v>2131</v>
      </c>
      <c r="L105" s="88">
        <f>IF(K105&lt;&gt;"",COUNTIF(K:K,K105),"")</f>
        <v>1</v>
      </c>
    </row>
    <row r="106" spans="2:15" ht="15">
      <c r="B106" s="82" t="s">
        <v>24</v>
      </c>
      <c r="C106" s="83">
        <f>IF(B106&lt;&gt;"",COUNTIF(B106:$B$556,"〇"),"")</f>
        <v>128</v>
      </c>
      <c r="D106" s="42" t="s">
        <v>2132</v>
      </c>
      <c r="E106" s="85" t="str">
        <f>IF(ISERROR(_xlfn.XLOOKUP(D106,[1]購入者リスト!G:G,[1]購入者リスト!B:B,,0,1)),"",_xlfn.XLOOKUP(D106,[1]購入者リスト!G:G,[1]購入者リスト!B:B,,0,1))</f>
        <v/>
      </c>
      <c r="F106" s="86">
        <v>8</v>
      </c>
      <c r="G106" s="86">
        <v>644</v>
      </c>
      <c r="H106" s="86">
        <v>399</v>
      </c>
      <c r="I106" s="86">
        <v>28</v>
      </c>
      <c r="J106" s="85" t="s">
        <v>24</v>
      </c>
      <c r="K106" s="87" t="s">
        <v>2133</v>
      </c>
      <c r="L106" s="88">
        <f>IF(K106&lt;&gt;"",COUNTIF(K:K,K106),"")</f>
        <v>1</v>
      </c>
    </row>
    <row r="107" spans="2:15" ht="15">
      <c r="B107" s="82" t="s">
        <v>24</v>
      </c>
      <c r="C107" s="83">
        <f>IF(B107&lt;&gt;"",COUNTIF(B107:$B$556,"〇"),"")</f>
        <v>127</v>
      </c>
      <c r="D107" s="42" t="s">
        <v>2134</v>
      </c>
      <c r="E107" s="85" t="str">
        <f>IF(ISERROR(_xlfn.XLOOKUP(D107,[1]購入者リスト!G:G,[1]購入者リスト!B:B,,0,1)),"",_xlfn.XLOOKUP(D107,[1]購入者リスト!G:G,[1]購入者リスト!B:B,,0,1))</f>
        <v/>
      </c>
      <c r="F107" s="86">
        <v>8</v>
      </c>
      <c r="G107" s="86">
        <v>251</v>
      </c>
      <c r="H107" s="86">
        <v>210</v>
      </c>
      <c r="I107" s="86">
        <v>0</v>
      </c>
      <c r="J107" s="85" t="s">
        <v>17</v>
      </c>
      <c r="K107" s="87" t="s">
        <v>2057</v>
      </c>
      <c r="L107" s="88">
        <f>IF(K107&lt;&gt;"",COUNTIF(K:K,K107),"")</f>
        <v>72</v>
      </c>
    </row>
    <row r="108" spans="2:15" ht="15">
      <c r="B108" s="82"/>
      <c r="C108" s="83" t="str">
        <f>IF(B108&lt;&gt;"",COUNTIF(B108:$B$556,"〇"),"")</f>
        <v/>
      </c>
      <c r="D108" s="42" t="s">
        <v>2135</v>
      </c>
      <c r="E108" s="85" t="str">
        <f>IF(ISERROR(_xlfn.XLOOKUP(D108,[1]購入者リスト!G:G,[1]購入者リスト!B:B,,0,1)),"",_xlfn.XLOOKUP(D108,[1]購入者リスト!G:G,[1]購入者リスト!B:B,,0,1))</f>
        <v/>
      </c>
      <c r="F108" s="86">
        <v>6</v>
      </c>
      <c r="G108" s="86">
        <v>589</v>
      </c>
      <c r="H108" s="86">
        <v>60</v>
      </c>
      <c r="I108" s="86">
        <v>9</v>
      </c>
      <c r="J108" s="85" t="s">
        <v>17</v>
      </c>
      <c r="K108" s="87" t="s">
        <v>2102</v>
      </c>
      <c r="L108" s="88">
        <f>IF(K108&lt;&gt;"",COUNTIF(K:K,K108),"")</f>
        <v>2</v>
      </c>
    </row>
    <row r="109" spans="2:15" ht="15">
      <c r="B109" s="82" t="s">
        <v>24</v>
      </c>
      <c r="C109" s="83">
        <f>IF(B109&lt;&gt;"",COUNTIF(B109:$B$556,"〇"),"")</f>
        <v>126</v>
      </c>
      <c r="D109" s="42" t="s">
        <v>2136</v>
      </c>
      <c r="E109" s="85" t="str">
        <f>IF(ISERROR(_xlfn.XLOOKUP(D109,[1]購入者リスト!G:G,[1]購入者リスト!B:B,,0,1)),"",_xlfn.XLOOKUP(D109,[1]購入者リスト!G:G,[1]購入者リスト!B:B,,0,1))</f>
        <v/>
      </c>
      <c r="F109" s="86">
        <v>1</v>
      </c>
      <c r="G109" s="86">
        <v>14</v>
      </c>
      <c r="H109" s="86">
        <v>0</v>
      </c>
      <c r="I109" s="86">
        <v>0</v>
      </c>
      <c r="J109" s="85" t="s">
        <v>17</v>
      </c>
      <c r="K109" s="87" t="s">
        <v>2057</v>
      </c>
      <c r="L109" s="88">
        <f>IF(K109&lt;&gt;"",COUNTIF(K:K,K109),"")</f>
        <v>72</v>
      </c>
    </row>
    <row r="110" spans="2:15" ht="15">
      <c r="B110" s="82" t="s">
        <v>24</v>
      </c>
      <c r="C110" s="83">
        <f>IF(B110&lt;&gt;"",COUNTIF(B110:$B$556,"〇"),"")</f>
        <v>125</v>
      </c>
      <c r="D110" s="42" t="s">
        <v>2137</v>
      </c>
      <c r="E110" s="85" t="str">
        <f>IF(ISERROR(_xlfn.XLOOKUP(D110,[1]購入者リスト!G:G,[1]購入者リスト!B:B,,0,1)),"",_xlfn.XLOOKUP(D110,[1]購入者リスト!G:G,[1]購入者リスト!B:B,,0,1))</f>
        <v/>
      </c>
      <c r="F110" s="86">
        <v>10</v>
      </c>
      <c r="G110" s="86">
        <v>10417</v>
      </c>
      <c r="H110" s="86">
        <v>13117</v>
      </c>
      <c r="I110" s="86">
        <v>441</v>
      </c>
      <c r="J110" s="85" t="s">
        <v>17</v>
      </c>
      <c r="K110" s="87" t="s">
        <v>2138</v>
      </c>
      <c r="L110" s="88">
        <f>IF(K110&lt;&gt;"",COUNTIF(K:K,K110),"")</f>
        <v>3</v>
      </c>
    </row>
    <row r="111" spans="2:15" ht="15">
      <c r="B111" s="82" t="s">
        <v>24</v>
      </c>
      <c r="C111" s="83">
        <f>IF(B111&lt;&gt;"",COUNTIF(B111:$B$556,"〇"),"")</f>
        <v>124</v>
      </c>
      <c r="D111" s="42" t="s">
        <v>2139</v>
      </c>
      <c r="E111" s="85" t="str">
        <f>IF(ISERROR(_xlfn.XLOOKUP(D111,[1]購入者リスト!G:G,[1]購入者リスト!B:B,,0,1)),"",_xlfn.XLOOKUP(D111,[1]購入者リスト!G:G,[1]購入者リスト!B:B,,0,1))</f>
        <v/>
      </c>
      <c r="F111" s="86">
        <v>6</v>
      </c>
      <c r="G111" s="86">
        <v>230</v>
      </c>
      <c r="H111" s="86">
        <v>100</v>
      </c>
      <c r="I111" s="86">
        <v>73</v>
      </c>
      <c r="J111" s="85" t="s">
        <v>24</v>
      </c>
      <c r="K111" s="87" t="s">
        <v>2140</v>
      </c>
      <c r="L111" s="88">
        <f>IF(K111&lt;&gt;"",COUNTIF(K:K,K111),"")</f>
        <v>6</v>
      </c>
    </row>
    <row r="112" spans="2:15" ht="15">
      <c r="B112" s="82" t="s">
        <v>24</v>
      </c>
      <c r="C112" s="83">
        <f>IF(B112&lt;&gt;"",COUNTIF(B112:$B$556,"〇"),"")</f>
        <v>123</v>
      </c>
      <c r="D112" s="42" t="s">
        <v>2141</v>
      </c>
      <c r="E112" s="85" t="str">
        <f>IF(ISERROR(_xlfn.XLOOKUP(D112,[1]購入者リスト!G:G,[1]購入者リスト!B:B,,0,1)),"",_xlfn.XLOOKUP(D112,[1]購入者リスト!G:G,[1]購入者リスト!B:B,,0,1))</f>
        <v/>
      </c>
      <c r="F112" s="86">
        <v>9</v>
      </c>
      <c r="G112" s="86">
        <v>1853</v>
      </c>
      <c r="H112" s="86">
        <v>944</v>
      </c>
      <c r="I112" s="86">
        <v>13</v>
      </c>
      <c r="J112" s="85" t="s">
        <v>17</v>
      </c>
      <c r="K112" s="87" t="s">
        <v>2062</v>
      </c>
      <c r="L112" s="88">
        <f>IF(K112&lt;&gt;"",COUNTIF(K:K,K112),"")</f>
        <v>21</v>
      </c>
    </row>
    <row r="113" spans="1:16" ht="15">
      <c r="B113" s="82" t="s">
        <v>24</v>
      </c>
      <c r="C113" s="83">
        <f>IF(B113&lt;&gt;"",COUNTIF(B113:$B$556,"〇"),"")</f>
        <v>122</v>
      </c>
      <c r="D113" s="42" t="s">
        <v>2142</v>
      </c>
      <c r="E113" s="85" t="str">
        <f>IF(ISERROR(_xlfn.XLOOKUP(D113,[1]購入者リスト!G:G,[1]購入者リスト!B:B,,0,1)),"",_xlfn.XLOOKUP(D113,[1]購入者リスト!G:G,[1]購入者リスト!B:B,,0,1))</f>
        <v/>
      </c>
      <c r="F113" s="86">
        <v>4</v>
      </c>
      <c r="G113" s="86">
        <v>1206</v>
      </c>
      <c r="H113" s="86">
        <v>19</v>
      </c>
      <c r="I113" s="86">
        <v>13</v>
      </c>
      <c r="J113" s="85" t="s">
        <v>24</v>
      </c>
      <c r="K113" s="87" t="s">
        <v>2060</v>
      </c>
      <c r="L113" s="88">
        <f>IF(K113&lt;&gt;"",COUNTIF(K:K,K113),"")</f>
        <v>12</v>
      </c>
    </row>
    <row r="114" spans="1:16" ht="15">
      <c r="B114" s="82" t="s">
        <v>24</v>
      </c>
      <c r="C114" s="83">
        <f>IF(B114&lt;&gt;"",COUNTIF(B114:$B$556,"〇"),"")</f>
        <v>121</v>
      </c>
      <c r="D114" s="42" t="s">
        <v>2143</v>
      </c>
      <c r="E114" s="85" t="str">
        <f>IF(ISERROR(_xlfn.XLOOKUP(D114,[1]購入者リスト!G:G,[1]購入者リスト!B:B,,0,1)),"",_xlfn.XLOOKUP(D114,[1]購入者リスト!G:G,[1]購入者リスト!B:B,,0,1))</f>
        <v/>
      </c>
      <c r="F114" s="86">
        <v>8</v>
      </c>
      <c r="G114" s="86">
        <v>246</v>
      </c>
      <c r="H114" s="86">
        <v>243</v>
      </c>
      <c r="I114" s="86">
        <v>312</v>
      </c>
      <c r="J114" s="85" t="s">
        <v>17</v>
      </c>
      <c r="K114" s="87" t="s">
        <v>2055</v>
      </c>
      <c r="L114" s="88">
        <f>IF(K114&lt;&gt;"",COUNTIF(K:K,K114),"")</f>
        <v>9</v>
      </c>
    </row>
    <row r="115" spans="1:16" ht="15">
      <c r="B115" s="82" t="s">
        <v>24</v>
      </c>
      <c r="C115" s="83">
        <f>IF(B115&lt;&gt;"",COUNTIF(B115:$B$556,"〇"),"")</f>
        <v>120</v>
      </c>
      <c r="D115" s="42" t="s">
        <v>2144</v>
      </c>
      <c r="E115" s="85" t="str">
        <f>IF(ISERROR(_xlfn.XLOOKUP(D115,[1]購入者リスト!G:G,[1]購入者リスト!B:B,,0,1)),"",_xlfn.XLOOKUP(D115,[1]購入者リスト!G:G,[1]購入者リスト!B:B,,0,1))</f>
        <v/>
      </c>
      <c r="F115" s="86">
        <v>2</v>
      </c>
      <c r="G115" s="86">
        <v>207</v>
      </c>
      <c r="H115" s="86">
        <v>3</v>
      </c>
      <c r="I115" s="86">
        <v>2</v>
      </c>
      <c r="J115" s="85" t="s">
        <v>17</v>
      </c>
      <c r="K115" s="87" t="s">
        <v>2145</v>
      </c>
      <c r="L115" s="88">
        <f>IF(K115&lt;&gt;"",COUNTIF(K:K,K115),"")</f>
        <v>2</v>
      </c>
    </row>
    <row r="116" spans="1:16" ht="15">
      <c r="B116" s="82" t="s">
        <v>24</v>
      </c>
      <c r="C116" s="83">
        <f>IF(B116&lt;&gt;"",COUNTIF(B116:$B$556,"〇"),"")</f>
        <v>119</v>
      </c>
      <c r="D116" s="42" t="s">
        <v>1812</v>
      </c>
      <c r="E116" s="85">
        <f>IF(ISERROR(_xlfn.XLOOKUP(D116,[1]購入者リスト!G:G,[1]購入者リスト!B:B,,0,1)),"",_xlfn.XLOOKUP(D116,[1]購入者リスト!G:G,[1]購入者リスト!B:B,,0,1))</f>
        <v>0</v>
      </c>
      <c r="F116" s="86">
        <v>4</v>
      </c>
      <c r="G116" s="86">
        <v>97</v>
      </c>
      <c r="H116" s="86">
        <v>14</v>
      </c>
      <c r="I116" s="86">
        <v>1</v>
      </c>
      <c r="J116" s="85" t="s">
        <v>17</v>
      </c>
      <c r="K116" s="87" t="s">
        <v>2140</v>
      </c>
      <c r="L116" s="88">
        <f>IF(K116&lt;&gt;"",COUNTIF(K:K,K116),"")</f>
        <v>6</v>
      </c>
    </row>
    <row r="117" spans="1:16" s="79" customFormat="1" ht="15">
      <c r="A117" s="511"/>
      <c r="B117" s="82" t="s">
        <v>24</v>
      </c>
      <c r="C117" s="83">
        <f>IF(B117&lt;&gt;"",COUNTIF(B117:$B$556,"〇"),"")</f>
        <v>118</v>
      </c>
      <c r="D117" s="42" t="s">
        <v>2146</v>
      </c>
      <c r="E117" s="85" t="str">
        <f>IF(ISERROR(_xlfn.XLOOKUP(D117,[1]購入者リスト!G:G,[1]購入者リスト!B:B,,0,1)),"",_xlfn.XLOOKUP(D117,[1]購入者リスト!G:G,[1]購入者リスト!B:B,,0,1))</f>
        <v/>
      </c>
      <c r="F117" s="86">
        <v>8</v>
      </c>
      <c r="G117" s="86">
        <v>935</v>
      </c>
      <c r="H117" s="86">
        <v>405</v>
      </c>
      <c r="I117" s="86">
        <v>21</v>
      </c>
      <c r="J117" s="85" t="s">
        <v>17</v>
      </c>
      <c r="K117" s="87" t="s">
        <v>2147</v>
      </c>
      <c r="L117" s="88">
        <f>IF(K117&lt;&gt;"",COUNTIF(K:K,K117),"")</f>
        <v>1</v>
      </c>
      <c r="M117"/>
      <c r="N117" s="511"/>
      <c r="O117"/>
      <c r="P117"/>
    </row>
    <row r="118" spans="1:16" ht="15">
      <c r="B118" s="82" t="s">
        <v>24</v>
      </c>
      <c r="C118" s="83">
        <f>IF(B118&lt;&gt;"",COUNTIF(B118:$B$556,"〇"),"")</f>
        <v>117</v>
      </c>
      <c r="D118" s="42" t="s">
        <v>2005</v>
      </c>
      <c r="E118" s="85">
        <f>IF(ISERROR(_xlfn.XLOOKUP(D118,[1]購入者リスト!G:G,[1]購入者リスト!B:B,,0,1)),"",_xlfn.XLOOKUP(D118,[1]購入者リスト!G:G,[1]購入者リスト!B:B,,0,1))</f>
        <v>0</v>
      </c>
      <c r="F118" s="86">
        <v>10</v>
      </c>
      <c r="G118" s="86">
        <v>4090</v>
      </c>
      <c r="H118" s="86">
        <v>3663</v>
      </c>
      <c r="I118" s="86">
        <v>749</v>
      </c>
      <c r="J118" s="85" t="s">
        <v>24</v>
      </c>
      <c r="K118" s="87" t="s">
        <v>2148</v>
      </c>
      <c r="L118" s="88">
        <f>IF(K118&lt;&gt;"",COUNTIF(K:K,K118),"")</f>
        <v>2</v>
      </c>
    </row>
    <row r="119" spans="1:16" ht="15">
      <c r="B119" s="82" t="s">
        <v>24</v>
      </c>
      <c r="C119" s="83">
        <f>IF(B119&lt;&gt;"",COUNTIF(B119:$B$556,"〇"),"")</f>
        <v>116</v>
      </c>
      <c r="D119" s="42" t="s">
        <v>2149</v>
      </c>
      <c r="E119" s="85" t="str">
        <f>IF(ISERROR(_xlfn.XLOOKUP(D119,[1]購入者リスト!G:G,[1]購入者リスト!B:B,,0,1)),"",_xlfn.XLOOKUP(D119,[1]購入者リスト!G:G,[1]購入者リスト!B:B,,0,1))</f>
        <v/>
      </c>
      <c r="F119" s="86">
        <v>1</v>
      </c>
      <c r="G119" s="86">
        <v>231</v>
      </c>
      <c r="H119" s="86">
        <v>0</v>
      </c>
      <c r="I119" s="86">
        <v>3</v>
      </c>
      <c r="J119" s="85" t="s">
        <v>17</v>
      </c>
      <c r="K119" s="87" t="s">
        <v>2057</v>
      </c>
      <c r="L119" s="88">
        <f>IF(K119&lt;&gt;"",COUNTIF(K:K,K119),"")</f>
        <v>72</v>
      </c>
    </row>
    <row r="120" spans="1:16" ht="15">
      <c r="B120" s="82" t="s">
        <v>24</v>
      </c>
      <c r="C120" s="83">
        <f>IF(B120&lt;&gt;"",COUNTIF(B120:$B$556,"〇"),"")</f>
        <v>115</v>
      </c>
      <c r="D120" s="42" t="s">
        <v>2150</v>
      </c>
      <c r="E120" s="85" t="str">
        <f>IF(ISERROR(_xlfn.XLOOKUP(D120,[1]購入者リスト!G:G,[1]購入者リスト!B:B,,0,1)),"",_xlfn.XLOOKUP(D120,[1]購入者リスト!G:G,[1]購入者リスト!B:B,,0,1))</f>
        <v/>
      </c>
      <c r="F120" s="86">
        <v>1</v>
      </c>
      <c r="G120" s="86">
        <v>34</v>
      </c>
      <c r="H120" s="86">
        <v>0</v>
      </c>
      <c r="I120" s="86">
        <v>0</v>
      </c>
      <c r="J120" s="85" t="s">
        <v>17</v>
      </c>
      <c r="K120" s="87" t="s">
        <v>2057</v>
      </c>
      <c r="L120" s="88">
        <f>IF(K120&lt;&gt;"",COUNTIF(K:K,K120),"")</f>
        <v>72</v>
      </c>
    </row>
    <row r="121" spans="1:16" ht="15">
      <c r="B121" s="82" t="s">
        <v>24</v>
      </c>
      <c r="C121" s="83">
        <f>IF(B121&lt;&gt;"",COUNTIF(B121:$B$556,"〇"),"")</f>
        <v>114</v>
      </c>
      <c r="D121" s="42" t="s">
        <v>2151</v>
      </c>
      <c r="E121" s="85" t="str">
        <f>IF(ISERROR(_xlfn.XLOOKUP(D121,[1]購入者リスト!G:G,[1]購入者リスト!B:B,,0,1)),"",_xlfn.XLOOKUP(D121,[1]購入者リスト!G:G,[1]購入者リスト!B:B,,0,1))</f>
        <v/>
      </c>
      <c r="F121" s="86">
        <v>1</v>
      </c>
      <c r="G121" s="86">
        <v>259</v>
      </c>
      <c r="H121" s="86">
        <v>0</v>
      </c>
      <c r="I121" s="86">
        <v>1</v>
      </c>
      <c r="J121" s="85" t="s">
        <v>17</v>
      </c>
      <c r="K121" s="87" t="s">
        <v>2057</v>
      </c>
      <c r="L121" s="88">
        <f>IF(K121&lt;&gt;"",COUNTIF(K:K,K121),"")</f>
        <v>72</v>
      </c>
    </row>
    <row r="122" spans="1:16" ht="15">
      <c r="B122" s="82" t="s">
        <v>24</v>
      </c>
      <c r="C122" s="83">
        <f>IF(B122&lt;&gt;"",COUNTIF(B122:$B$556,"〇"),"")</f>
        <v>113</v>
      </c>
      <c r="D122" s="42" t="s">
        <v>2152</v>
      </c>
      <c r="E122" s="85" t="str">
        <f>IF(ISERROR(_xlfn.XLOOKUP(D122,[1]購入者リスト!G:G,[1]購入者リスト!B:B,,0,1)),"",_xlfn.XLOOKUP(D122,[1]購入者リスト!G:G,[1]購入者リスト!B:B,,0,1))</f>
        <v/>
      </c>
      <c r="F122" s="86">
        <v>7</v>
      </c>
      <c r="G122" s="86">
        <v>424</v>
      </c>
      <c r="H122" s="86">
        <v>165</v>
      </c>
      <c r="I122" s="86">
        <v>11</v>
      </c>
      <c r="J122" s="85" t="s">
        <v>17</v>
      </c>
      <c r="K122" s="87" t="s">
        <v>2057</v>
      </c>
      <c r="L122" s="88">
        <f>IF(K122&lt;&gt;"",COUNTIF(K:K,K122),"")</f>
        <v>72</v>
      </c>
    </row>
    <row r="123" spans="1:16" ht="15">
      <c r="B123" s="82" t="s">
        <v>24</v>
      </c>
      <c r="C123" s="83">
        <f>IF(B123&lt;&gt;"",COUNTIF(B123:$B$556,"〇"),"")</f>
        <v>112</v>
      </c>
      <c r="D123" s="42" t="s">
        <v>2153</v>
      </c>
      <c r="E123" s="85" t="str">
        <f>IF(ISERROR(_xlfn.XLOOKUP(D123,[1]購入者リスト!G:G,[1]購入者リスト!B:B,,0,1)),"",_xlfn.XLOOKUP(D123,[1]購入者リスト!G:G,[1]購入者リスト!B:B,,0,1))</f>
        <v/>
      </c>
      <c r="F123" s="86">
        <v>9</v>
      </c>
      <c r="G123" s="86">
        <v>3231</v>
      </c>
      <c r="H123" s="86">
        <v>514</v>
      </c>
      <c r="I123" s="86">
        <v>255</v>
      </c>
      <c r="J123" s="85" t="s">
        <v>24</v>
      </c>
      <c r="K123" s="87" t="s">
        <v>2116</v>
      </c>
      <c r="L123" s="88">
        <f>IF(K123&lt;&gt;"",COUNTIF(K:K,K123),"")</f>
        <v>11</v>
      </c>
    </row>
    <row r="124" spans="1:16" ht="15">
      <c r="B124" s="82" t="s">
        <v>24</v>
      </c>
      <c r="C124" s="83">
        <f>IF(B124&lt;&gt;"",COUNTIF(B124:$B$556,"〇"),"")</f>
        <v>111</v>
      </c>
      <c r="D124" s="42" t="s">
        <v>2154</v>
      </c>
      <c r="E124" s="85" t="str">
        <f>IF(ISERROR(_xlfn.XLOOKUP(D124,[1]購入者リスト!G:G,[1]購入者リスト!B:B,,0,1)),"",_xlfn.XLOOKUP(D124,[1]購入者リスト!G:G,[1]購入者リスト!B:B,,0,1))</f>
        <v/>
      </c>
      <c r="F124" s="86">
        <v>6</v>
      </c>
      <c r="G124" s="86">
        <v>222</v>
      </c>
      <c r="H124" s="86">
        <v>70</v>
      </c>
      <c r="I124" s="86">
        <v>6</v>
      </c>
      <c r="J124" s="85" t="s">
        <v>24</v>
      </c>
      <c r="K124" s="87" t="s">
        <v>2098</v>
      </c>
      <c r="L124" s="88">
        <f>IF(K124&lt;&gt;"",COUNTIF(K:K,K124),"")</f>
        <v>8</v>
      </c>
    </row>
    <row r="125" spans="1:16" ht="15">
      <c r="B125" s="82" t="s">
        <v>24</v>
      </c>
      <c r="C125" s="83">
        <f>IF(B125&lt;&gt;"",COUNTIF(B125:$B$556,"〇"),"")</f>
        <v>110</v>
      </c>
      <c r="D125" s="42" t="s">
        <v>2155</v>
      </c>
      <c r="E125" s="85" t="str">
        <f>IF(ISERROR(_xlfn.XLOOKUP(D125,[1]購入者リスト!G:G,[1]購入者リスト!B:B,,0,1)),"",_xlfn.XLOOKUP(D125,[1]購入者リスト!G:G,[1]購入者リスト!B:B,,0,1))</f>
        <v/>
      </c>
      <c r="F125" s="86">
        <v>3</v>
      </c>
      <c r="G125" s="86">
        <v>460</v>
      </c>
      <c r="H125" s="86">
        <v>9</v>
      </c>
      <c r="I125" s="86">
        <v>0</v>
      </c>
      <c r="J125" s="85" t="s">
        <v>17</v>
      </c>
      <c r="K125" s="87" t="s">
        <v>2079</v>
      </c>
      <c r="L125" s="88">
        <f>IF(K125&lt;&gt;"",COUNTIF(K:K,K125),"")</f>
        <v>5</v>
      </c>
    </row>
    <row r="126" spans="1:16" ht="15">
      <c r="B126" s="82" t="s">
        <v>24</v>
      </c>
      <c r="C126" s="83">
        <f>IF(B126&lt;&gt;"",COUNTIF(B126:$B$556,"〇"),"")</f>
        <v>109</v>
      </c>
      <c r="D126" s="42" t="s">
        <v>2156</v>
      </c>
      <c r="E126" s="85" t="str">
        <f>IF(ISERROR(_xlfn.XLOOKUP(D126,[1]購入者リスト!G:G,[1]購入者リスト!B:B,,0,1)),"",_xlfn.XLOOKUP(D126,[1]購入者リスト!G:G,[1]購入者リスト!B:B,,0,1))</f>
        <v/>
      </c>
      <c r="F126" s="86">
        <v>4</v>
      </c>
      <c r="G126" s="86">
        <v>279</v>
      </c>
      <c r="H126" s="86">
        <v>10</v>
      </c>
      <c r="I126" s="86">
        <v>11</v>
      </c>
      <c r="J126" s="85" t="s">
        <v>17</v>
      </c>
      <c r="K126" s="87" t="s">
        <v>2074</v>
      </c>
      <c r="L126" s="88">
        <f>IF(K126&lt;&gt;"",COUNTIF(K:K,K126),"")</f>
        <v>2</v>
      </c>
    </row>
    <row r="127" spans="1:16" ht="15">
      <c r="B127" s="82" t="s">
        <v>24</v>
      </c>
      <c r="C127" s="83">
        <f>IF(B127&lt;&gt;"",COUNTIF(B127:$B$556,"〇"),"")</f>
        <v>108</v>
      </c>
      <c r="D127" s="42" t="s">
        <v>2157</v>
      </c>
      <c r="E127" s="85" t="str">
        <f>IF(ISERROR(_xlfn.XLOOKUP(D127,[1]購入者リスト!G:G,[1]購入者リスト!B:B,,0,1)),"",_xlfn.XLOOKUP(D127,[1]購入者リスト!G:G,[1]購入者リスト!B:B,,0,1))</f>
        <v/>
      </c>
      <c r="F127" s="86">
        <v>7</v>
      </c>
      <c r="G127" s="86">
        <v>227</v>
      </c>
      <c r="H127" s="86">
        <v>154</v>
      </c>
      <c r="I127" s="86">
        <v>20</v>
      </c>
      <c r="J127" s="85" t="s">
        <v>24</v>
      </c>
      <c r="K127" s="87" t="s">
        <v>2060</v>
      </c>
      <c r="L127" s="88">
        <f>IF(K127&lt;&gt;"",COUNTIF(K:K,K127),"")</f>
        <v>12</v>
      </c>
    </row>
    <row r="128" spans="1:16" ht="15">
      <c r="B128" s="82" t="s">
        <v>24</v>
      </c>
      <c r="C128" s="83">
        <f>IF(B128&lt;&gt;"",COUNTIF(B128:$B$556,"〇"),"")</f>
        <v>107</v>
      </c>
      <c r="D128" s="42" t="s">
        <v>1900</v>
      </c>
      <c r="E128" s="85">
        <f>IF(ISERROR(_xlfn.XLOOKUP(D128,[1]購入者リスト!G:G,[1]購入者リスト!B:B,,0,1)),"",_xlfn.XLOOKUP(D128,[1]購入者リスト!G:G,[1]購入者リスト!B:B,,0,1))</f>
        <v>0</v>
      </c>
      <c r="F128" s="86">
        <v>9</v>
      </c>
      <c r="G128" s="86">
        <v>917</v>
      </c>
      <c r="H128" s="86">
        <v>547</v>
      </c>
      <c r="I128" s="86">
        <v>216</v>
      </c>
      <c r="J128" s="85" t="s">
        <v>24</v>
      </c>
      <c r="K128" s="87" t="s">
        <v>2087</v>
      </c>
      <c r="L128" s="88">
        <f>IF(K128&lt;&gt;"",COUNTIF(K:K,K128),"")</f>
        <v>6</v>
      </c>
    </row>
    <row r="129" spans="1:16" s="79" customFormat="1" ht="15">
      <c r="A129" s="511"/>
      <c r="B129" s="82"/>
      <c r="C129" s="83" t="str">
        <f>IF(B129&lt;&gt;"",COUNTIF(B129:$B$556,"〇"),"")</f>
        <v/>
      </c>
      <c r="D129" s="42" t="s">
        <v>2158</v>
      </c>
      <c r="E129" s="85" t="str">
        <f>IF(ISERROR(_xlfn.XLOOKUP(D129,[1]購入者リスト!G:G,[1]購入者リスト!B:B,,0,1)),"",_xlfn.XLOOKUP(D129,[1]購入者リスト!G:G,[1]購入者リスト!B:B,,0,1))</f>
        <v/>
      </c>
      <c r="F129" s="86">
        <v>1</v>
      </c>
      <c r="G129" s="86">
        <v>96</v>
      </c>
      <c r="H129" s="86">
        <v>0</v>
      </c>
      <c r="I129" s="86">
        <v>0</v>
      </c>
      <c r="J129" s="85" t="s">
        <v>17</v>
      </c>
      <c r="K129" s="87" t="s">
        <v>2057</v>
      </c>
      <c r="L129" s="88">
        <f>IF(K129&lt;&gt;"",COUNTIF(K:K,K129),"")</f>
        <v>72</v>
      </c>
      <c r="M129"/>
      <c r="N129" s="511"/>
      <c r="O129"/>
      <c r="P129"/>
    </row>
    <row r="130" spans="1:16" ht="15">
      <c r="B130" s="82" t="s">
        <v>24</v>
      </c>
      <c r="C130" s="83">
        <f>IF(B130&lt;&gt;"",COUNTIF(B130:$B$556,"〇"),"")</f>
        <v>106</v>
      </c>
      <c r="D130" s="42" t="s">
        <v>2159</v>
      </c>
      <c r="E130" s="85" t="str">
        <f>IF(ISERROR(_xlfn.XLOOKUP(D130,[1]購入者リスト!G:G,[1]購入者リスト!B:B,,0,1)),"",_xlfn.XLOOKUP(D130,[1]購入者リスト!G:G,[1]購入者リスト!B:B,,0,1))</f>
        <v/>
      </c>
      <c r="F130" s="86">
        <v>3</v>
      </c>
      <c r="G130" s="86">
        <v>98</v>
      </c>
      <c r="H130" s="86">
        <v>7</v>
      </c>
      <c r="I130" s="86">
        <v>0</v>
      </c>
      <c r="J130" s="85" t="s">
        <v>17</v>
      </c>
      <c r="K130" s="87" t="s">
        <v>2116</v>
      </c>
      <c r="L130" s="88">
        <f>IF(K130&lt;&gt;"",COUNTIF(K:K,K130),"")</f>
        <v>11</v>
      </c>
    </row>
    <row r="131" spans="1:16" ht="15">
      <c r="B131" s="82" t="s">
        <v>24</v>
      </c>
      <c r="C131" s="83">
        <f>IF(B131&lt;&gt;"",COUNTIF(B131:$B$556,"〇"),"")</f>
        <v>105</v>
      </c>
      <c r="D131" s="42" t="s">
        <v>2160</v>
      </c>
      <c r="E131" s="85" t="str">
        <f>IF(ISERROR(_xlfn.XLOOKUP(D131,[1]購入者リスト!G:G,[1]購入者リスト!B:B,,0,1)),"",_xlfn.XLOOKUP(D131,[1]購入者リスト!G:G,[1]購入者リスト!B:B,,0,1))</f>
        <v/>
      </c>
      <c r="F131" s="86">
        <v>1</v>
      </c>
      <c r="G131" s="86">
        <v>138</v>
      </c>
      <c r="H131" s="86">
        <v>0</v>
      </c>
      <c r="I131" s="86">
        <v>0</v>
      </c>
      <c r="J131" s="85" t="s">
        <v>17</v>
      </c>
      <c r="K131" s="87" t="s">
        <v>2057</v>
      </c>
      <c r="L131" s="88">
        <f>IF(K131&lt;&gt;"",COUNTIF(K:K,K131),"")</f>
        <v>72</v>
      </c>
    </row>
    <row r="132" spans="1:16" ht="15">
      <c r="B132" s="82" t="s">
        <v>24</v>
      </c>
      <c r="C132" s="83">
        <f>IF(B132&lt;&gt;"",COUNTIF(B132:$B$556,"〇"),"")</f>
        <v>104</v>
      </c>
      <c r="D132" s="42" t="s">
        <v>1844</v>
      </c>
      <c r="E132" s="85">
        <f>IF(ISERROR(_xlfn.XLOOKUP(D132,[1]購入者リスト!G:G,[1]購入者リスト!B:B,,0,1)),"",_xlfn.XLOOKUP(D132,[1]購入者リスト!G:G,[1]購入者リスト!B:B,,0,1))</f>
        <v>0</v>
      </c>
      <c r="F132" s="86">
        <v>1</v>
      </c>
      <c r="G132" s="86">
        <v>424</v>
      </c>
      <c r="H132" s="86">
        <v>0</v>
      </c>
      <c r="I132" s="86">
        <v>0</v>
      </c>
      <c r="J132" s="85" t="s">
        <v>17</v>
      </c>
      <c r="K132" s="87" t="s">
        <v>2109</v>
      </c>
      <c r="L132" s="88">
        <f>IF(K132&lt;&gt;"",COUNTIF(K:K,K132),"")</f>
        <v>6</v>
      </c>
    </row>
    <row r="133" spans="1:16" ht="15">
      <c r="B133" s="82" t="s">
        <v>24</v>
      </c>
      <c r="C133" s="83">
        <f>IF(B133&lt;&gt;"",COUNTIF(B133:$B$556,"〇"),"")</f>
        <v>103</v>
      </c>
      <c r="D133" s="42" t="s">
        <v>1833</v>
      </c>
      <c r="E133" s="85">
        <f>IF(ISERROR(_xlfn.XLOOKUP(D133,[1]購入者リスト!G:G,[1]購入者リスト!B:B,,0,1)),"",_xlfn.XLOOKUP(D133,[1]購入者リスト!G:G,[1]購入者リスト!B:B,,0,1))</f>
        <v>0</v>
      </c>
      <c r="F133" s="86">
        <v>1</v>
      </c>
      <c r="G133" s="86">
        <v>99</v>
      </c>
      <c r="H133" s="86">
        <v>0</v>
      </c>
      <c r="I133" s="86">
        <v>1</v>
      </c>
      <c r="J133" s="85" t="s">
        <v>17</v>
      </c>
      <c r="K133" s="87" t="s">
        <v>2109</v>
      </c>
      <c r="L133" s="88">
        <f>IF(K133&lt;&gt;"",COUNTIF(K:K,K133),"")</f>
        <v>6</v>
      </c>
    </row>
    <row r="134" spans="1:16" ht="15">
      <c r="B134" s="82" t="s">
        <v>24</v>
      </c>
      <c r="C134" s="83">
        <f>IF(B134&lt;&gt;"",COUNTIF(B134:$B$556,"〇"),"")</f>
        <v>102</v>
      </c>
      <c r="D134" s="42" t="s">
        <v>2161</v>
      </c>
      <c r="E134" s="85" t="str">
        <f>IF(ISERROR(_xlfn.XLOOKUP(D134,[1]購入者リスト!G:G,[1]購入者リスト!B:B,,0,1)),"",_xlfn.XLOOKUP(D134,[1]購入者リスト!G:G,[1]購入者リスト!B:B,,0,1))</f>
        <v/>
      </c>
      <c r="F134" s="86">
        <v>7</v>
      </c>
      <c r="G134" s="86">
        <v>948</v>
      </c>
      <c r="H134" s="86">
        <v>144</v>
      </c>
      <c r="I134" s="86">
        <v>11</v>
      </c>
      <c r="J134" s="85" t="s">
        <v>17</v>
      </c>
      <c r="K134" s="87" t="s">
        <v>2089</v>
      </c>
      <c r="L134" s="88">
        <f>IF(K134&lt;&gt;"",COUNTIF(K:K,K134),"")</f>
        <v>7</v>
      </c>
    </row>
    <row r="135" spans="1:16" ht="15">
      <c r="B135" s="82" t="s">
        <v>24</v>
      </c>
      <c r="C135" s="83">
        <f>IF(B135&lt;&gt;"",COUNTIF(B135:$B$556,"〇"),"")</f>
        <v>101</v>
      </c>
      <c r="D135" s="42" t="s">
        <v>2162</v>
      </c>
      <c r="E135" s="85" t="str">
        <f>IF(ISERROR(_xlfn.XLOOKUP(D135,[1]購入者リスト!G:G,[1]購入者リスト!B:B,,0,1)),"",_xlfn.XLOOKUP(D135,[1]購入者リスト!G:G,[1]購入者リスト!B:B,,0,1))</f>
        <v/>
      </c>
      <c r="F135" s="86">
        <v>7</v>
      </c>
      <c r="G135" s="86">
        <v>524</v>
      </c>
      <c r="H135" s="86">
        <v>186</v>
      </c>
      <c r="I135" s="86">
        <v>0</v>
      </c>
      <c r="J135" s="85" t="s">
        <v>17</v>
      </c>
      <c r="K135" s="87" t="s">
        <v>2055</v>
      </c>
      <c r="L135" s="88">
        <f>IF(K135&lt;&gt;"",COUNTIF(K:K,K135),"")</f>
        <v>9</v>
      </c>
    </row>
    <row r="136" spans="1:16" ht="15">
      <c r="B136" s="82" t="s">
        <v>24</v>
      </c>
      <c r="C136" s="83">
        <f>IF(B136&lt;&gt;"",COUNTIF(B136:$B$556,"〇"),"")</f>
        <v>100</v>
      </c>
      <c r="D136" s="42" t="s">
        <v>2163</v>
      </c>
      <c r="E136" s="85" t="str">
        <f>IF(ISERROR(_xlfn.XLOOKUP(D136,[1]購入者リスト!G:G,[1]購入者リスト!B:B,,0,1)),"",_xlfn.XLOOKUP(D136,[1]購入者リスト!G:G,[1]購入者リスト!B:B,,0,1))</f>
        <v/>
      </c>
      <c r="F136" s="86">
        <v>8</v>
      </c>
      <c r="G136" s="86">
        <v>613</v>
      </c>
      <c r="H136" s="86">
        <v>459</v>
      </c>
      <c r="I136" s="86">
        <v>10</v>
      </c>
      <c r="J136" s="85" t="s">
        <v>17</v>
      </c>
      <c r="K136" s="87" t="s">
        <v>2062</v>
      </c>
      <c r="L136" s="88">
        <f>IF(K136&lt;&gt;"",COUNTIF(K:K,K136),"")</f>
        <v>21</v>
      </c>
    </row>
    <row r="137" spans="1:16" ht="15">
      <c r="B137" s="82" t="s">
        <v>24</v>
      </c>
      <c r="C137" s="83">
        <f>IF(B137&lt;&gt;"",COUNTIF(B137:$B$556,"〇"),"")</f>
        <v>99</v>
      </c>
      <c r="D137" s="42" t="s">
        <v>2164</v>
      </c>
      <c r="E137" s="85" t="str">
        <f>IF(ISERROR(_xlfn.XLOOKUP(D137,[1]購入者リスト!G:G,[1]購入者リスト!B:B,,0,1)),"",_xlfn.XLOOKUP(D137,[1]購入者リスト!G:G,[1]購入者リスト!B:B,,0,1))</f>
        <v/>
      </c>
      <c r="F137" s="86">
        <v>1</v>
      </c>
      <c r="G137" s="86">
        <v>194</v>
      </c>
      <c r="H137" s="86">
        <v>0</v>
      </c>
      <c r="I137" s="86">
        <v>3</v>
      </c>
      <c r="J137" s="85" t="s">
        <v>17</v>
      </c>
      <c r="K137" s="87" t="s">
        <v>2057</v>
      </c>
      <c r="L137" s="88">
        <f>IF(K137&lt;&gt;"",COUNTIF(K:K,K137),"")</f>
        <v>72</v>
      </c>
    </row>
    <row r="138" spans="1:16" ht="15">
      <c r="B138" s="82" t="s">
        <v>24</v>
      </c>
      <c r="C138" s="83">
        <f>IF(B138&lt;&gt;"",COUNTIF(B138:$B$556,"〇"),"")</f>
        <v>98</v>
      </c>
      <c r="D138" s="42" t="s">
        <v>2165</v>
      </c>
      <c r="E138" s="85" t="str">
        <f>IF(ISERROR(_xlfn.XLOOKUP(D138,[1]購入者リスト!G:G,[1]購入者リスト!B:B,,0,1)),"",_xlfn.XLOOKUP(D138,[1]購入者リスト!G:G,[1]購入者リスト!B:B,,0,1))</f>
        <v/>
      </c>
      <c r="F138" s="86">
        <v>1</v>
      </c>
      <c r="G138" s="86">
        <v>254</v>
      </c>
      <c r="H138" s="86">
        <v>0</v>
      </c>
      <c r="I138" s="86">
        <v>4</v>
      </c>
      <c r="J138" s="85" t="s">
        <v>17</v>
      </c>
      <c r="K138" s="87" t="s">
        <v>2057</v>
      </c>
      <c r="L138" s="88">
        <f>IF(K138&lt;&gt;"",COUNTIF(K:K,K138),"")</f>
        <v>72</v>
      </c>
    </row>
    <row r="139" spans="1:16" ht="15">
      <c r="B139" s="82" t="s">
        <v>24</v>
      </c>
      <c r="C139" s="83">
        <f>IF(B139&lt;&gt;"",COUNTIF(B139:$B$556,"〇"),"")</f>
        <v>97</v>
      </c>
      <c r="D139" s="42" t="s">
        <v>1826</v>
      </c>
      <c r="E139" s="85">
        <f>IF(ISERROR(_xlfn.XLOOKUP(D139,[1]購入者リスト!G:G,[1]購入者リスト!B:B,,0,1)),"",_xlfn.XLOOKUP(D139,[1]購入者リスト!G:G,[1]購入者リスト!B:B,,0,1))</f>
        <v>0</v>
      </c>
      <c r="F139" s="86">
        <v>1</v>
      </c>
      <c r="G139" s="86">
        <v>26</v>
      </c>
      <c r="H139" s="86">
        <v>0</v>
      </c>
      <c r="I139" s="86">
        <v>0</v>
      </c>
      <c r="J139" s="85" t="s">
        <v>17</v>
      </c>
      <c r="K139" s="87" t="s">
        <v>2140</v>
      </c>
      <c r="L139" s="88">
        <f>IF(K139&lt;&gt;"",COUNTIF(K:K,K139),"")</f>
        <v>6</v>
      </c>
    </row>
    <row r="140" spans="1:16" ht="15">
      <c r="B140" s="82" t="s">
        <v>24</v>
      </c>
      <c r="C140" s="83">
        <f>IF(B140&lt;&gt;"",COUNTIF(B140:$B$556,"〇"),"")</f>
        <v>96</v>
      </c>
      <c r="D140" s="42" t="s">
        <v>2166</v>
      </c>
      <c r="E140" s="85" t="str">
        <f>IF(ISERROR(_xlfn.XLOOKUP(D140,[1]購入者リスト!G:G,[1]購入者リスト!B:B,,0,1)),"",_xlfn.XLOOKUP(D140,[1]購入者リスト!G:G,[1]購入者リスト!B:B,,0,1))</f>
        <v/>
      </c>
      <c r="F140" s="86">
        <v>5</v>
      </c>
      <c r="G140" s="86">
        <v>94</v>
      </c>
      <c r="H140" s="86">
        <v>47</v>
      </c>
      <c r="I140" s="86">
        <v>5</v>
      </c>
      <c r="J140" s="85" t="s">
        <v>24</v>
      </c>
      <c r="K140" s="87" t="s">
        <v>2167</v>
      </c>
      <c r="L140" s="88">
        <f>IF(K140&lt;&gt;"",COUNTIF(K:K,K140),"")</f>
        <v>1</v>
      </c>
    </row>
    <row r="141" spans="1:16" ht="15">
      <c r="B141" s="82" t="s">
        <v>24</v>
      </c>
      <c r="C141" s="83">
        <f>IF(B141&lt;&gt;"",COUNTIF(B141:$B$556,"〇"),"")</f>
        <v>95</v>
      </c>
      <c r="D141" s="42" t="s">
        <v>2168</v>
      </c>
      <c r="E141" s="85" t="str">
        <f>IF(ISERROR(_xlfn.XLOOKUP(D141,[1]購入者リスト!G:G,[1]購入者リスト!B:B,,0,1)),"",_xlfn.XLOOKUP(D141,[1]購入者リスト!G:G,[1]購入者リスト!B:B,,0,1))</f>
        <v/>
      </c>
      <c r="F141" s="86">
        <v>9</v>
      </c>
      <c r="G141" s="86">
        <v>1057</v>
      </c>
      <c r="H141" s="86">
        <v>975</v>
      </c>
      <c r="I141" s="86">
        <v>109</v>
      </c>
      <c r="J141" s="85" t="s">
        <v>24</v>
      </c>
      <c r="K141" s="87" t="s">
        <v>2088</v>
      </c>
      <c r="L141" s="88">
        <f>IF(K141&lt;&gt;"",COUNTIF(K:K,K141),"")</f>
        <v>4</v>
      </c>
    </row>
    <row r="142" spans="1:16" ht="15">
      <c r="B142" s="82" t="s">
        <v>24</v>
      </c>
      <c r="C142" s="83">
        <f>IF(B142&lt;&gt;"",COUNTIF(B142:$B$556,"〇"),"")</f>
        <v>94</v>
      </c>
      <c r="D142" s="42" t="s">
        <v>2169</v>
      </c>
      <c r="E142" s="85" t="str">
        <f>IF(ISERROR(_xlfn.XLOOKUP(D142,[1]購入者リスト!G:G,[1]購入者リスト!B:B,,0,1)),"",_xlfn.XLOOKUP(D142,[1]購入者リスト!G:G,[1]購入者リスト!B:B,,0,1))</f>
        <v/>
      </c>
      <c r="F142" s="86">
        <v>8</v>
      </c>
      <c r="G142" s="86">
        <v>663</v>
      </c>
      <c r="H142" s="86">
        <v>401</v>
      </c>
      <c r="I142" s="86">
        <v>110</v>
      </c>
      <c r="J142" s="85" t="s">
        <v>17</v>
      </c>
      <c r="K142" s="87" t="s">
        <v>2055</v>
      </c>
      <c r="L142" s="88">
        <f>IF(K142&lt;&gt;"",COUNTIF(K:K,K142),"")</f>
        <v>9</v>
      </c>
    </row>
    <row r="143" spans="1:16" ht="15">
      <c r="B143" s="82"/>
      <c r="C143" s="83" t="str">
        <f>IF(B143&lt;&gt;"",COUNTIF(B143:$B$556,"〇"),"")</f>
        <v/>
      </c>
      <c r="D143" s="42" t="s">
        <v>2170</v>
      </c>
      <c r="E143" s="85" t="str">
        <f>IF(ISERROR(_xlfn.XLOOKUP(D143,[1]購入者リスト!G:G,[1]購入者リスト!B:B,,0,1)),"",_xlfn.XLOOKUP(D143,[1]購入者リスト!G:G,[1]購入者リスト!B:B,,0,1))</f>
        <v/>
      </c>
      <c r="F143" s="86">
        <v>8</v>
      </c>
      <c r="G143" s="86">
        <v>1186</v>
      </c>
      <c r="H143" s="86">
        <v>292</v>
      </c>
      <c r="I143" s="86">
        <v>13</v>
      </c>
      <c r="J143" s="85" t="s">
        <v>17</v>
      </c>
      <c r="K143" s="87" t="s">
        <v>2062</v>
      </c>
      <c r="L143" s="88">
        <f>IF(K143&lt;&gt;"",COUNTIF(K:K,K143),"")</f>
        <v>21</v>
      </c>
    </row>
    <row r="144" spans="1:16" ht="15">
      <c r="B144" s="82" t="s">
        <v>24</v>
      </c>
      <c r="C144" s="83">
        <f>IF(B144&lt;&gt;"",COUNTIF(B144:$B$556,"〇"),"")</f>
        <v>93</v>
      </c>
      <c r="D144" s="42" t="s">
        <v>2171</v>
      </c>
      <c r="E144" s="85" t="str">
        <f>IF(ISERROR(_xlfn.XLOOKUP(D144,[1]購入者リスト!G:G,[1]購入者リスト!B:B,,0,1)),"",_xlfn.XLOOKUP(D144,[1]購入者リスト!G:G,[1]購入者リスト!B:B,,0,1))</f>
        <v/>
      </c>
      <c r="F144" s="86">
        <v>2</v>
      </c>
      <c r="G144" s="86">
        <v>113</v>
      </c>
      <c r="H144" s="86">
        <v>2</v>
      </c>
      <c r="I144" s="86">
        <v>2</v>
      </c>
      <c r="J144" s="85" t="s">
        <v>17</v>
      </c>
      <c r="K144" s="87" t="s">
        <v>2062</v>
      </c>
      <c r="L144" s="88">
        <f>IF(K144&lt;&gt;"",COUNTIF(K:K,K144),"")</f>
        <v>21</v>
      </c>
    </row>
    <row r="145" spans="1:16" ht="15">
      <c r="B145" s="82" t="s">
        <v>24</v>
      </c>
      <c r="C145" s="83">
        <f>IF(B145&lt;&gt;"",COUNTIF(B145:$B$556,"〇"),"")</f>
        <v>92</v>
      </c>
      <c r="D145" s="42" t="s">
        <v>2172</v>
      </c>
      <c r="E145" s="85" t="str">
        <f>IF(ISERROR(_xlfn.XLOOKUP(D145,[1]購入者リスト!G:G,[1]購入者リスト!B:B,,0,1)),"",_xlfn.XLOOKUP(D145,[1]購入者リスト!G:G,[1]購入者リスト!B:B,,0,1))</f>
        <v/>
      </c>
      <c r="F145" s="86">
        <v>9</v>
      </c>
      <c r="G145" s="86">
        <v>1109</v>
      </c>
      <c r="H145" s="86">
        <v>597</v>
      </c>
      <c r="I145" s="86">
        <v>23</v>
      </c>
      <c r="J145" s="85" t="s">
        <v>17</v>
      </c>
      <c r="K145" s="87" t="s">
        <v>2060</v>
      </c>
      <c r="L145" s="88">
        <f>IF(K145&lt;&gt;"",COUNTIF(K:K,K145),"")</f>
        <v>12</v>
      </c>
    </row>
    <row r="146" spans="1:16" ht="15">
      <c r="B146" s="82" t="s">
        <v>24</v>
      </c>
      <c r="C146" s="83">
        <f>IF(B146&lt;&gt;"",COUNTIF(B146:$B$556,"〇"),"")</f>
        <v>91</v>
      </c>
      <c r="D146" s="42" t="s">
        <v>2173</v>
      </c>
      <c r="E146" s="85" t="str">
        <f>IF(ISERROR(_xlfn.XLOOKUP(D146,[1]購入者リスト!G:G,[1]購入者リスト!B:B,,0,1)),"",_xlfn.XLOOKUP(D146,[1]購入者リスト!G:G,[1]購入者リスト!B:B,,0,1))</f>
        <v/>
      </c>
      <c r="F146" s="86">
        <v>1</v>
      </c>
      <c r="G146" s="86">
        <v>96</v>
      </c>
      <c r="H146" s="86">
        <v>0</v>
      </c>
      <c r="I146" s="86">
        <v>1</v>
      </c>
      <c r="J146" s="85" t="s">
        <v>17</v>
      </c>
      <c r="K146" s="87" t="s">
        <v>2057</v>
      </c>
      <c r="L146" s="88">
        <f>IF(K146&lt;&gt;"",COUNTIF(K:K,K146),"")</f>
        <v>72</v>
      </c>
    </row>
    <row r="147" spans="1:16" ht="15">
      <c r="B147" s="82" t="s">
        <v>24</v>
      </c>
      <c r="C147" s="83">
        <f>IF(B147&lt;&gt;"",COUNTIF(B147:$B$556,"〇"),"")</f>
        <v>90</v>
      </c>
      <c r="D147" s="42" t="s">
        <v>2174</v>
      </c>
      <c r="E147" s="85" t="str">
        <f>IF(ISERROR(_xlfn.XLOOKUP(D147,[1]購入者リスト!G:G,[1]購入者リスト!B:B,,0,1)),"",_xlfn.XLOOKUP(D147,[1]購入者リスト!G:G,[1]購入者リスト!B:B,,0,1))</f>
        <v/>
      </c>
      <c r="F147" s="86">
        <v>1</v>
      </c>
      <c r="G147" s="86">
        <v>544</v>
      </c>
      <c r="H147" s="86">
        <v>0</v>
      </c>
      <c r="I147" s="86">
        <v>5</v>
      </c>
      <c r="J147" s="85" t="s">
        <v>17</v>
      </c>
      <c r="K147" s="87" t="s">
        <v>2057</v>
      </c>
      <c r="L147" s="88">
        <f>IF(K147&lt;&gt;"",COUNTIF(K:K,K147),"")</f>
        <v>72</v>
      </c>
    </row>
    <row r="148" spans="1:16" ht="15">
      <c r="B148" s="82" t="s">
        <v>24</v>
      </c>
      <c r="C148" s="83">
        <f>IF(B148&lt;&gt;"",COUNTIF(B148:$B$556,"〇"),"")</f>
        <v>89</v>
      </c>
      <c r="D148" s="42" t="s">
        <v>2175</v>
      </c>
      <c r="E148" s="85" t="str">
        <f>IF(ISERROR(_xlfn.XLOOKUP(D148,[1]購入者リスト!G:G,[1]購入者リスト!B:B,,0,1)),"",_xlfn.XLOOKUP(D148,[1]購入者リスト!G:G,[1]購入者リスト!B:B,,0,1))</f>
        <v/>
      </c>
      <c r="F148" s="86">
        <v>8</v>
      </c>
      <c r="G148" s="86">
        <v>1033</v>
      </c>
      <c r="H148" s="86">
        <v>427</v>
      </c>
      <c r="I148" s="86">
        <v>36</v>
      </c>
      <c r="J148" s="85" t="s">
        <v>17</v>
      </c>
      <c r="K148" s="87" t="s">
        <v>2053</v>
      </c>
      <c r="L148" s="88">
        <f>IF(K148&lt;&gt;"",COUNTIF(K:K,K148),"")</f>
        <v>13</v>
      </c>
    </row>
    <row r="149" spans="1:16" ht="15">
      <c r="B149" s="82" t="s">
        <v>24</v>
      </c>
      <c r="C149" s="83">
        <f>IF(B149&lt;&gt;"",COUNTIF(B149:$B$556,"〇"),"")</f>
        <v>88</v>
      </c>
      <c r="D149" s="42" t="s">
        <v>2176</v>
      </c>
      <c r="E149" s="85" t="str">
        <f>IF(ISERROR(_xlfn.XLOOKUP(D149,[1]購入者リスト!G:G,[1]購入者リスト!B:B,,0,1)),"",_xlfn.XLOOKUP(D149,[1]購入者リスト!G:G,[1]購入者リスト!B:B,,0,1))</f>
        <v/>
      </c>
      <c r="F149" s="86">
        <v>1</v>
      </c>
      <c r="G149" s="86">
        <v>38</v>
      </c>
      <c r="H149" s="86">
        <v>0</v>
      </c>
      <c r="I149" s="86">
        <v>1</v>
      </c>
      <c r="J149" s="85" t="s">
        <v>17</v>
      </c>
      <c r="K149" s="87" t="s">
        <v>2057</v>
      </c>
      <c r="L149" s="88">
        <f>IF(K149&lt;&gt;"",COUNTIF(K:K,K149),"")</f>
        <v>72</v>
      </c>
    </row>
    <row r="150" spans="1:16" ht="15">
      <c r="B150" s="82" t="s">
        <v>24</v>
      </c>
      <c r="C150" s="83">
        <f>IF(B150&lt;&gt;"",COUNTIF(B150:$B$556,"〇"),"")</f>
        <v>87</v>
      </c>
      <c r="D150" s="42" t="s">
        <v>2177</v>
      </c>
      <c r="E150" s="85" t="str">
        <f>IF(ISERROR(_xlfn.XLOOKUP(D150,[1]購入者リスト!G:G,[1]購入者リスト!B:B,,0,1)),"",_xlfn.XLOOKUP(D150,[1]購入者リスト!G:G,[1]購入者リスト!B:B,,0,1))</f>
        <v/>
      </c>
      <c r="F150" s="86">
        <v>9</v>
      </c>
      <c r="G150" s="86">
        <v>1301</v>
      </c>
      <c r="H150" s="86">
        <v>989</v>
      </c>
      <c r="I150" s="86">
        <v>601</v>
      </c>
      <c r="J150" s="85" t="s">
        <v>24</v>
      </c>
      <c r="K150" s="87" t="s">
        <v>2090</v>
      </c>
      <c r="L150" s="88">
        <f>IF(K150&lt;&gt;"",COUNTIF(K:K,K150),"")</f>
        <v>8</v>
      </c>
    </row>
    <row r="151" spans="1:16" ht="15">
      <c r="B151" s="82" t="s">
        <v>24</v>
      </c>
      <c r="C151" s="83">
        <f>IF(B151&lt;&gt;"",COUNTIF(B151:$B$556,"〇"),"")</f>
        <v>86</v>
      </c>
      <c r="D151" s="42" t="s">
        <v>2178</v>
      </c>
      <c r="E151" s="85" t="str">
        <f>IF(ISERROR(_xlfn.XLOOKUP(D151,[1]購入者リスト!G:G,[1]購入者リスト!B:B,,0,1)),"",_xlfn.XLOOKUP(D151,[1]購入者リスト!G:G,[1]購入者リスト!B:B,,0,1))</f>
        <v/>
      </c>
      <c r="F151" s="86">
        <v>7</v>
      </c>
      <c r="G151" s="86">
        <v>467</v>
      </c>
      <c r="H151" s="86">
        <v>165</v>
      </c>
      <c r="I151" s="86">
        <v>5</v>
      </c>
      <c r="J151" s="85" t="s">
        <v>17</v>
      </c>
      <c r="K151" s="87" t="s">
        <v>2057</v>
      </c>
      <c r="L151" s="88">
        <f>IF(K151&lt;&gt;"",COUNTIF(K:K,K151),"")</f>
        <v>72</v>
      </c>
    </row>
    <row r="152" spans="1:16" ht="15">
      <c r="B152" s="82" t="s">
        <v>24</v>
      </c>
      <c r="C152" s="83">
        <f>IF(B152&lt;&gt;"",COUNTIF(B152:$B$556,"〇"),"")</f>
        <v>85</v>
      </c>
      <c r="D152" s="42" t="s">
        <v>2179</v>
      </c>
      <c r="E152" s="85" t="str">
        <f>IF(ISERROR(_xlfn.XLOOKUP(D152,[1]購入者リスト!G:G,[1]購入者リスト!B:B,,0,1)),"",_xlfn.XLOOKUP(D152,[1]購入者リスト!G:G,[1]購入者リスト!B:B,,0,1))</f>
        <v/>
      </c>
      <c r="F152" s="86">
        <v>2</v>
      </c>
      <c r="G152" s="86">
        <v>1242</v>
      </c>
      <c r="H152" s="86">
        <v>2</v>
      </c>
      <c r="I152" s="86">
        <v>13</v>
      </c>
      <c r="J152" s="85" t="s">
        <v>17</v>
      </c>
      <c r="K152" s="87" t="s">
        <v>2062</v>
      </c>
      <c r="L152" s="88">
        <f>IF(K152&lt;&gt;"",COUNTIF(K:K,K152),"")</f>
        <v>21</v>
      </c>
      <c r="P152" s="79"/>
    </row>
    <row r="153" spans="1:16" s="79" customFormat="1" ht="15">
      <c r="A153" s="511"/>
      <c r="B153" s="82" t="s">
        <v>24</v>
      </c>
      <c r="C153" s="83">
        <f>IF(B153&lt;&gt;"",COUNTIF(B153:$B$556,"〇"),"")</f>
        <v>84</v>
      </c>
      <c r="D153" s="42" t="s">
        <v>2180</v>
      </c>
      <c r="E153" s="85" t="str">
        <f>IF(ISERROR(_xlfn.XLOOKUP(D153,[1]購入者リスト!G:G,[1]購入者リスト!B:B,,0,1)),"",_xlfn.XLOOKUP(D153,[1]購入者リスト!G:G,[1]購入者リスト!B:B,,0,1))</f>
        <v/>
      </c>
      <c r="F153" s="86">
        <v>3</v>
      </c>
      <c r="G153" s="86">
        <v>82</v>
      </c>
      <c r="H153" s="86">
        <v>6</v>
      </c>
      <c r="I153" s="86">
        <v>3</v>
      </c>
      <c r="J153" s="85" t="s">
        <v>17</v>
      </c>
      <c r="K153" s="87" t="s">
        <v>2057</v>
      </c>
      <c r="L153" s="88">
        <f>IF(K153&lt;&gt;"",COUNTIF(K:K,K153),"")</f>
        <v>72</v>
      </c>
      <c r="M153"/>
      <c r="N153" s="511"/>
      <c r="O153"/>
      <c r="P153"/>
    </row>
    <row r="154" spans="1:16" ht="15">
      <c r="B154" s="82" t="s">
        <v>24</v>
      </c>
      <c r="C154" s="83">
        <f>IF(B154&lt;&gt;"",COUNTIF(B154:$B$556,"〇"),"")</f>
        <v>83</v>
      </c>
      <c r="D154" s="42" t="s">
        <v>2181</v>
      </c>
      <c r="E154" s="85" t="str">
        <f>IF(ISERROR(_xlfn.XLOOKUP(D154,[1]購入者リスト!G:G,[1]購入者リスト!B:B,,0,1)),"",_xlfn.XLOOKUP(D154,[1]購入者リスト!G:G,[1]購入者リスト!B:B,,0,1))</f>
        <v/>
      </c>
      <c r="F154" s="86">
        <v>9</v>
      </c>
      <c r="G154" s="86">
        <v>1355</v>
      </c>
      <c r="H154" s="86">
        <v>946</v>
      </c>
      <c r="I154" s="86">
        <v>41</v>
      </c>
      <c r="J154" s="85" t="s">
        <v>17</v>
      </c>
      <c r="K154" s="87" t="s">
        <v>2060</v>
      </c>
      <c r="L154" s="88">
        <f>IF(K154&lt;&gt;"",COUNTIF(K:K,K154),"")</f>
        <v>12</v>
      </c>
    </row>
    <row r="155" spans="1:16" ht="15">
      <c r="B155" s="82" t="s">
        <v>24</v>
      </c>
      <c r="C155" s="83">
        <f>IF(B155&lt;&gt;"",COUNTIF(B155:$B$556,"〇"),"")</f>
        <v>82</v>
      </c>
      <c r="D155" s="42" t="s">
        <v>1838</v>
      </c>
      <c r="E155" s="85">
        <f>IF(ISERROR(_xlfn.XLOOKUP(D155,[1]購入者リスト!G:G,[1]購入者リスト!B:B,,0,1)),"",_xlfn.XLOOKUP(D155,[1]購入者リスト!G:G,[1]購入者リスト!B:B,,0,1))</f>
        <v>0</v>
      </c>
      <c r="F155" s="86">
        <v>6</v>
      </c>
      <c r="G155" s="86">
        <v>2717</v>
      </c>
      <c r="H155" s="86">
        <v>66</v>
      </c>
      <c r="I155" s="86">
        <v>17</v>
      </c>
      <c r="J155" s="85" t="s">
        <v>17</v>
      </c>
      <c r="K155" s="87" t="s">
        <v>2098</v>
      </c>
      <c r="L155" s="88">
        <f>IF(K155&lt;&gt;"",COUNTIF(K:K,K155),"")</f>
        <v>8</v>
      </c>
    </row>
    <row r="156" spans="1:16" ht="15">
      <c r="B156" s="82" t="s">
        <v>24</v>
      </c>
      <c r="C156" s="83">
        <f>IF(B156&lt;&gt;"",COUNTIF(B156:$B$556,"〇"),"")</f>
        <v>81</v>
      </c>
      <c r="D156" s="42" t="s">
        <v>2182</v>
      </c>
      <c r="E156" s="85" t="str">
        <f>IF(ISERROR(_xlfn.XLOOKUP(D156,[1]購入者リスト!G:G,[1]購入者リスト!B:B,,0,1)),"",_xlfn.XLOOKUP(D156,[1]購入者リスト!G:G,[1]購入者リスト!B:B,,0,1))</f>
        <v/>
      </c>
      <c r="F156" s="86">
        <v>8</v>
      </c>
      <c r="G156" s="86">
        <v>688</v>
      </c>
      <c r="H156" s="86">
        <v>336</v>
      </c>
      <c r="I156" s="86">
        <v>55</v>
      </c>
      <c r="J156" s="85" t="s">
        <v>24</v>
      </c>
      <c r="K156" s="87" t="s">
        <v>2090</v>
      </c>
      <c r="L156" s="88">
        <f>IF(K156&lt;&gt;"",COUNTIF(K:K,K156),"")</f>
        <v>8</v>
      </c>
    </row>
    <row r="157" spans="1:16" ht="15">
      <c r="B157" s="82" t="s">
        <v>24</v>
      </c>
      <c r="C157" s="83">
        <f>IF(B157&lt;&gt;"",COUNTIF(B157:$B$556,"〇"),"")</f>
        <v>80</v>
      </c>
      <c r="D157" s="42" t="s">
        <v>1765</v>
      </c>
      <c r="E157" s="85">
        <f>IF(ISERROR(_xlfn.XLOOKUP(D157,[1]購入者リスト!G:G,[1]購入者リスト!B:B,,0,1)),"",_xlfn.XLOOKUP(D157,[1]購入者リスト!G:G,[1]購入者リスト!B:B,,0,1))</f>
        <v>0</v>
      </c>
      <c r="F157" s="86">
        <v>8</v>
      </c>
      <c r="G157" s="86">
        <v>778</v>
      </c>
      <c r="H157" s="86">
        <v>372</v>
      </c>
      <c r="I157" s="86">
        <v>9</v>
      </c>
      <c r="J157" s="85" t="s">
        <v>17</v>
      </c>
      <c r="K157" s="87" t="s">
        <v>2183</v>
      </c>
      <c r="L157" s="88">
        <f>IF(K157&lt;&gt;"",COUNTIF(K:K,K157),"")</f>
        <v>3</v>
      </c>
    </row>
    <row r="158" spans="1:16" ht="15">
      <c r="B158" s="82" t="s">
        <v>24</v>
      </c>
      <c r="C158" s="83">
        <f>IF(B158&lt;&gt;"",COUNTIF(B158:$B$556,"〇"),"")</f>
        <v>79</v>
      </c>
      <c r="D158" s="42" t="s">
        <v>2184</v>
      </c>
      <c r="E158" s="85">
        <f>IF(ISERROR(_xlfn.XLOOKUP(D158,[1]購入者リスト!G:G,[1]購入者リスト!B:B,,0,1)),"",_xlfn.XLOOKUP(D158,[1]購入者リスト!G:G,[1]購入者リスト!B:B,,0,1))</f>
        <v>0</v>
      </c>
      <c r="F158" s="86">
        <v>4</v>
      </c>
      <c r="G158" s="86">
        <v>357</v>
      </c>
      <c r="H158" s="86">
        <v>16</v>
      </c>
      <c r="I158" s="86">
        <v>17</v>
      </c>
      <c r="J158" s="85" t="s">
        <v>24</v>
      </c>
      <c r="K158" s="87" t="s">
        <v>2116</v>
      </c>
      <c r="L158" s="88">
        <f>IF(K158&lt;&gt;"",COUNTIF(K:K,K158),"")</f>
        <v>11</v>
      </c>
    </row>
    <row r="159" spans="1:16" ht="15">
      <c r="B159" s="82"/>
      <c r="C159" s="83" t="str">
        <f>IF(B159&lt;&gt;"",COUNTIF(B159:$B$556,"〇"),"")</f>
        <v/>
      </c>
      <c r="D159" s="42" t="s">
        <v>2185</v>
      </c>
      <c r="E159" s="85" t="str">
        <f>IF(ISERROR(_xlfn.XLOOKUP(D159,[1]購入者リスト!G:G,[1]購入者リスト!B:B,,0,1)),"",_xlfn.XLOOKUP(D159,[1]購入者リスト!G:G,[1]購入者リスト!B:B,,0,1))</f>
        <v/>
      </c>
      <c r="F159" s="86">
        <v>1</v>
      </c>
      <c r="G159" s="86">
        <v>77</v>
      </c>
      <c r="H159" s="86">
        <v>0</v>
      </c>
      <c r="I159" s="86">
        <v>0</v>
      </c>
      <c r="J159" s="85" t="s">
        <v>17</v>
      </c>
      <c r="K159" s="87" t="s">
        <v>2057</v>
      </c>
      <c r="L159" s="88">
        <f>IF(K159&lt;&gt;"",COUNTIF(K:K,K159),"")</f>
        <v>72</v>
      </c>
      <c r="N159" s="79"/>
      <c r="O159" s="79"/>
    </row>
    <row r="160" spans="1:16" ht="15">
      <c r="B160" s="82" t="s">
        <v>24</v>
      </c>
      <c r="C160" s="83">
        <f>IF(B160&lt;&gt;"",COUNTIF(B160:$B$556,"〇"),"")</f>
        <v>78</v>
      </c>
      <c r="D160" s="42" t="s">
        <v>2186</v>
      </c>
      <c r="E160" s="85" t="str">
        <f>IF(ISERROR(_xlfn.XLOOKUP(D160,[1]購入者リスト!G:G,[1]購入者リスト!B:B,,0,1)),"",_xlfn.XLOOKUP(D160,[1]購入者リスト!G:G,[1]購入者リスト!B:B,,0,1))</f>
        <v/>
      </c>
      <c r="F160" s="86">
        <v>9</v>
      </c>
      <c r="G160" s="86">
        <v>1168</v>
      </c>
      <c r="H160" s="86">
        <v>793</v>
      </c>
      <c r="I160" s="86">
        <v>129</v>
      </c>
      <c r="J160" s="85" t="s">
        <v>17</v>
      </c>
      <c r="K160" s="87" t="s">
        <v>2062</v>
      </c>
      <c r="L160" s="88">
        <f>IF(K160&lt;&gt;"",COUNTIF(K:K,K160),"")</f>
        <v>21</v>
      </c>
    </row>
    <row r="161" spans="1:16" ht="15">
      <c r="A161" s="79"/>
      <c r="B161" s="82"/>
      <c r="C161" s="83" t="str">
        <f>IF(B161&lt;&gt;"",COUNTIF(B161:$B$556,"〇"),"")</f>
        <v/>
      </c>
      <c r="D161" s="42" t="s">
        <v>2187</v>
      </c>
      <c r="E161" s="85" t="str">
        <f>IF(ISERROR(_xlfn.XLOOKUP(D161,[1]購入者リスト!G:G,[1]購入者リスト!B:B,,0,1)),"",_xlfn.XLOOKUP(D161,[1]購入者リスト!G:G,[1]購入者リスト!B:B,,0,1))</f>
        <v/>
      </c>
      <c r="F161" s="86">
        <v>1</v>
      </c>
      <c r="G161" s="86">
        <v>1802</v>
      </c>
      <c r="H161" s="86">
        <v>0</v>
      </c>
      <c r="I161" s="86">
        <v>5</v>
      </c>
      <c r="J161" s="85" t="s">
        <v>17</v>
      </c>
      <c r="K161" s="87" t="s">
        <v>2057</v>
      </c>
      <c r="L161" s="88">
        <f>IF(K161&lt;&gt;"",COUNTIF(K:K,K161),"")</f>
        <v>72</v>
      </c>
      <c r="M161" s="79"/>
    </row>
    <row r="162" spans="1:16" ht="15">
      <c r="A162"/>
      <c r="B162" s="82" t="s">
        <v>24</v>
      </c>
      <c r="C162" s="83">
        <f>IF(B162&lt;&gt;"",COUNTIF(B162:$B$556,"〇"),"")</f>
        <v>77</v>
      </c>
      <c r="D162" s="42" t="s">
        <v>2188</v>
      </c>
      <c r="E162" s="85" t="str">
        <f>IF(ISERROR(_xlfn.XLOOKUP(D162,[1]購入者リスト!G:G,[1]購入者リスト!B:B,,0,1)),"",_xlfn.XLOOKUP(D162,[1]購入者リスト!G:G,[1]購入者リスト!B:B,,0,1))</f>
        <v/>
      </c>
      <c r="F162" s="86">
        <v>1</v>
      </c>
      <c r="G162" s="86">
        <v>170</v>
      </c>
      <c r="H162" s="86">
        <v>0</v>
      </c>
      <c r="I162" s="86">
        <v>0</v>
      </c>
      <c r="J162" s="85" t="s">
        <v>17</v>
      </c>
      <c r="K162" s="87" t="s">
        <v>2057</v>
      </c>
      <c r="L162" s="88">
        <f>IF(K162&lt;&gt;"",COUNTIF(K:K,K162),"")</f>
        <v>72</v>
      </c>
    </row>
    <row r="163" spans="1:16" ht="15">
      <c r="B163" s="82" t="s">
        <v>24</v>
      </c>
      <c r="C163" s="83">
        <f>IF(B163&lt;&gt;"",COUNTIF(B163:$B$556,"〇"),"")</f>
        <v>76</v>
      </c>
      <c r="D163" s="42" t="s">
        <v>2189</v>
      </c>
      <c r="E163" s="85" t="str">
        <f>IF(ISERROR(_xlfn.XLOOKUP(D163,[1]購入者リスト!G:G,[1]購入者リスト!B:B,,0,1)),"",_xlfn.XLOOKUP(D163,[1]購入者リスト!G:G,[1]購入者リスト!B:B,,0,1))</f>
        <v/>
      </c>
      <c r="F163" s="86">
        <v>2</v>
      </c>
      <c r="G163" s="86">
        <v>380</v>
      </c>
      <c r="H163" s="86">
        <v>1</v>
      </c>
      <c r="I163" s="86">
        <v>8</v>
      </c>
      <c r="J163" s="85" t="s">
        <v>24</v>
      </c>
      <c r="K163" s="87" t="s">
        <v>2062</v>
      </c>
      <c r="L163" s="88">
        <f>IF(K163&lt;&gt;"",COUNTIF(K:K,K163),"")</f>
        <v>21</v>
      </c>
      <c r="N163"/>
    </row>
    <row r="164" spans="1:16" ht="15">
      <c r="B164" s="82" t="s">
        <v>24</v>
      </c>
      <c r="C164" s="83">
        <f>IF(B164&lt;&gt;"",COUNTIF(B164:$B$556,"〇"),"")</f>
        <v>75</v>
      </c>
      <c r="D164" s="42" t="s">
        <v>2190</v>
      </c>
      <c r="E164" s="85" t="str">
        <f>IF(ISERROR(_xlfn.XLOOKUP(D164,[1]購入者リスト!G:G,[1]購入者リスト!B:B,,0,1)),"",_xlfn.XLOOKUP(D164,[1]購入者リスト!G:G,[1]購入者リスト!B:B,,0,1))</f>
        <v/>
      </c>
      <c r="F164" s="86">
        <v>5</v>
      </c>
      <c r="G164" s="86">
        <v>572</v>
      </c>
      <c r="H164" s="86">
        <v>40</v>
      </c>
      <c r="I164" s="86">
        <v>5</v>
      </c>
      <c r="J164" s="85" t="s">
        <v>17</v>
      </c>
      <c r="K164" s="87" t="s">
        <v>2079</v>
      </c>
      <c r="L164" s="88">
        <f>IF(K164&lt;&gt;"",COUNTIF(K:K,K164),"")</f>
        <v>5</v>
      </c>
      <c r="P164" s="79"/>
    </row>
    <row r="165" spans="1:16" ht="15">
      <c r="B165" s="82" t="s">
        <v>24</v>
      </c>
      <c r="C165" s="83">
        <f>IF(B165&lt;&gt;"",COUNTIF(B165:$B$556,"〇"),"")</f>
        <v>74</v>
      </c>
      <c r="D165" s="42" t="s">
        <v>1704</v>
      </c>
      <c r="E165" s="85">
        <f>IF(ISERROR(_xlfn.XLOOKUP(D165,[1]購入者リスト!G:G,[1]購入者リスト!B:B,,0,1)),"",_xlfn.XLOOKUP(D165,[1]購入者リスト!G:G,[1]購入者リスト!B:B,,0,1))</f>
        <v>0</v>
      </c>
      <c r="F165" s="86">
        <v>1</v>
      </c>
      <c r="G165" s="86">
        <v>146</v>
      </c>
      <c r="H165" s="86">
        <v>0</v>
      </c>
      <c r="I165" s="86">
        <v>0</v>
      </c>
      <c r="J165" s="85" t="s">
        <v>17</v>
      </c>
      <c r="K165" s="87" t="s">
        <v>2109</v>
      </c>
      <c r="L165" s="88">
        <f>IF(K165&lt;&gt;"",COUNTIF(K:K,K165),"")</f>
        <v>6</v>
      </c>
    </row>
    <row r="166" spans="1:16" ht="15">
      <c r="B166" s="82" t="s">
        <v>24</v>
      </c>
      <c r="C166" s="83">
        <f>IF(B166&lt;&gt;"",COUNTIF(B166:$B$556,"〇"),"")</f>
        <v>73</v>
      </c>
      <c r="D166" s="42" t="s">
        <v>126</v>
      </c>
      <c r="E166" s="85">
        <f>IF(ISERROR(_xlfn.XLOOKUP(D166,[1]購入者リスト!G:G,[1]購入者リスト!B:B,,0,1)),"",_xlfn.XLOOKUP(D166,[1]購入者リスト!G:G,[1]購入者リスト!B:B,,0,1))</f>
        <v>0</v>
      </c>
      <c r="F166" s="86">
        <v>7</v>
      </c>
      <c r="G166" s="86">
        <v>621</v>
      </c>
      <c r="H166" s="86">
        <v>106</v>
      </c>
      <c r="I166" s="86">
        <v>0</v>
      </c>
      <c r="J166" s="85" t="s">
        <v>17</v>
      </c>
      <c r="K166" s="87" t="s">
        <v>2090</v>
      </c>
      <c r="L166" s="88">
        <f>IF(K166&lt;&gt;"",COUNTIF(K:K,K166),"")</f>
        <v>8</v>
      </c>
    </row>
    <row r="167" spans="1:16" ht="15">
      <c r="B167" s="82" t="s">
        <v>24</v>
      </c>
      <c r="C167" s="83">
        <f>IF(B167&lt;&gt;"",COUNTIF(B167:$B$556,"〇"),"")</f>
        <v>72</v>
      </c>
      <c r="D167" s="42" t="s">
        <v>2191</v>
      </c>
      <c r="E167" s="85" t="str">
        <f>IF(ISERROR(_xlfn.XLOOKUP(D167,[1]購入者リスト!G:G,[1]購入者リスト!B:B,,0,1)),"",_xlfn.XLOOKUP(D167,[1]購入者リスト!G:G,[1]購入者リスト!B:B,,0,1))</f>
        <v/>
      </c>
      <c r="F167" s="86">
        <v>5</v>
      </c>
      <c r="G167" s="86">
        <v>1316</v>
      </c>
      <c r="H167" s="86">
        <v>24</v>
      </c>
      <c r="I167" s="86">
        <v>24</v>
      </c>
      <c r="J167" s="85" t="s">
        <v>24</v>
      </c>
      <c r="K167" s="87" t="s">
        <v>2053</v>
      </c>
      <c r="L167" s="88">
        <f>IF(K167&lt;&gt;"",COUNTIF(K:K,K167),"")</f>
        <v>13</v>
      </c>
    </row>
    <row r="168" spans="1:16" ht="15">
      <c r="B168" s="82" t="s">
        <v>24</v>
      </c>
      <c r="C168" s="83">
        <f>IF(B168&lt;&gt;"",COUNTIF(B168:$B$556,"〇"),"")</f>
        <v>71</v>
      </c>
      <c r="D168" s="42" t="s">
        <v>2192</v>
      </c>
      <c r="E168" s="85" t="str">
        <f>IF(ISERROR(_xlfn.XLOOKUP(D168,[1]購入者リスト!G:G,[1]購入者リスト!B:B,,0,1)),"",_xlfn.XLOOKUP(D168,[1]購入者リスト!G:G,[1]購入者リスト!B:B,,0,1))</f>
        <v/>
      </c>
      <c r="F168" s="86">
        <v>7</v>
      </c>
      <c r="G168" s="86">
        <v>260</v>
      </c>
      <c r="H168" s="86">
        <v>122</v>
      </c>
      <c r="I168" s="86">
        <v>17</v>
      </c>
      <c r="J168" s="85" t="s">
        <v>24</v>
      </c>
      <c r="K168" s="87" t="s">
        <v>2053</v>
      </c>
      <c r="L168" s="88">
        <f>IF(K168&lt;&gt;"",COUNTIF(K:K,K168),"")</f>
        <v>13</v>
      </c>
    </row>
    <row r="169" spans="1:16" ht="15">
      <c r="B169" s="82" t="s">
        <v>24</v>
      </c>
      <c r="C169" s="83">
        <f>IF(B169&lt;&gt;"",COUNTIF(B169:$B$556,"〇"),"")</f>
        <v>70</v>
      </c>
      <c r="D169" s="42" t="s">
        <v>2193</v>
      </c>
      <c r="E169" s="85" t="str">
        <f>IF(ISERROR(_xlfn.XLOOKUP(D169,[1]購入者リスト!G:G,[1]購入者リスト!B:B,,0,1)),"",_xlfn.XLOOKUP(D169,[1]購入者リスト!G:G,[1]購入者リスト!B:B,,0,1))</f>
        <v/>
      </c>
      <c r="F169" s="86">
        <v>1</v>
      </c>
      <c r="G169" s="86">
        <v>77</v>
      </c>
      <c r="H169" s="86">
        <v>0</v>
      </c>
      <c r="I169" s="86">
        <v>0</v>
      </c>
      <c r="J169" s="85" t="s">
        <v>17</v>
      </c>
      <c r="K169" s="87" t="s">
        <v>2057</v>
      </c>
      <c r="L169" s="88">
        <f>IF(K169&lt;&gt;"",COUNTIF(K:K,K169),"")</f>
        <v>72</v>
      </c>
    </row>
    <row r="170" spans="1:16" ht="15">
      <c r="B170" s="82" t="s">
        <v>24</v>
      </c>
      <c r="C170" s="83">
        <f>IF(B170&lt;&gt;"",COUNTIF(B170:$B$556,"〇"),"")</f>
        <v>69</v>
      </c>
      <c r="D170" s="42" t="s">
        <v>2194</v>
      </c>
      <c r="E170" s="85" t="str">
        <f>IF(ISERROR(_xlfn.XLOOKUP(D170,[1]購入者リスト!G:G,[1]購入者リスト!B:B,,0,1)),"",_xlfn.XLOOKUP(D170,[1]購入者リスト!G:G,[1]購入者リスト!B:B,,0,1))</f>
        <v/>
      </c>
      <c r="F170" s="86">
        <v>5</v>
      </c>
      <c r="G170" s="86">
        <v>94</v>
      </c>
      <c r="H170" s="86">
        <v>25</v>
      </c>
      <c r="I170" s="86">
        <v>0</v>
      </c>
      <c r="J170" s="85" t="s">
        <v>17</v>
      </c>
      <c r="K170" s="87" t="s">
        <v>2057</v>
      </c>
      <c r="L170" s="88">
        <f>IF(K170&lt;&gt;"",COUNTIF(K:K,K170),"")</f>
        <v>72</v>
      </c>
    </row>
    <row r="171" spans="1:16" ht="15">
      <c r="B171" s="82" t="s">
        <v>24</v>
      </c>
      <c r="C171" s="83">
        <f>IF(B171&lt;&gt;"",COUNTIF(B171:$B$556,"〇"),"")</f>
        <v>68</v>
      </c>
      <c r="D171" s="42" t="s">
        <v>2195</v>
      </c>
      <c r="E171" s="85" t="str">
        <f>IF(ISERROR(_xlfn.XLOOKUP(D171,[1]購入者リスト!G:G,[1]購入者リスト!B:B,,0,1)),"",_xlfn.XLOOKUP(D171,[1]購入者リスト!G:G,[1]購入者リスト!B:B,,0,1))</f>
        <v/>
      </c>
      <c r="F171" s="86">
        <v>9</v>
      </c>
      <c r="G171" s="86">
        <v>1691</v>
      </c>
      <c r="H171" s="86">
        <v>843</v>
      </c>
      <c r="I171" s="86">
        <v>275</v>
      </c>
      <c r="J171" s="85" t="s">
        <v>17</v>
      </c>
      <c r="K171" s="87" t="s">
        <v>2053</v>
      </c>
      <c r="L171" s="88">
        <f>IF(K171&lt;&gt;"",COUNTIF(K:K,K171),"")</f>
        <v>13</v>
      </c>
      <c r="N171" s="79"/>
      <c r="O171" s="79"/>
    </row>
    <row r="172" spans="1:16" ht="15">
      <c r="B172" s="82"/>
      <c r="C172" s="83" t="str">
        <f>IF(B172&lt;&gt;"",COUNTIF(B172:$B$556,"〇"),"")</f>
        <v/>
      </c>
      <c r="D172" s="42" t="s">
        <v>2196</v>
      </c>
      <c r="E172" s="85" t="str">
        <f>IF(ISERROR(_xlfn.XLOOKUP(D172,[1]購入者リスト!G:G,[1]購入者リスト!B:B,,0,1)),"",_xlfn.XLOOKUP(D172,[1]購入者リスト!G:G,[1]購入者リスト!B:B,,0,1))</f>
        <v/>
      </c>
      <c r="F172" s="86">
        <v>6</v>
      </c>
      <c r="G172" s="86">
        <v>146</v>
      </c>
      <c r="H172" s="86">
        <v>88</v>
      </c>
      <c r="I172" s="86">
        <v>12</v>
      </c>
      <c r="J172" s="85" t="s">
        <v>24</v>
      </c>
      <c r="K172" s="87" t="s">
        <v>2062</v>
      </c>
      <c r="L172" s="88">
        <f>IF(K172&lt;&gt;"",COUNTIF(K:K,K172),"")</f>
        <v>21</v>
      </c>
    </row>
    <row r="173" spans="1:16" ht="15">
      <c r="B173" s="82" t="s">
        <v>24</v>
      </c>
      <c r="C173" s="83">
        <f>IF(B173&lt;&gt;"",COUNTIF(B173:$B$556,"〇"),"")</f>
        <v>67</v>
      </c>
      <c r="D173" s="42" t="s">
        <v>2197</v>
      </c>
      <c r="E173" s="85" t="str">
        <f>IF(ISERROR(_xlfn.XLOOKUP(D173,[1]購入者リスト!G:G,[1]購入者リスト!B:B,,0,1)),"",_xlfn.XLOOKUP(D173,[1]購入者リスト!G:G,[1]購入者リスト!B:B,,0,1))</f>
        <v/>
      </c>
      <c r="F173" s="86">
        <v>5</v>
      </c>
      <c r="G173" s="86">
        <v>227</v>
      </c>
      <c r="H173" s="86">
        <v>23</v>
      </c>
      <c r="I173" s="86">
        <v>2</v>
      </c>
      <c r="J173" s="85" t="s">
        <v>17</v>
      </c>
      <c r="K173" s="87" t="s">
        <v>2085</v>
      </c>
      <c r="L173" s="88">
        <f>IF(K173&lt;&gt;"",COUNTIF(K:K,K173),"")</f>
        <v>2</v>
      </c>
    </row>
    <row r="174" spans="1:16" ht="15">
      <c r="B174" s="82" t="s">
        <v>24</v>
      </c>
      <c r="C174" s="83">
        <f>IF(B174&lt;&gt;"",COUNTIF(B174:$B$556,"〇"),"")</f>
        <v>66</v>
      </c>
      <c r="D174" s="42" t="s">
        <v>2198</v>
      </c>
      <c r="E174" s="85">
        <f>IF(ISERROR(_xlfn.XLOOKUP(D174,[1]購入者リスト!G:G,[1]購入者リスト!B:B,,0,1)),"",_xlfn.XLOOKUP(D174,[1]購入者リスト!G:G,[1]購入者リスト!B:B,,0,1))</f>
        <v>0</v>
      </c>
      <c r="F174" s="86">
        <v>9</v>
      </c>
      <c r="G174" s="86">
        <v>2571</v>
      </c>
      <c r="H174" s="86">
        <v>1016</v>
      </c>
      <c r="I174" s="86">
        <v>168</v>
      </c>
      <c r="J174" s="85" t="s">
        <v>24</v>
      </c>
      <c r="K174" s="87" t="s">
        <v>2098</v>
      </c>
      <c r="L174" s="88">
        <f>IF(K174&lt;&gt;"",COUNTIF(K:K,K174),"")</f>
        <v>8</v>
      </c>
    </row>
    <row r="175" spans="1:16" ht="15">
      <c r="B175" s="82" t="s">
        <v>24</v>
      </c>
      <c r="C175" s="83">
        <f>IF(B175&lt;&gt;"",COUNTIF(B175:$B$556,"〇"),"")</f>
        <v>65</v>
      </c>
      <c r="D175" s="42" t="s">
        <v>1788</v>
      </c>
      <c r="E175" s="85">
        <f>IF(ISERROR(_xlfn.XLOOKUP(D175,[1]購入者リスト!G:G,[1]購入者リスト!B:B,,0,1)),"",_xlfn.XLOOKUP(D175,[1]購入者リスト!G:G,[1]購入者リスト!B:B,,0,1))</f>
        <v>0</v>
      </c>
      <c r="F175" s="86">
        <v>8</v>
      </c>
      <c r="G175" s="86">
        <v>959</v>
      </c>
      <c r="H175" s="86">
        <v>436</v>
      </c>
      <c r="I175" s="86">
        <v>24</v>
      </c>
      <c r="J175" s="85" t="s">
        <v>17</v>
      </c>
      <c r="K175" s="87" t="s">
        <v>2089</v>
      </c>
      <c r="L175" s="88">
        <f>IF(K175&lt;&gt;"",COUNTIF(K:K,K175),"")</f>
        <v>7</v>
      </c>
    </row>
    <row r="176" spans="1:16" ht="15">
      <c r="B176" s="82" t="s">
        <v>24</v>
      </c>
      <c r="C176" s="83">
        <f>IF(B176&lt;&gt;"",COUNTIF(B176:$B$556,"〇"),"")</f>
        <v>64</v>
      </c>
      <c r="D176" s="42" t="s">
        <v>2199</v>
      </c>
      <c r="E176" s="85" t="str">
        <f>IF(ISERROR(_xlfn.XLOOKUP(D176,[1]購入者リスト!G:G,[1]購入者リスト!B:B,,0,1)),"",_xlfn.XLOOKUP(D176,[1]購入者リスト!G:G,[1]購入者リスト!B:B,,0,1))</f>
        <v/>
      </c>
      <c r="F176" s="86">
        <v>8</v>
      </c>
      <c r="G176" s="86">
        <v>535</v>
      </c>
      <c r="H176" s="86">
        <v>357</v>
      </c>
      <c r="I176" s="86">
        <v>8</v>
      </c>
      <c r="J176" s="85" t="s">
        <v>17</v>
      </c>
      <c r="K176" s="87" t="s">
        <v>2060</v>
      </c>
      <c r="L176" s="88">
        <f>IF(K176&lt;&gt;"",COUNTIF(K:K,K176),"")</f>
        <v>12</v>
      </c>
    </row>
    <row r="177" spans="1:16" ht="15">
      <c r="B177" s="82" t="s">
        <v>24</v>
      </c>
      <c r="C177" s="83">
        <f>IF(B177&lt;&gt;"",COUNTIF(B177:$B$556,"〇"),"")</f>
        <v>63</v>
      </c>
      <c r="D177" s="42" t="s">
        <v>2200</v>
      </c>
      <c r="E177" s="85" t="str">
        <f>IF(ISERROR(_xlfn.XLOOKUP(D177,[1]購入者リスト!G:G,[1]購入者リスト!B:B,,0,1)),"",_xlfn.XLOOKUP(D177,[1]購入者リスト!G:G,[1]購入者リスト!B:B,,0,1))</f>
        <v/>
      </c>
      <c r="F177" s="86">
        <v>1</v>
      </c>
      <c r="G177" s="86">
        <v>16</v>
      </c>
      <c r="H177" s="86">
        <v>0</v>
      </c>
      <c r="I177" s="86">
        <v>0</v>
      </c>
      <c r="J177" s="85" t="s">
        <v>17</v>
      </c>
      <c r="K177" s="87" t="s">
        <v>2057</v>
      </c>
      <c r="L177" s="88">
        <f>IF(K177&lt;&gt;"",COUNTIF(K:K,K177),"")</f>
        <v>72</v>
      </c>
    </row>
    <row r="178" spans="1:16" ht="15">
      <c r="B178" s="82" t="s">
        <v>24</v>
      </c>
      <c r="C178" s="83">
        <f>IF(B178&lt;&gt;"",COUNTIF(B178:$B$556,"〇"),"")</f>
        <v>62</v>
      </c>
      <c r="D178" s="42" t="s">
        <v>1874</v>
      </c>
      <c r="E178" s="85">
        <f>IF(ISERROR(_xlfn.XLOOKUP(D178,[1]購入者リスト!G:G,[1]購入者リスト!B:B,,0,1)),"",_xlfn.XLOOKUP(D178,[1]購入者リスト!G:G,[1]購入者リスト!B:B,,0,1))</f>
        <v>0</v>
      </c>
      <c r="F178" s="86">
        <v>2</v>
      </c>
      <c r="G178" s="86">
        <v>2730</v>
      </c>
      <c r="H178" s="86">
        <v>1</v>
      </c>
      <c r="I178" s="86">
        <v>17</v>
      </c>
      <c r="J178" s="85" t="s">
        <v>17</v>
      </c>
      <c r="K178" s="87" t="s">
        <v>2111</v>
      </c>
      <c r="L178" s="88">
        <f>IF(K178&lt;&gt;"",COUNTIF(K:K,K178),"")</f>
        <v>2</v>
      </c>
    </row>
    <row r="179" spans="1:16" ht="15">
      <c r="B179" s="82" t="s">
        <v>24</v>
      </c>
      <c r="C179" s="83">
        <f>IF(B179&lt;&gt;"",COUNTIF(B179:$B$556,"〇"),"")</f>
        <v>61</v>
      </c>
      <c r="D179" s="42" t="s">
        <v>1713</v>
      </c>
      <c r="E179" s="85">
        <f>IF(ISERROR(_xlfn.XLOOKUP(D179,[1]購入者リスト!G:G,[1]購入者リスト!B:B,,0,1)),"",_xlfn.XLOOKUP(D179,[1]購入者リスト!G:G,[1]購入者リスト!B:B,,0,1))</f>
        <v>0</v>
      </c>
      <c r="F179" s="86">
        <v>1</v>
      </c>
      <c r="G179" s="86">
        <v>67</v>
      </c>
      <c r="H179" s="86">
        <v>0</v>
      </c>
      <c r="I179" s="86">
        <v>2</v>
      </c>
      <c r="J179" s="85" t="s">
        <v>17</v>
      </c>
      <c r="K179" s="87" t="s">
        <v>2057</v>
      </c>
      <c r="L179" s="88">
        <f>IF(K179&lt;&gt;"",COUNTIF(K:K,K179),"")</f>
        <v>72</v>
      </c>
    </row>
    <row r="180" spans="1:16" ht="15">
      <c r="B180" s="82" t="s">
        <v>24</v>
      </c>
      <c r="C180" s="83">
        <f>IF(B180&lt;&gt;"",COUNTIF(B180:$B$556,"〇"),"")</f>
        <v>60</v>
      </c>
      <c r="D180" s="42" t="s">
        <v>2201</v>
      </c>
      <c r="E180" s="85" t="str">
        <f>IF(ISERROR(_xlfn.XLOOKUP(D180,[1]購入者リスト!G:G,[1]購入者リスト!B:B,,0,1)),"",_xlfn.XLOOKUP(D180,[1]購入者リスト!G:G,[1]購入者リスト!B:B,,0,1))</f>
        <v/>
      </c>
      <c r="F180" s="86">
        <v>1</v>
      </c>
      <c r="G180" s="86">
        <v>134</v>
      </c>
      <c r="H180" s="86">
        <v>0</v>
      </c>
      <c r="I180" s="86">
        <v>1</v>
      </c>
      <c r="J180" s="85" t="s">
        <v>17</v>
      </c>
      <c r="K180" s="87" t="s">
        <v>2057</v>
      </c>
      <c r="L180" s="88">
        <f>IF(K180&lt;&gt;"",COUNTIF(K:K,K180),"")</f>
        <v>72</v>
      </c>
    </row>
    <row r="181" spans="1:16" ht="15">
      <c r="B181" s="82" t="s">
        <v>24</v>
      </c>
      <c r="C181" s="83">
        <f>IF(B181&lt;&gt;"",COUNTIF(B181:$B$556,"〇"),"")</f>
        <v>59</v>
      </c>
      <c r="D181" s="42" t="s">
        <v>1905</v>
      </c>
      <c r="E181" s="85">
        <f>IF(ISERROR(_xlfn.XLOOKUP(D181,[1]購入者リスト!G:G,[1]購入者リスト!B:B,,0,1)),"",_xlfn.XLOOKUP(D181,[1]購入者リスト!G:G,[1]購入者リスト!B:B,,0,1))</f>
        <v>0</v>
      </c>
      <c r="F181" s="86">
        <v>9</v>
      </c>
      <c r="G181" s="86">
        <v>851</v>
      </c>
      <c r="H181" s="86">
        <v>801</v>
      </c>
      <c r="I181" s="86">
        <v>184</v>
      </c>
      <c r="J181" s="85" t="s">
        <v>24</v>
      </c>
      <c r="K181" s="87" t="s">
        <v>2138</v>
      </c>
      <c r="L181" s="88">
        <f>IF(K181&lt;&gt;"",COUNTIF(K:K,K181),"")</f>
        <v>3</v>
      </c>
    </row>
    <row r="182" spans="1:16" ht="15">
      <c r="B182" s="82" t="s">
        <v>24</v>
      </c>
      <c r="C182" s="83">
        <f>IF(B182&lt;&gt;"",COUNTIF(B182:$B$556,"〇"),"")</f>
        <v>58</v>
      </c>
      <c r="D182" s="42" t="s">
        <v>2202</v>
      </c>
      <c r="E182" s="85" t="str">
        <f>IF(ISERROR(_xlfn.XLOOKUP(D182,[1]購入者リスト!G:G,[1]購入者リスト!B:B,,0,1)),"",_xlfn.XLOOKUP(D182,[1]購入者リスト!G:G,[1]購入者リスト!B:B,,0,1))</f>
        <v/>
      </c>
      <c r="F182" s="86">
        <v>6</v>
      </c>
      <c r="G182" s="86">
        <v>203</v>
      </c>
      <c r="H182" s="86">
        <v>73</v>
      </c>
      <c r="I182" s="86">
        <v>13</v>
      </c>
      <c r="J182" s="85" t="s">
        <v>17</v>
      </c>
      <c r="K182" s="87" t="s">
        <v>2089</v>
      </c>
      <c r="L182" s="88">
        <f>IF(K182&lt;&gt;"",COUNTIF(K:K,K182),"")</f>
        <v>7</v>
      </c>
    </row>
    <row r="183" spans="1:16" ht="15">
      <c r="B183" s="82" t="s">
        <v>24</v>
      </c>
      <c r="C183" s="83">
        <f>IF(B183&lt;&gt;"",COUNTIF(B183:$B$556,"〇"),"")</f>
        <v>57</v>
      </c>
      <c r="D183" s="42" t="s">
        <v>1732</v>
      </c>
      <c r="E183" s="85">
        <f>IF(ISERROR(_xlfn.XLOOKUP(D183,[1]購入者リスト!G:G,[1]購入者リスト!B:B,,0,1)),"",_xlfn.XLOOKUP(D183,[1]購入者リスト!G:G,[1]購入者リスト!B:B,,0,1))</f>
        <v>0</v>
      </c>
      <c r="F183" s="86">
        <v>8</v>
      </c>
      <c r="G183" s="86">
        <v>1331</v>
      </c>
      <c r="H183" s="86">
        <v>408</v>
      </c>
      <c r="I183" s="86">
        <v>30</v>
      </c>
      <c r="J183" s="85" t="s">
        <v>17</v>
      </c>
      <c r="K183" s="87" t="s">
        <v>2203</v>
      </c>
      <c r="L183" s="88">
        <f>IF(K183&lt;&gt;"",COUNTIF(K:K,K183),"")</f>
        <v>1</v>
      </c>
    </row>
    <row r="184" spans="1:16" ht="15">
      <c r="B184" s="82" t="s">
        <v>24</v>
      </c>
      <c r="C184" s="83">
        <f>IF(B184&lt;&gt;"",COUNTIF(B184:$B$556,"〇"),"")</f>
        <v>56</v>
      </c>
      <c r="D184" s="42" t="s">
        <v>1798</v>
      </c>
      <c r="E184" s="85">
        <f>IF(ISERROR(_xlfn.XLOOKUP(D184,[1]購入者リスト!G:G,[1]購入者リスト!B:B,,0,1)),"",_xlfn.XLOOKUP(D184,[1]購入者リスト!G:G,[1]購入者リスト!B:B,,0,1))</f>
        <v>0</v>
      </c>
      <c r="F184" s="86">
        <v>1</v>
      </c>
      <c r="G184" s="86">
        <v>103</v>
      </c>
      <c r="H184" s="90" t="s">
        <v>2204</v>
      </c>
      <c r="I184" s="90" t="s">
        <v>2204</v>
      </c>
      <c r="J184" s="85" t="s">
        <v>17</v>
      </c>
      <c r="K184" s="87" t="s">
        <v>2205</v>
      </c>
      <c r="L184" s="88">
        <f>IF(K184&lt;&gt;"",COUNTIF(K:K,K184),"")</f>
        <v>1</v>
      </c>
    </row>
    <row r="185" spans="1:16" ht="15">
      <c r="A185" s="79"/>
      <c r="B185" s="82"/>
      <c r="C185" s="83" t="str">
        <f>IF(B185&lt;&gt;"",COUNTIF(B185:$B$556,"〇"),"")</f>
        <v/>
      </c>
      <c r="D185" s="42" t="s">
        <v>2206</v>
      </c>
      <c r="E185" s="85" t="str">
        <f>IF(ISERROR(_xlfn.XLOOKUP(D185,[1]購入者リスト!G:G,[1]購入者リスト!B:B,,0,1)),"",_xlfn.XLOOKUP(D185,[1]購入者リスト!G:G,[1]購入者リスト!B:B,,0,1))</f>
        <v/>
      </c>
      <c r="F185" s="86">
        <v>8</v>
      </c>
      <c r="G185" s="86">
        <v>483</v>
      </c>
      <c r="H185" s="90">
        <v>343</v>
      </c>
      <c r="I185" s="90">
        <v>222</v>
      </c>
      <c r="J185" s="85" t="s">
        <v>24</v>
      </c>
      <c r="K185" s="87" t="s">
        <v>2116</v>
      </c>
      <c r="L185" s="88">
        <f>IF(K185&lt;&gt;"",COUNTIF(K:K,K185),"")</f>
        <v>11</v>
      </c>
      <c r="M185" s="79"/>
    </row>
    <row r="186" spans="1:16" ht="15">
      <c r="A186"/>
      <c r="B186" s="82" t="s">
        <v>24</v>
      </c>
      <c r="C186" s="83">
        <f>IF(B186&lt;&gt;"",COUNTIF(B186:$B$556,"〇"),"")</f>
        <v>55</v>
      </c>
      <c r="D186" s="42" t="s">
        <v>1891</v>
      </c>
      <c r="E186" s="85">
        <f>IF(ISERROR(_xlfn.XLOOKUP(D186,[1]購入者リスト!G:G,[1]購入者リスト!B:B,,0,1)),"",_xlfn.XLOOKUP(D186,[1]購入者リスト!G:G,[1]購入者リスト!B:B,,0,1))</f>
        <v>0</v>
      </c>
      <c r="F186" s="86">
        <v>8</v>
      </c>
      <c r="G186" s="86">
        <v>709</v>
      </c>
      <c r="H186" s="90">
        <v>306</v>
      </c>
      <c r="I186" s="90">
        <v>21</v>
      </c>
      <c r="J186" s="85" t="s">
        <v>24</v>
      </c>
      <c r="K186" s="87" t="s">
        <v>2207</v>
      </c>
      <c r="L186" s="88">
        <f>IF(K186&lt;&gt;"",COUNTIF(K:K,K186),"")</f>
        <v>1</v>
      </c>
    </row>
    <row r="187" spans="1:16" ht="15">
      <c r="B187" s="82" t="s">
        <v>24</v>
      </c>
      <c r="C187" s="83">
        <f>IF(B187&lt;&gt;"",COUNTIF(B187:$B$556,"〇"),"")</f>
        <v>54</v>
      </c>
      <c r="D187" s="42" t="s">
        <v>2208</v>
      </c>
      <c r="E187" s="85" t="str">
        <f>IF(ISERROR(_xlfn.XLOOKUP(D187,[1]購入者リスト!G:G,[1]購入者リスト!B:B,,0,1)),"",_xlfn.XLOOKUP(D187,[1]購入者リスト!G:G,[1]購入者リスト!B:B,,0,1))</f>
        <v/>
      </c>
      <c r="F187" s="86">
        <v>9</v>
      </c>
      <c r="G187" s="86">
        <v>1292</v>
      </c>
      <c r="H187" s="90">
        <v>656</v>
      </c>
      <c r="I187" s="90">
        <v>19</v>
      </c>
      <c r="J187" s="85" t="s">
        <v>17</v>
      </c>
      <c r="K187" s="87" t="s">
        <v>2098</v>
      </c>
      <c r="L187" s="88">
        <f>IF(K187&lt;&gt;"",COUNTIF(K:K,K187),"")</f>
        <v>8</v>
      </c>
      <c r="N187"/>
    </row>
    <row r="188" spans="1:16" ht="15">
      <c r="B188" s="82" t="s">
        <v>24</v>
      </c>
      <c r="C188" s="83">
        <f>IF(B188&lt;&gt;"",COUNTIF(B188:$B$556,"〇"),"")</f>
        <v>53</v>
      </c>
      <c r="D188" s="42" t="s">
        <v>2209</v>
      </c>
      <c r="E188" s="85" t="str">
        <f>IF(ISERROR(_xlfn.XLOOKUP(D188,[1]購入者リスト!G:G,[1]購入者リスト!B:B,,0,1)),"",_xlfn.XLOOKUP(D188,[1]購入者リスト!G:G,[1]購入者リスト!B:B,,0,1))</f>
        <v/>
      </c>
      <c r="F188" s="86">
        <v>2</v>
      </c>
      <c r="G188" s="86">
        <v>200</v>
      </c>
      <c r="H188" s="90">
        <v>3</v>
      </c>
      <c r="I188" s="90">
        <v>1</v>
      </c>
      <c r="J188" s="85" t="s">
        <v>17</v>
      </c>
      <c r="K188" s="87" t="s">
        <v>2087</v>
      </c>
      <c r="L188" s="88">
        <f>IF(K188&lt;&gt;"",COUNTIF(K:K,K188),"")</f>
        <v>6</v>
      </c>
      <c r="P188" s="79"/>
    </row>
    <row r="189" spans="1:16" ht="15">
      <c r="B189" s="82" t="s">
        <v>24</v>
      </c>
      <c r="C189" s="83">
        <f>IF(B189&lt;&gt;"",COUNTIF(B189:$B$556,"〇"),"")</f>
        <v>52</v>
      </c>
      <c r="D189" s="42" t="s">
        <v>1857</v>
      </c>
      <c r="E189" s="85">
        <f>IF(ISERROR(_xlfn.XLOOKUP(D189,[1]購入者リスト!G:G,[1]購入者リスト!B:B,,0,1)),"",_xlfn.XLOOKUP(D189,[1]購入者リスト!G:G,[1]購入者リスト!B:B,,0,1))</f>
        <v>0</v>
      </c>
      <c r="F189" s="86">
        <v>2</v>
      </c>
      <c r="G189" s="86">
        <v>261</v>
      </c>
      <c r="H189" s="90">
        <v>1</v>
      </c>
      <c r="I189" s="90">
        <v>1</v>
      </c>
      <c r="J189" s="85" t="s">
        <v>17</v>
      </c>
      <c r="K189" s="87" t="s">
        <v>2053</v>
      </c>
      <c r="L189" s="88">
        <f>IF(K189&lt;&gt;"",COUNTIF(K:K,K189),"")</f>
        <v>13</v>
      </c>
    </row>
    <row r="190" spans="1:16" ht="15">
      <c r="B190" s="82" t="s">
        <v>24</v>
      </c>
      <c r="C190" s="83">
        <f>IF(B190&lt;&gt;"",COUNTIF(B190:$B$556,"〇"),"")</f>
        <v>51</v>
      </c>
      <c r="D190" s="42" t="s">
        <v>2210</v>
      </c>
      <c r="E190" s="85" t="str">
        <f>IF(ISERROR(_xlfn.XLOOKUP(D190,[1]購入者リスト!G:G,[1]購入者リスト!B:B,,0,1)),"",_xlfn.XLOOKUP(D190,[1]購入者リスト!G:G,[1]購入者リスト!B:B,,0,1))</f>
        <v/>
      </c>
      <c r="F190" s="86">
        <v>1</v>
      </c>
      <c r="G190" s="86">
        <v>894</v>
      </c>
      <c r="H190" s="90">
        <v>1</v>
      </c>
      <c r="I190" s="90">
        <v>4</v>
      </c>
      <c r="J190" s="85" t="s">
        <v>17</v>
      </c>
      <c r="K190" s="87" t="s">
        <v>2138</v>
      </c>
      <c r="L190" s="88">
        <f>IF(K190&lt;&gt;"",COUNTIF(K:K,K190),"")</f>
        <v>3</v>
      </c>
    </row>
    <row r="191" spans="1:16" ht="15">
      <c r="B191" s="82" t="s">
        <v>24</v>
      </c>
      <c r="C191" s="83">
        <f>IF(B191&lt;&gt;"",COUNTIF(B191:$B$556,"〇"),"")</f>
        <v>50</v>
      </c>
      <c r="D191" s="42" t="s">
        <v>2211</v>
      </c>
      <c r="E191" s="85" t="str">
        <f>IF(ISERROR(_xlfn.XLOOKUP(D191,[1]購入者リスト!G:G,[1]購入者リスト!B:B,,0,1)),"",_xlfn.XLOOKUP(D191,[1]購入者リスト!G:G,[1]購入者リスト!B:B,,0,1))</f>
        <v/>
      </c>
      <c r="F191" s="86">
        <v>6</v>
      </c>
      <c r="G191" s="86">
        <v>173</v>
      </c>
      <c r="H191" s="90">
        <v>76</v>
      </c>
      <c r="I191" s="90">
        <v>17</v>
      </c>
      <c r="J191" s="85" t="s">
        <v>24</v>
      </c>
      <c r="K191" s="87" t="s">
        <v>2126</v>
      </c>
      <c r="L191" s="88">
        <f>IF(K191&lt;&gt;"",COUNTIF(K:K,K191),"")</f>
        <v>3</v>
      </c>
    </row>
    <row r="192" spans="1:16" ht="15">
      <c r="B192" s="82" t="s">
        <v>24</v>
      </c>
      <c r="C192" s="83">
        <f>IF(B192&lt;&gt;"",COUNTIF(B192:$B$556,"〇"),"")</f>
        <v>49</v>
      </c>
      <c r="D192" s="42" t="s">
        <v>2212</v>
      </c>
      <c r="E192" s="85" t="str">
        <f>IF(ISERROR(_xlfn.XLOOKUP(D192,[1]購入者リスト!G:G,[1]購入者リスト!B:B,,0,1)),"",_xlfn.XLOOKUP(D192,[1]購入者リスト!G:G,[1]購入者リスト!B:B,,0,1))</f>
        <v/>
      </c>
      <c r="F192" s="86">
        <v>1</v>
      </c>
      <c r="G192" s="86">
        <v>271</v>
      </c>
      <c r="H192" s="90" t="s">
        <v>2204</v>
      </c>
      <c r="I192" s="90">
        <v>9</v>
      </c>
      <c r="J192" s="85" t="s">
        <v>17</v>
      </c>
      <c r="K192" s="87" t="s">
        <v>2057</v>
      </c>
      <c r="L192" s="88">
        <f>IF(K192&lt;&gt;"",COUNTIF(K:K,K192),"")</f>
        <v>72</v>
      </c>
    </row>
    <row r="193" spans="2:15" ht="15">
      <c r="B193" s="82" t="s">
        <v>24</v>
      </c>
      <c r="C193" s="83">
        <f>IF(B193&lt;&gt;"",COUNTIF(B193:$B$556,"〇"),"")</f>
        <v>48</v>
      </c>
      <c r="D193" s="42" t="s">
        <v>2213</v>
      </c>
      <c r="E193" s="85" t="str">
        <f>IF(ISERROR(_xlfn.XLOOKUP(D193,[1]購入者リスト!G:G,[1]購入者リスト!B:B,,0,1)),"",_xlfn.XLOOKUP(D193,[1]購入者リスト!G:G,[1]購入者リスト!B:B,,0,1))</f>
        <v/>
      </c>
      <c r="F193" s="86">
        <v>3</v>
      </c>
      <c r="G193" s="86">
        <v>264</v>
      </c>
      <c r="H193" s="90">
        <v>6</v>
      </c>
      <c r="I193" s="90">
        <v>2</v>
      </c>
      <c r="J193" s="85" t="s">
        <v>17</v>
      </c>
      <c r="K193" s="87" t="s">
        <v>2089</v>
      </c>
      <c r="L193" s="88">
        <f>IF(K193&lt;&gt;"",COUNTIF(K:K,K193),"")</f>
        <v>7</v>
      </c>
    </row>
    <row r="194" spans="2:15" ht="15">
      <c r="B194" s="82" t="s">
        <v>24</v>
      </c>
      <c r="C194" s="83">
        <f>IF(B194&lt;&gt;"",COUNTIF(B194:$B$556,"〇"),"")</f>
        <v>47</v>
      </c>
      <c r="D194" s="42" t="s">
        <v>2214</v>
      </c>
      <c r="E194" s="85" t="str">
        <f>IF(ISERROR(_xlfn.XLOOKUP(D194,[1]購入者リスト!G:G,[1]購入者リスト!B:B,,0,1)),"",_xlfn.XLOOKUP(D194,[1]購入者リスト!G:G,[1]購入者リスト!B:B,,0,1))</f>
        <v/>
      </c>
      <c r="F194" s="86">
        <v>8</v>
      </c>
      <c r="G194" s="86">
        <v>677</v>
      </c>
      <c r="H194" s="90">
        <v>428</v>
      </c>
      <c r="I194" s="90">
        <v>57</v>
      </c>
      <c r="J194" s="85" t="s">
        <v>24</v>
      </c>
      <c r="K194" s="87" t="s">
        <v>2089</v>
      </c>
      <c r="L194" s="88">
        <f>IF(K194&lt;&gt;"",COUNTIF(K:K,K194),"")</f>
        <v>7</v>
      </c>
    </row>
    <row r="195" spans="2:15" ht="15">
      <c r="B195" s="82" t="s">
        <v>24</v>
      </c>
      <c r="C195" s="83">
        <f>IF(B195&lt;&gt;"",COUNTIF(B195:$B$556,"〇"),"")</f>
        <v>46</v>
      </c>
      <c r="D195" s="42" t="s">
        <v>2215</v>
      </c>
      <c r="E195" s="85" t="str">
        <f>IF(ISERROR(_xlfn.XLOOKUP(D195,[1]購入者リスト!G:G,[1]購入者リスト!B:B,,0,1)),"",_xlfn.XLOOKUP(D195,[1]購入者リスト!G:G,[1]購入者リスト!B:B,,0,1))</f>
        <v/>
      </c>
      <c r="F195" s="86">
        <v>6</v>
      </c>
      <c r="G195" s="86">
        <v>241</v>
      </c>
      <c r="H195" s="90">
        <v>83</v>
      </c>
      <c r="I195" s="90">
        <v>1</v>
      </c>
      <c r="J195" s="85" t="s">
        <v>17</v>
      </c>
      <c r="K195" s="87" t="s">
        <v>2057</v>
      </c>
      <c r="L195" s="88">
        <f>IF(K195&lt;&gt;"",COUNTIF(K:K,K195),"")</f>
        <v>72</v>
      </c>
      <c r="N195" s="79"/>
      <c r="O195" s="79"/>
    </row>
    <row r="196" spans="2:15" ht="15">
      <c r="B196" s="82" t="s">
        <v>24</v>
      </c>
      <c r="C196" s="83">
        <f>IF(B196&lt;&gt;"",COUNTIF(B196:$B$556,"〇"),"")</f>
        <v>45</v>
      </c>
      <c r="D196" s="42" t="s">
        <v>2216</v>
      </c>
      <c r="E196" s="85" t="str">
        <f>IF(ISERROR(_xlfn.XLOOKUP(D196,[1]購入者リスト!G:G,[1]購入者リスト!B:B,,0,1)),"",_xlfn.XLOOKUP(D196,[1]購入者リスト!G:G,[1]購入者リスト!B:B,,0,1))</f>
        <v/>
      </c>
      <c r="F196" s="86">
        <v>3</v>
      </c>
      <c r="G196" s="86">
        <v>19</v>
      </c>
      <c r="H196" s="90">
        <v>6</v>
      </c>
      <c r="I196" s="90">
        <v>0</v>
      </c>
      <c r="J196" s="85" t="s">
        <v>17</v>
      </c>
      <c r="K196" s="87" t="s">
        <v>2217</v>
      </c>
      <c r="L196" s="88">
        <f>IF(K196&lt;&gt;"",COUNTIF(K:K,K196),"")</f>
        <v>1</v>
      </c>
    </row>
    <row r="197" spans="2:15" ht="15">
      <c r="B197" s="82" t="s">
        <v>24</v>
      </c>
      <c r="C197" s="83">
        <f>IF(B197&lt;&gt;"",COUNTIF(B197:$B$556,"〇"),"")</f>
        <v>44</v>
      </c>
      <c r="D197" s="42" t="s">
        <v>2218</v>
      </c>
      <c r="E197" s="85" t="str">
        <f>IF(ISERROR(_xlfn.XLOOKUP(D197,[1]購入者リスト!G:G,[1]購入者リスト!B:B,,0,1)),"",_xlfn.XLOOKUP(D197,[1]購入者リスト!G:G,[1]購入者リスト!B:B,,0,1))</f>
        <v/>
      </c>
      <c r="F197" s="86">
        <v>1</v>
      </c>
      <c r="G197" s="86">
        <v>45</v>
      </c>
      <c r="H197" s="90" t="s">
        <v>2204</v>
      </c>
      <c r="I197" s="90" t="s">
        <v>2204</v>
      </c>
      <c r="J197" s="85" t="s">
        <v>17</v>
      </c>
      <c r="K197" s="87" t="s">
        <v>2057</v>
      </c>
      <c r="L197" s="88">
        <f>IF(K197&lt;&gt;"",COUNTIF(K:K,K197),"")</f>
        <v>72</v>
      </c>
    </row>
    <row r="198" spans="2:15" ht="15">
      <c r="B198" s="82" t="s">
        <v>24</v>
      </c>
      <c r="C198" s="83">
        <f>IF(B198&lt;&gt;"",COUNTIF(B198:$B$556,"〇"),"")</f>
        <v>43</v>
      </c>
      <c r="D198" s="42" t="s">
        <v>2219</v>
      </c>
      <c r="E198" s="85" t="str">
        <f>IF(ISERROR(_xlfn.XLOOKUP(D198,[1]購入者リスト!G:G,[1]購入者リスト!B:B,,0,1)),"",_xlfn.XLOOKUP(D198,[1]購入者リスト!G:G,[1]購入者リスト!B:B,,0,1))</f>
        <v/>
      </c>
      <c r="F198" s="86">
        <v>9</v>
      </c>
      <c r="G198" s="86">
        <v>1207</v>
      </c>
      <c r="H198" s="90">
        <v>807</v>
      </c>
      <c r="I198" s="90">
        <v>39</v>
      </c>
      <c r="J198" s="85" t="s">
        <v>17</v>
      </c>
      <c r="K198" s="87" t="s">
        <v>2062</v>
      </c>
      <c r="L198" s="88">
        <f>IF(K198&lt;&gt;"",COUNTIF(K:K,K198),"")</f>
        <v>21</v>
      </c>
    </row>
    <row r="199" spans="2:15" ht="15">
      <c r="B199" s="82" t="s">
        <v>24</v>
      </c>
      <c r="C199" s="83">
        <f>IF(B199&lt;&gt;"",COUNTIF(B199:$B$556,"〇"),"")</f>
        <v>42</v>
      </c>
      <c r="D199" s="42" t="s">
        <v>2220</v>
      </c>
      <c r="E199" s="85" t="str">
        <f>IF(ISERROR(_xlfn.XLOOKUP(D199,[1]購入者リスト!G:G,[1]購入者リスト!B:B,,0,1)),"",_xlfn.XLOOKUP(D199,[1]購入者リスト!G:G,[1]購入者リスト!B:B,,0,1))</f>
        <v/>
      </c>
      <c r="F199" s="86">
        <v>1</v>
      </c>
      <c r="G199" s="86">
        <v>145</v>
      </c>
      <c r="H199" s="90" t="s">
        <v>2204</v>
      </c>
      <c r="I199" s="90" t="s">
        <v>2204</v>
      </c>
      <c r="J199" s="85" t="s">
        <v>17</v>
      </c>
      <c r="K199" s="87" t="s">
        <v>2057</v>
      </c>
      <c r="L199" s="88">
        <f>IF(K199&lt;&gt;"",COUNTIF(K:K,K199),"")</f>
        <v>72</v>
      </c>
    </row>
    <row r="200" spans="2:15" ht="15">
      <c r="B200" s="82" t="s">
        <v>24</v>
      </c>
      <c r="C200" s="83">
        <f>IF(B200&lt;&gt;"",COUNTIF(B200:$B$556,"〇"),"")</f>
        <v>41</v>
      </c>
      <c r="D200" s="42" t="s">
        <v>1934</v>
      </c>
      <c r="E200" s="85">
        <f>IF(ISERROR(_xlfn.XLOOKUP(D200,[1]購入者リスト!G:G,[1]購入者リスト!B:B,,0,1)),"",_xlfn.XLOOKUP(D200,[1]購入者リスト!G:G,[1]購入者リスト!B:B,,0,1))</f>
        <v>0</v>
      </c>
      <c r="F200" s="86">
        <v>1</v>
      </c>
      <c r="G200" s="86">
        <v>34</v>
      </c>
      <c r="H200" s="90" t="s">
        <v>2204</v>
      </c>
      <c r="I200" s="90" t="s">
        <v>2204</v>
      </c>
      <c r="J200" s="85" t="s">
        <v>17</v>
      </c>
      <c r="K200" s="87" t="s">
        <v>2087</v>
      </c>
      <c r="L200" s="88">
        <f>IF(K200&lt;&gt;"",COUNTIF(K:K,K200),"")</f>
        <v>6</v>
      </c>
    </row>
    <row r="201" spans="2:15" ht="15">
      <c r="B201" s="82" t="s">
        <v>24</v>
      </c>
      <c r="C201" s="83">
        <f>IF(B201&lt;&gt;"",COUNTIF(B201:$B$556,"〇"),"")</f>
        <v>40</v>
      </c>
      <c r="D201" s="42" t="s">
        <v>1880</v>
      </c>
      <c r="E201" s="85">
        <f>IF(ISERROR(_xlfn.XLOOKUP(D201,[1]購入者リスト!G:G,[1]購入者リスト!B:B,,0,1)),"",_xlfn.XLOOKUP(D201,[1]購入者リスト!G:G,[1]購入者リスト!B:B,,0,1))</f>
        <v>0</v>
      </c>
      <c r="F201" s="86">
        <v>2</v>
      </c>
      <c r="G201" s="86">
        <v>54</v>
      </c>
      <c r="H201" s="90">
        <v>2</v>
      </c>
      <c r="I201" s="90">
        <v>0</v>
      </c>
      <c r="J201" s="85" t="s">
        <v>17</v>
      </c>
      <c r="K201" s="87" t="s">
        <v>2090</v>
      </c>
      <c r="L201" s="88">
        <f>IF(K201&lt;&gt;"",COUNTIF(K:K,K201),"")</f>
        <v>8</v>
      </c>
    </row>
    <row r="202" spans="2:15" ht="15">
      <c r="B202" s="82" t="s">
        <v>24</v>
      </c>
      <c r="C202" s="83">
        <f>IF(B202&lt;&gt;"",COUNTIF(B202:$B$556,"〇"),"")</f>
        <v>39</v>
      </c>
      <c r="D202" s="42" t="s">
        <v>2221</v>
      </c>
      <c r="E202" s="85" t="str">
        <f>IF(ISERROR(_xlfn.XLOOKUP(D202,[1]購入者リスト!G:G,[1]購入者リスト!B:B,,0,1)),"",_xlfn.XLOOKUP(D202,[1]購入者リスト!G:G,[1]購入者リスト!B:B,,0,1))</f>
        <v/>
      </c>
      <c r="F202" s="86">
        <v>1</v>
      </c>
      <c r="G202" s="86">
        <v>31</v>
      </c>
      <c r="H202" s="90" t="s">
        <v>2204</v>
      </c>
      <c r="I202" s="90" t="s">
        <v>2204</v>
      </c>
      <c r="J202" s="85" t="s">
        <v>17</v>
      </c>
      <c r="K202" s="87" t="s">
        <v>2057</v>
      </c>
      <c r="L202" s="88">
        <f>IF(K202&lt;&gt;"",COUNTIF(K:K,K202),"")</f>
        <v>72</v>
      </c>
    </row>
    <row r="203" spans="2:15" ht="15">
      <c r="B203" s="82" t="s">
        <v>24</v>
      </c>
      <c r="C203" s="83">
        <f>IF(B203&lt;&gt;"",COUNTIF(B203:$B$556,"〇"),"")</f>
        <v>38</v>
      </c>
      <c r="D203" s="42" t="s">
        <v>1709</v>
      </c>
      <c r="E203" s="85">
        <f>IF(ISERROR(_xlfn.XLOOKUP(D203,[1]購入者リスト!G:G,[1]購入者リスト!B:B,,0,1)),"",_xlfn.XLOOKUP(D203,[1]購入者リスト!G:G,[1]購入者リスト!B:B,,0,1))</f>
        <v>0</v>
      </c>
      <c r="F203" s="86">
        <v>6</v>
      </c>
      <c r="G203" s="86">
        <v>270</v>
      </c>
      <c r="H203" s="90">
        <v>164</v>
      </c>
      <c r="I203" s="90">
        <v>8</v>
      </c>
      <c r="J203" s="85" t="s">
        <v>24</v>
      </c>
      <c r="K203" s="87" t="s">
        <v>2183</v>
      </c>
      <c r="L203" s="88">
        <f>IF(K203&lt;&gt;"",COUNTIF(K:K,K203),"")</f>
        <v>3</v>
      </c>
    </row>
    <row r="204" spans="2:15" ht="15">
      <c r="B204" s="82" t="s">
        <v>24</v>
      </c>
      <c r="C204" s="83">
        <f>IF(B204&lt;&gt;"",COUNTIF(B204:$B$556,"〇"),"")</f>
        <v>37</v>
      </c>
      <c r="D204" s="42" t="s">
        <v>1759</v>
      </c>
      <c r="E204" s="85">
        <f>IF(ISERROR(_xlfn.XLOOKUP(D204,[1]購入者リスト!G:G,[1]購入者リスト!B:B,,0,1)),"",_xlfn.XLOOKUP(D204,[1]購入者リスト!G:G,[1]購入者リスト!B:B,,0,1))</f>
        <v>0</v>
      </c>
      <c r="F204" s="86">
        <v>8</v>
      </c>
      <c r="G204" s="86">
        <v>674</v>
      </c>
      <c r="H204" s="90">
        <v>421</v>
      </c>
      <c r="I204" s="90">
        <v>54</v>
      </c>
      <c r="J204" s="85" t="s">
        <v>24</v>
      </c>
      <c r="K204" s="87" t="s">
        <v>2145</v>
      </c>
      <c r="L204" s="88">
        <f>IF(K204&lt;&gt;"",COUNTIF(K:K,K204),"")</f>
        <v>2</v>
      </c>
    </row>
    <row r="205" spans="2:15" ht="15">
      <c r="B205" s="82" t="s">
        <v>24</v>
      </c>
      <c r="C205" s="83">
        <f>IF(B205&lt;&gt;"",COUNTIF(B205:$B$556,"〇"),"")</f>
        <v>36</v>
      </c>
      <c r="D205" s="42" t="s">
        <v>2222</v>
      </c>
      <c r="E205" s="85" t="str">
        <f>IF(ISERROR(_xlfn.XLOOKUP(D205,[1]購入者リスト!G:G,[1]購入者リスト!B:B,,0,1)),"",_xlfn.XLOOKUP(D205,[1]購入者リスト!G:G,[1]購入者リスト!B:B,,0,1))</f>
        <v/>
      </c>
      <c r="F205" s="86">
        <v>1</v>
      </c>
      <c r="G205" s="86">
        <v>128</v>
      </c>
      <c r="H205" s="90" t="s">
        <v>2204</v>
      </c>
      <c r="I205" s="90" t="s">
        <v>2204</v>
      </c>
      <c r="J205" s="85" t="s">
        <v>17</v>
      </c>
      <c r="K205" s="87" t="s">
        <v>2057</v>
      </c>
      <c r="L205" s="88">
        <f>IF(K205&lt;&gt;"",COUNTIF(K:K,K205),"")</f>
        <v>72</v>
      </c>
    </row>
    <row r="206" spans="2:15" ht="15">
      <c r="B206" s="82" t="s">
        <v>24</v>
      </c>
      <c r="C206" s="83">
        <f>IF(B206&lt;&gt;"",COUNTIF(B206:$B$556,"〇"),"")</f>
        <v>35</v>
      </c>
      <c r="D206" s="42" t="s">
        <v>2223</v>
      </c>
      <c r="E206" s="85" t="str">
        <f>IF(ISERROR(_xlfn.XLOOKUP(D206,[1]購入者リスト!G:G,[1]購入者リスト!B:B,,0,1)),"",_xlfn.XLOOKUP(D206,[1]購入者リスト!G:G,[1]購入者リスト!B:B,,0,1))</f>
        <v/>
      </c>
      <c r="F206" s="86">
        <v>7</v>
      </c>
      <c r="G206" s="86">
        <v>289</v>
      </c>
      <c r="H206" s="90">
        <v>144</v>
      </c>
      <c r="I206" s="90">
        <v>12</v>
      </c>
      <c r="J206" s="85" t="s">
        <v>17</v>
      </c>
      <c r="K206" s="87" t="s">
        <v>2109</v>
      </c>
      <c r="L206" s="88">
        <f>IF(K206&lt;&gt;"",COUNTIF(K:K,K206),"")</f>
        <v>6</v>
      </c>
    </row>
    <row r="207" spans="2:15" ht="15">
      <c r="B207" s="82" t="s">
        <v>24</v>
      </c>
      <c r="C207" s="83">
        <f>IF(B207&lt;&gt;"",COUNTIF(B207:$B$556,"〇"),"")</f>
        <v>34</v>
      </c>
      <c r="D207" s="42" t="s">
        <v>2224</v>
      </c>
      <c r="E207" s="85" t="str">
        <f>IF(ISERROR(_xlfn.XLOOKUP(D207,[1]購入者リスト!G:G,[1]購入者リスト!B:B,,0,1)),"",_xlfn.XLOOKUP(D207,[1]購入者リスト!G:G,[1]購入者リスト!B:B,,0,1))</f>
        <v/>
      </c>
      <c r="F207" s="86">
        <v>6</v>
      </c>
      <c r="G207" s="86">
        <v>121</v>
      </c>
      <c r="H207" s="90">
        <v>123</v>
      </c>
      <c r="I207" s="90">
        <v>33</v>
      </c>
      <c r="J207" s="85" t="s">
        <v>17</v>
      </c>
      <c r="K207" s="87" t="s">
        <v>2098</v>
      </c>
      <c r="L207" s="88">
        <f>IF(K207&lt;&gt;"",COUNTIF(K:K,K207),"")</f>
        <v>8</v>
      </c>
    </row>
    <row r="208" spans="2:15" ht="15">
      <c r="B208" s="82" t="s">
        <v>24</v>
      </c>
      <c r="C208" s="83">
        <f>IF(B208&lt;&gt;"",COUNTIF(B208:$B$556,"〇"),"")</f>
        <v>33</v>
      </c>
      <c r="D208" s="42" t="s">
        <v>2225</v>
      </c>
      <c r="E208" s="85" t="str">
        <f>IF(ISERROR(_xlfn.XLOOKUP(D208,[1]購入者リスト!G:G,[1]購入者リスト!B:B,,0,1)),"",_xlfn.XLOOKUP(D208,[1]購入者リスト!G:G,[1]購入者リスト!B:B,,0,1))</f>
        <v/>
      </c>
      <c r="F208" s="86">
        <v>5</v>
      </c>
      <c r="G208" s="86">
        <v>136</v>
      </c>
      <c r="H208" s="90">
        <v>35</v>
      </c>
      <c r="I208" s="90">
        <v>4</v>
      </c>
      <c r="J208" s="85" t="s">
        <v>17</v>
      </c>
      <c r="K208" s="87" t="s">
        <v>2055</v>
      </c>
      <c r="L208" s="88">
        <f>IF(K208&lt;&gt;"",COUNTIF(K:K,K208),"")</f>
        <v>9</v>
      </c>
    </row>
    <row r="209" spans="2:12" ht="15">
      <c r="B209" s="82" t="s">
        <v>24</v>
      </c>
      <c r="C209" s="83">
        <f>IF(B209&lt;&gt;"",COUNTIF(B209:$B$556,"〇"),"")</f>
        <v>32</v>
      </c>
      <c r="D209" s="42" t="s">
        <v>2226</v>
      </c>
      <c r="E209" s="85" t="str">
        <f>IF(ISERROR(_xlfn.XLOOKUP(D209,[1]購入者リスト!G:G,[1]購入者リスト!B:B,,0,1)),"",_xlfn.XLOOKUP(D209,[1]購入者リスト!G:G,[1]購入者リスト!B:B,,0,1))</f>
        <v/>
      </c>
      <c r="F209" s="86">
        <v>8</v>
      </c>
      <c r="G209" s="86">
        <v>485</v>
      </c>
      <c r="H209" s="90">
        <v>616</v>
      </c>
      <c r="I209" s="90">
        <v>9</v>
      </c>
      <c r="J209" s="85" t="s">
        <v>17</v>
      </c>
      <c r="K209" s="87" t="s">
        <v>2060</v>
      </c>
      <c r="L209" s="88">
        <f>IF(K209&lt;&gt;"",COUNTIF(K:K,K209),"")</f>
        <v>12</v>
      </c>
    </row>
    <row r="210" spans="2:12" ht="15">
      <c r="B210" s="82" t="s">
        <v>24</v>
      </c>
      <c r="C210" s="83">
        <f>IF(B210&lt;&gt;"",COUNTIF(B210:$B$556,"〇"),"")</f>
        <v>31</v>
      </c>
      <c r="D210" s="42" t="s">
        <v>1880</v>
      </c>
      <c r="E210" s="85">
        <f>IF(ISERROR(_xlfn.XLOOKUP(D210,[1]購入者リスト!G:G,[1]購入者リスト!B:B,,0,1)),"",_xlfn.XLOOKUP(D210,[1]購入者リスト!G:G,[1]購入者リスト!B:B,,0,1))</f>
        <v>0</v>
      </c>
      <c r="F210" s="86">
        <v>1</v>
      </c>
      <c r="G210" s="86">
        <v>321</v>
      </c>
      <c r="H210" s="90" t="s">
        <v>2204</v>
      </c>
      <c r="I210" s="90">
        <v>4</v>
      </c>
      <c r="J210" s="85" t="s">
        <v>17</v>
      </c>
      <c r="K210" s="87" t="s">
        <v>2090</v>
      </c>
      <c r="L210" s="88">
        <f>IF(K210&lt;&gt;"",COUNTIF(K:K,K210),"")</f>
        <v>8</v>
      </c>
    </row>
    <row r="211" spans="2:12" ht="15">
      <c r="B211" s="82" t="s">
        <v>24</v>
      </c>
      <c r="C211" s="83">
        <f>IF(B211&lt;&gt;"",COUNTIF(B211:$B$556,"〇"),"")</f>
        <v>30</v>
      </c>
      <c r="D211" s="42" t="s">
        <v>2130</v>
      </c>
      <c r="E211" s="85" t="str">
        <f>IF(ISERROR(_xlfn.XLOOKUP(D211,[1]購入者リスト!G:G,[1]購入者リスト!B:B,,0,1)),"",_xlfn.XLOOKUP(D211,[1]購入者リスト!G:G,[1]購入者リスト!B:B,,0,1))</f>
        <v/>
      </c>
      <c r="F211" s="86">
        <v>9</v>
      </c>
      <c r="G211" s="86">
        <v>1330</v>
      </c>
      <c r="H211" s="90">
        <v>776</v>
      </c>
      <c r="I211" s="90">
        <v>38</v>
      </c>
      <c r="J211" s="85" t="s">
        <v>24</v>
      </c>
      <c r="K211" s="87" t="s">
        <v>2079</v>
      </c>
      <c r="L211" s="88">
        <f>IF(K211&lt;&gt;"",COUNTIF(K:K,K211),"")</f>
        <v>5</v>
      </c>
    </row>
    <row r="212" spans="2:12" ht="15">
      <c r="B212" s="82" t="s">
        <v>24</v>
      </c>
      <c r="C212" s="83">
        <f>IF(B212&lt;&gt;"",COUNTIF(B212:$B$556,"〇"),"")</f>
        <v>29</v>
      </c>
      <c r="D212" s="42" t="s">
        <v>2227</v>
      </c>
      <c r="E212" s="85" t="str">
        <f>IF(ISERROR(_xlfn.XLOOKUP(D212,[1]購入者リスト!G:G,[1]購入者リスト!B:B,,0,1)),"",_xlfn.XLOOKUP(D212,[1]購入者リスト!G:G,[1]購入者リスト!B:B,,0,1))</f>
        <v/>
      </c>
      <c r="F212" s="86">
        <v>1</v>
      </c>
      <c r="G212" s="86">
        <v>2017</v>
      </c>
      <c r="H212" s="90" t="s">
        <v>2204</v>
      </c>
      <c r="I212" s="90">
        <v>12</v>
      </c>
      <c r="J212" s="85" t="s">
        <v>17</v>
      </c>
      <c r="K212" s="87" t="s">
        <v>2057</v>
      </c>
      <c r="L212" s="88">
        <f>IF(K212&lt;&gt;"",COUNTIF(K:K,K212),"")</f>
        <v>72</v>
      </c>
    </row>
    <row r="213" spans="2:12" ht="15">
      <c r="B213" s="82" t="s">
        <v>24</v>
      </c>
      <c r="C213" s="83">
        <f>IF(B213&lt;&gt;"",COUNTIF(B213:$B$556,"〇"),"")</f>
        <v>28</v>
      </c>
      <c r="D213" s="42" t="s">
        <v>2228</v>
      </c>
      <c r="E213" s="85" t="str">
        <f>IF(ISERROR(_xlfn.XLOOKUP(D213,[1]購入者リスト!G:G,[1]購入者リスト!B:B,,0,1)),"",_xlfn.XLOOKUP(D213,[1]購入者リスト!G:G,[1]購入者リスト!B:B,,0,1))</f>
        <v/>
      </c>
      <c r="F213" s="86">
        <v>3</v>
      </c>
      <c r="G213" s="86">
        <v>114</v>
      </c>
      <c r="H213" s="90">
        <v>5</v>
      </c>
      <c r="I213" s="90">
        <v>1</v>
      </c>
      <c r="J213" s="85" t="s">
        <v>17</v>
      </c>
      <c r="K213" s="87" t="s">
        <v>2053</v>
      </c>
      <c r="L213" s="88">
        <f>IF(K213&lt;&gt;"",COUNTIF(K:K,K213),"")</f>
        <v>13</v>
      </c>
    </row>
    <row r="214" spans="2:12" ht="15">
      <c r="B214" s="82" t="s">
        <v>24</v>
      </c>
      <c r="C214" s="83">
        <f>IF(B214&lt;&gt;"",COUNTIF(B214:$B$556,"〇"),"")</f>
        <v>27</v>
      </c>
      <c r="D214" s="42" t="s">
        <v>2229</v>
      </c>
      <c r="E214" s="85" t="str">
        <f>IF(ISERROR(_xlfn.XLOOKUP(D214,[1]購入者リスト!G:G,[1]購入者リスト!B:B,,0,1)),"",_xlfn.XLOOKUP(D214,[1]購入者リスト!G:G,[1]購入者リスト!B:B,,0,1))</f>
        <v/>
      </c>
      <c r="F214" s="86">
        <v>6</v>
      </c>
      <c r="G214" s="86">
        <v>400</v>
      </c>
      <c r="H214" s="90">
        <v>74</v>
      </c>
      <c r="I214" s="90">
        <v>0</v>
      </c>
      <c r="J214" s="85" t="s">
        <v>24</v>
      </c>
      <c r="K214" s="87" t="s">
        <v>2062</v>
      </c>
      <c r="L214" s="88">
        <f>IF(K214&lt;&gt;"",COUNTIF(K:K,K214),"")</f>
        <v>21</v>
      </c>
    </row>
    <row r="215" spans="2:12" ht="15">
      <c r="B215" s="82" t="s">
        <v>24</v>
      </c>
      <c r="C215" s="83">
        <f>IF(B215&lt;&gt;"",COUNTIF(B215:$B$556,"〇"),"")</f>
        <v>26</v>
      </c>
      <c r="D215" s="42" t="s">
        <v>611</v>
      </c>
      <c r="E215" s="85" t="str">
        <f>IF(ISERROR(_xlfn.XLOOKUP(D215,[1]購入者リスト!G:G,[1]購入者リスト!B:B,,0,1)),"",_xlfn.XLOOKUP(D215,[1]購入者リスト!G:G,[1]購入者リスト!B:B,,0,1))</f>
        <v/>
      </c>
      <c r="F215" s="86">
        <v>5</v>
      </c>
      <c r="G215" s="86">
        <v>109</v>
      </c>
      <c r="H215" s="90">
        <v>34</v>
      </c>
      <c r="I215" s="90">
        <v>1</v>
      </c>
      <c r="J215" s="85" t="s">
        <v>17</v>
      </c>
      <c r="K215" s="87" t="s">
        <v>2089</v>
      </c>
      <c r="L215" s="88">
        <f>IF(K215&lt;&gt;"",COUNTIF(K:K,K215),"")</f>
        <v>7</v>
      </c>
    </row>
    <row r="216" spans="2:12" ht="15">
      <c r="B216" s="82" t="s">
        <v>24</v>
      </c>
      <c r="C216" s="83">
        <f>IF(B216&lt;&gt;"",COUNTIF(B216:$B$556,"〇"),"")</f>
        <v>25</v>
      </c>
      <c r="D216" s="42" t="s">
        <v>2156</v>
      </c>
      <c r="E216" s="85" t="str">
        <f>IF(ISERROR(_xlfn.XLOOKUP(D216,[1]購入者リスト!G:G,[1]購入者リスト!B:B,,0,1)),"",_xlfn.XLOOKUP(D216,[1]購入者リスト!G:G,[1]購入者リスト!B:B,,0,1))</f>
        <v/>
      </c>
      <c r="F216" s="86">
        <v>1</v>
      </c>
      <c r="G216" s="86">
        <v>54</v>
      </c>
      <c r="H216" s="90" t="s">
        <v>2204</v>
      </c>
      <c r="I216" s="90" t="s">
        <v>2204</v>
      </c>
      <c r="J216" s="85" t="s">
        <v>17</v>
      </c>
      <c r="K216" s="87" t="s">
        <v>2057</v>
      </c>
      <c r="L216" s="88">
        <f>IF(K216&lt;&gt;"",COUNTIF(K:K,K216),"")</f>
        <v>72</v>
      </c>
    </row>
    <row r="217" spans="2:12" ht="15">
      <c r="B217" s="82" t="s">
        <v>24</v>
      </c>
      <c r="C217" s="83">
        <f>IF(B217&lt;&gt;"",COUNTIF(B217:$B$556,"〇"),"")</f>
        <v>24</v>
      </c>
      <c r="D217" s="42" t="s">
        <v>1960</v>
      </c>
      <c r="E217" s="85">
        <f>IF(ISERROR(_xlfn.XLOOKUP(D217,[1]購入者リスト!G:G,[1]購入者リスト!B:B,,0,1)),"",_xlfn.XLOOKUP(D217,[1]購入者リスト!G:G,[1]購入者リスト!B:B,,0,1))</f>
        <v>0</v>
      </c>
      <c r="F217" s="86">
        <v>7</v>
      </c>
      <c r="G217" s="86">
        <v>371</v>
      </c>
      <c r="H217" s="90">
        <v>181</v>
      </c>
      <c r="I217" s="90">
        <v>4</v>
      </c>
      <c r="J217" s="85" t="s">
        <v>17</v>
      </c>
      <c r="K217" s="87" t="s">
        <v>2109</v>
      </c>
      <c r="L217" s="88">
        <f>IF(K217&lt;&gt;"",COUNTIF(K:K,K217),"")</f>
        <v>6</v>
      </c>
    </row>
    <row r="218" spans="2:12" ht="15">
      <c r="B218" s="82" t="s">
        <v>24</v>
      </c>
      <c r="C218" s="83">
        <f>IF(B218&lt;&gt;"",COUNTIF(B218:$B$556,"〇"),"")</f>
        <v>23</v>
      </c>
      <c r="D218" s="42" t="s">
        <v>2230</v>
      </c>
      <c r="E218" s="85" t="str">
        <f>IF(ISERROR(_xlfn.XLOOKUP(D218,[1]購入者リスト!G:G,[1]購入者リスト!B:B,,0,1)),"",_xlfn.XLOOKUP(D218,[1]購入者リスト!G:G,[1]購入者リスト!B:B,,0,1))</f>
        <v/>
      </c>
      <c r="F218" s="86">
        <v>1</v>
      </c>
      <c r="G218" s="86">
        <v>531</v>
      </c>
      <c r="H218" s="90" t="s">
        <v>2204</v>
      </c>
      <c r="I218" s="90">
        <v>8</v>
      </c>
      <c r="J218" s="85" t="s">
        <v>17</v>
      </c>
      <c r="K218" s="87" t="s">
        <v>2057</v>
      </c>
      <c r="L218" s="88">
        <f>IF(K218&lt;&gt;"",COUNTIF(K:K,K218),"")</f>
        <v>72</v>
      </c>
    </row>
    <row r="219" spans="2:12" ht="15">
      <c r="B219" s="82" t="s">
        <v>24</v>
      </c>
      <c r="C219" s="83">
        <f>IF(B219&lt;&gt;"",COUNTIF(B219:$B$556,"〇"),"")</f>
        <v>22</v>
      </c>
      <c r="D219" s="42" t="s">
        <v>2231</v>
      </c>
      <c r="E219" s="85" t="str">
        <f>IF(ISERROR(_xlfn.XLOOKUP(D219,[1]購入者リスト!G:G,[1]購入者リスト!B:B,,0,1)),"",_xlfn.XLOOKUP(D219,[1]購入者リスト!G:G,[1]購入者リスト!B:B,,0,1))</f>
        <v/>
      </c>
      <c r="F219" s="86">
        <v>4</v>
      </c>
      <c r="G219" s="86">
        <v>109</v>
      </c>
      <c r="H219" s="90">
        <v>12</v>
      </c>
      <c r="I219" s="90">
        <v>0</v>
      </c>
      <c r="J219" s="85" t="s">
        <v>17</v>
      </c>
      <c r="K219" s="87" t="s">
        <v>2126</v>
      </c>
      <c r="L219" s="88">
        <f>IF(K219&lt;&gt;"",COUNTIF(K:K,K219),"")</f>
        <v>3</v>
      </c>
    </row>
    <row r="220" spans="2:12" ht="15">
      <c r="B220" s="82" t="s">
        <v>24</v>
      </c>
      <c r="C220" s="83">
        <f>IF(B220&lt;&gt;"",COUNTIF(B220:$B$556,"〇"),"")</f>
        <v>21</v>
      </c>
      <c r="D220" s="42" t="s">
        <v>2232</v>
      </c>
      <c r="E220" s="85" t="str">
        <f>IF(ISERROR(_xlfn.XLOOKUP(D220,[1]購入者リスト!G:G,[1]購入者リスト!B:B,,0,1)),"",_xlfn.XLOOKUP(D220,[1]購入者リスト!G:G,[1]購入者リスト!B:B,,0,1))</f>
        <v/>
      </c>
      <c r="F220" s="86">
        <v>9</v>
      </c>
      <c r="G220" s="86">
        <v>2160</v>
      </c>
      <c r="H220" s="90">
        <v>811</v>
      </c>
      <c r="I220" s="90">
        <v>13</v>
      </c>
      <c r="J220" s="85" t="s">
        <v>17</v>
      </c>
      <c r="K220" s="87" t="s">
        <v>2069</v>
      </c>
      <c r="L220" s="88">
        <f>IF(K220&lt;&gt;"",COUNTIF(K:K,K220),"")</f>
        <v>6</v>
      </c>
    </row>
    <row r="221" spans="2:12" ht="15">
      <c r="B221" s="82" t="s">
        <v>24</v>
      </c>
      <c r="C221" s="83">
        <f>IF(B221&lt;&gt;"",COUNTIF(B221:$B$556,"〇"),"")</f>
        <v>20</v>
      </c>
      <c r="D221" s="42" t="s">
        <v>2233</v>
      </c>
      <c r="E221" s="85" t="str">
        <f>IF(ISERROR(_xlfn.XLOOKUP(D221,[1]購入者リスト!G:G,[1]購入者リスト!B:B,,0,1)),"",_xlfn.XLOOKUP(D221,[1]購入者リスト!G:G,[1]購入者リスト!B:B,,0,1))</f>
        <v/>
      </c>
      <c r="F221" s="86">
        <v>8</v>
      </c>
      <c r="G221" s="86">
        <v>547</v>
      </c>
      <c r="H221" s="90">
        <v>318</v>
      </c>
      <c r="I221" s="90">
        <v>139</v>
      </c>
      <c r="J221" s="85" t="s">
        <v>24</v>
      </c>
      <c r="K221" s="87" t="s">
        <v>2065</v>
      </c>
      <c r="L221" s="88">
        <f>IF(K221&lt;&gt;"",COUNTIF(K:K,K221),"")</f>
        <v>3</v>
      </c>
    </row>
    <row r="222" spans="2:12" ht="15">
      <c r="B222" s="82" t="s">
        <v>24</v>
      </c>
      <c r="C222" s="83">
        <f>IF(B222&lt;&gt;"",COUNTIF(B222:$B$556,"〇"),"")</f>
        <v>19</v>
      </c>
      <c r="D222" s="42" t="s">
        <v>2099</v>
      </c>
      <c r="E222" s="85" t="str">
        <f>IF(ISERROR(_xlfn.XLOOKUP(D222,[1]購入者リスト!G:G,[1]購入者リスト!B:B,,0,1)),"",_xlfn.XLOOKUP(D222,[1]購入者リスト!G:G,[1]購入者リスト!B:B,,0,1))</f>
        <v/>
      </c>
      <c r="F222" s="86">
        <v>1</v>
      </c>
      <c r="G222" s="86">
        <v>151</v>
      </c>
      <c r="H222" s="90" t="s">
        <v>2204</v>
      </c>
      <c r="I222" s="90">
        <v>7</v>
      </c>
      <c r="J222" s="85" t="s">
        <v>17</v>
      </c>
      <c r="K222" s="87" t="s">
        <v>2057</v>
      </c>
      <c r="L222" s="88">
        <f>IF(K222&lt;&gt;"",COUNTIF(K:K,K222),"")</f>
        <v>72</v>
      </c>
    </row>
    <row r="223" spans="2:12" ht="15">
      <c r="B223" s="82" t="s">
        <v>24</v>
      </c>
      <c r="C223" s="83">
        <f>IF(B223&lt;&gt;"",COUNTIF(B223:$B$556,"〇"),"")</f>
        <v>18</v>
      </c>
      <c r="D223" s="42" t="s">
        <v>2035</v>
      </c>
      <c r="E223" s="85">
        <f>IF(ISERROR(_xlfn.XLOOKUP(D223,[1]購入者リスト!G:G,[1]購入者リスト!B:B,,0,1)),"",_xlfn.XLOOKUP(D223,[1]購入者リスト!G:G,[1]購入者リスト!B:B,,0,1))</f>
        <v>0</v>
      </c>
      <c r="F223" s="86">
        <v>1</v>
      </c>
      <c r="G223" s="86">
        <v>94</v>
      </c>
      <c r="H223" s="90" t="s">
        <v>2204</v>
      </c>
      <c r="I223" s="90" t="s">
        <v>2204</v>
      </c>
      <c r="J223" s="85" t="s">
        <v>17</v>
      </c>
      <c r="K223" s="87" t="s">
        <v>2087</v>
      </c>
      <c r="L223" s="88">
        <f>IF(K223&lt;&gt;"",COUNTIF(K:K,K223),"")</f>
        <v>6</v>
      </c>
    </row>
    <row r="224" spans="2:12" ht="15">
      <c r="B224" s="82" t="s">
        <v>24</v>
      </c>
      <c r="C224" s="83">
        <f>IF(B224&lt;&gt;"",COUNTIF(B224:$B$556,"〇"),"")</f>
        <v>17</v>
      </c>
      <c r="D224" s="42" t="s">
        <v>2234</v>
      </c>
      <c r="E224" s="85" t="str">
        <f>IF(ISERROR(_xlfn.XLOOKUP(D224,[1]購入者リスト!G:G,[1]購入者リスト!B:B,,0,1)),"",_xlfn.XLOOKUP(D224,[1]購入者リスト!G:G,[1]購入者リスト!B:B,,0,1))</f>
        <v/>
      </c>
      <c r="F224" s="86">
        <v>1</v>
      </c>
      <c r="G224" s="86">
        <v>63</v>
      </c>
      <c r="H224" s="90" t="s">
        <v>2204</v>
      </c>
      <c r="I224" s="90" t="s">
        <v>2204</v>
      </c>
      <c r="J224" s="85" t="s">
        <v>17</v>
      </c>
      <c r="K224" s="87" t="s">
        <v>2057</v>
      </c>
      <c r="L224" s="88">
        <f>IF(K224&lt;&gt;"",COUNTIF(K:K,K224),"")</f>
        <v>72</v>
      </c>
    </row>
    <row r="225" spans="2:12" ht="15">
      <c r="B225" s="82" t="s">
        <v>24</v>
      </c>
      <c r="C225" s="83">
        <f>IF(B225&lt;&gt;"",COUNTIF(B225:$B$556,"〇"),"")</f>
        <v>16</v>
      </c>
      <c r="D225" s="42" t="s">
        <v>2235</v>
      </c>
      <c r="E225" s="85" t="str">
        <f>IF(ISERROR(_xlfn.XLOOKUP(D225,[1]購入者リスト!G:G,[1]購入者リスト!B:B,,0,1)),"",_xlfn.XLOOKUP(D225,[1]購入者リスト!G:G,[1]購入者リスト!B:B,,0,1))</f>
        <v/>
      </c>
      <c r="F225" s="86">
        <v>8</v>
      </c>
      <c r="G225" s="86">
        <v>652</v>
      </c>
      <c r="H225" s="90">
        <v>380</v>
      </c>
      <c r="I225" s="90">
        <v>40</v>
      </c>
      <c r="J225" s="85" t="s">
        <v>17</v>
      </c>
      <c r="K225" s="87" t="s">
        <v>2236</v>
      </c>
      <c r="L225" s="88">
        <f>IF(K225&lt;&gt;"",COUNTIF(K:K,K225),"")</f>
        <v>1</v>
      </c>
    </row>
    <row r="226" spans="2:12" ht="15">
      <c r="B226" s="82" t="s">
        <v>24</v>
      </c>
      <c r="C226" s="83">
        <f>IF(B226&lt;&gt;"",COUNTIF(B226:$B$556,"〇"),"")</f>
        <v>15</v>
      </c>
      <c r="D226" s="42" t="s">
        <v>2237</v>
      </c>
      <c r="E226" s="85" t="str">
        <f>IF(ISERROR(_xlfn.XLOOKUP(D226,[1]購入者リスト!G:G,[1]購入者リスト!B:B,,0,1)),"",_xlfn.XLOOKUP(D226,[1]購入者リスト!G:G,[1]購入者リスト!B:B,,0,1))</f>
        <v/>
      </c>
      <c r="F226" s="86">
        <v>8</v>
      </c>
      <c r="G226" s="86">
        <v>338</v>
      </c>
      <c r="H226" s="90">
        <v>265</v>
      </c>
      <c r="I226" s="90">
        <v>25</v>
      </c>
      <c r="J226" s="85" t="s">
        <v>24</v>
      </c>
      <c r="K226" s="87" t="s">
        <v>2069</v>
      </c>
      <c r="L226" s="88">
        <f>IF(K226&lt;&gt;"",COUNTIF(K:K,K226),"")</f>
        <v>6</v>
      </c>
    </row>
    <row r="227" spans="2:12" ht="15">
      <c r="B227" s="82" t="s">
        <v>24</v>
      </c>
      <c r="C227" s="83">
        <f>IF(B227&lt;&gt;"",COUNTIF(B227:$B$556,"〇"),"")</f>
        <v>14</v>
      </c>
      <c r="D227" s="42" t="s">
        <v>2238</v>
      </c>
      <c r="E227" s="85" t="str">
        <f>IF(ISERROR(_xlfn.XLOOKUP(D227,[1]購入者リスト!G:G,[1]購入者リスト!B:B,,0,1)),"",_xlfn.XLOOKUP(D227,[1]購入者リスト!G:G,[1]購入者リスト!B:B,,0,1))</f>
        <v/>
      </c>
      <c r="F227" s="86">
        <v>6</v>
      </c>
      <c r="G227" s="86">
        <v>88</v>
      </c>
      <c r="H227" s="90">
        <v>70</v>
      </c>
      <c r="I227" s="90">
        <v>2</v>
      </c>
      <c r="J227" s="85" t="s">
        <v>17</v>
      </c>
      <c r="K227" s="87" t="s">
        <v>2055</v>
      </c>
      <c r="L227" s="88">
        <f>IF(K227&lt;&gt;"",COUNTIF(K:K,K227),"")</f>
        <v>9</v>
      </c>
    </row>
    <row r="228" spans="2:12" ht="15">
      <c r="B228" s="82" t="s">
        <v>24</v>
      </c>
      <c r="C228" s="83">
        <f>IF(B228&lt;&gt;"",COUNTIF(B228:$B$556,"〇"),"")</f>
        <v>13</v>
      </c>
      <c r="D228" s="42" t="s">
        <v>2239</v>
      </c>
      <c r="E228" s="85" t="str">
        <f>IF(ISERROR(_xlfn.XLOOKUP(D228,[1]購入者リスト!G:G,[1]購入者リスト!B:B,,0,1)),"",_xlfn.XLOOKUP(D228,[1]購入者リスト!G:G,[1]購入者リスト!B:B,,0,1))</f>
        <v/>
      </c>
      <c r="F228" s="86">
        <v>7</v>
      </c>
      <c r="G228" s="86">
        <v>196</v>
      </c>
      <c r="H228" s="90">
        <v>130</v>
      </c>
      <c r="I228" s="90">
        <v>2</v>
      </c>
      <c r="J228" s="85" t="s">
        <v>17</v>
      </c>
      <c r="K228" s="87" t="s">
        <v>2062</v>
      </c>
      <c r="L228" s="88">
        <f>IF(K228&lt;&gt;"",COUNTIF(K:K,K228),"")</f>
        <v>21</v>
      </c>
    </row>
    <row r="229" spans="2:12" ht="15">
      <c r="B229" s="82" t="s">
        <v>24</v>
      </c>
      <c r="C229" s="83">
        <f>IF(B229&lt;&gt;"",COUNTIF(B229:$B$556,"〇"),"")</f>
        <v>12</v>
      </c>
      <c r="D229" s="42" t="s">
        <v>2240</v>
      </c>
      <c r="E229" s="85" t="str">
        <f>IF(ISERROR(_xlfn.XLOOKUP(D229,[1]購入者リスト!G:G,[1]購入者リスト!B:B,,0,1)),"",_xlfn.XLOOKUP(D229,[1]購入者リスト!G:G,[1]購入者リスト!B:B,,0,1))</f>
        <v/>
      </c>
      <c r="F229" s="86">
        <v>8</v>
      </c>
      <c r="G229" s="86">
        <v>578</v>
      </c>
      <c r="H229" s="90">
        <v>442</v>
      </c>
      <c r="I229" s="90">
        <v>37</v>
      </c>
      <c r="J229" s="85" t="s">
        <v>24</v>
      </c>
      <c r="K229" s="87" t="s">
        <v>2087</v>
      </c>
      <c r="L229" s="88">
        <f>IF(K229&lt;&gt;"",COUNTIF(K:K,K229),"")</f>
        <v>6</v>
      </c>
    </row>
    <row r="230" spans="2:12" ht="15">
      <c r="B230" s="82" t="s">
        <v>24</v>
      </c>
      <c r="C230" s="83">
        <f>IF(B230&lt;&gt;"",COUNTIF(B230:$B$556,"〇"),"")</f>
        <v>11</v>
      </c>
      <c r="D230" s="42" t="s">
        <v>1863</v>
      </c>
      <c r="E230" s="85">
        <f>IF(ISERROR(_xlfn.XLOOKUP(D230,[1]購入者リスト!G:G,[1]購入者リスト!B:B,,0,1)),"",_xlfn.XLOOKUP(D230,[1]購入者リスト!G:G,[1]購入者リスト!B:B,,0,1))</f>
        <v>0</v>
      </c>
      <c r="F230" s="86">
        <v>1</v>
      </c>
      <c r="G230" s="86">
        <v>43</v>
      </c>
      <c r="H230" s="90" t="s">
        <v>2204</v>
      </c>
      <c r="I230" s="90" t="s">
        <v>2204</v>
      </c>
      <c r="J230" s="85" t="s">
        <v>17</v>
      </c>
      <c r="K230" s="87" t="s">
        <v>2140</v>
      </c>
      <c r="L230" s="88">
        <f>IF(K230&lt;&gt;"",COUNTIF(K:K,K230),"")</f>
        <v>6</v>
      </c>
    </row>
    <row r="231" spans="2:12" ht="15">
      <c r="B231" s="82" t="s">
        <v>24</v>
      </c>
      <c r="C231" s="83">
        <f>IF(B231&lt;&gt;"",COUNTIF(B231:$B$556,"〇"),"")</f>
        <v>10</v>
      </c>
      <c r="D231" s="42" t="s">
        <v>2241</v>
      </c>
      <c r="E231" s="85" t="str">
        <f>IF(ISERROR(_xlfn.XLOOKUP(D231,[1]購入者リスト!G:G,[1]購入者リスト!B:B,,0,1)),"",_xlfn.XLOOKUP(D231,[1]購入者リスト!G:G,[1]購入者リスト!B:B,,0,1))</f>
        <v/>
      </c>
      <c r="F231" s="86">
        <v>1</v>
      </c>
      <c r="G231" s="86">
        <v>34</v>
      </c>
      <c r="H231" s="90" t="s">
        <v>2204</v>
      </c>
      <c r="I231" s="90" t="s">
        <v>2204</v>
      </c>
      <c r="J231" s="85" t="s">
        <v>17</v>
      </c>
      <c r="K231" s="87" t="s">
        <v>2057</v>
      </c>
      <c r="L231" s="88">
        <f>IF(K231&lt;&gt;"",COUNTIF(K:K,K231),"")</f>
        <v>72</v>
      </c>
    </row>
    <row r="232" spans="2:12" ht="15">
      <c r="B232" s="82" t="s">
        <v>24</v>
      </c>
      <c r="C232" s="83">
        <f>IF(B232&lt;&gt;"",COUNTIF(B232:$B$556,"〇"),"")</f>
        <v>9</v>
      </c>
      <c r="D232" s="42" t="s">
        <v>1771</v>
      </c>
      <c r="E232" s="85">
        <f>IF(ISERROR(_xlfn.XLOOKUP(D232,[1]購入者リスト!G:G,[1]購入者リスト!B:B,,0,1)),"",_xlfn.XLOOKUP(D232,[1]購入者リスト!G:G,[1]購入者リスト!B:B,,0,1))</f>
        <v>0</v>
      </c>
      <c r="F232" s="86">
        <v>9</v>
      </c>
      <c r="G232" s="86">
        <v>1515</v>
      </c>
      <c r="H232" s="90">
        <v>887</v>
      </c>
      <c r="I232" s="90">
        <v>12</v>
      </c>
      <c r="J232" s="85" t="s">
        <v>17</v>
      </c>
      <c r="K232" s="87" t="s">
        <v>2053</v>
      </c>
      <c r="L232" s="88">
        <f>IF(K232&lt;&gt;"",COUNTIF(K:K,K232),"")</f>
        <v>13</v>
      </c>
    </row>
    <row r="233" spans="2:12" ht="15">
      <c r="B233" s="82" t="s">
        <v>24</v>
      </c>
      <c r="C233" s="83">
        <f>IF(B233&lt;&gt;"",COUNTIF(B233:$B$556,"〇"),"")</f>
        <v>8</v>
      </c>
      <c r="D233" s="42" t="s">
        <v>1737</v>
      </c>
      <c r="E233" s="85">
        <f>IF(ISERROR(_xlfn.XLOOKUP(D233,[1]購入者リスト!G:G,[1]購入者リスト!B:B,,0,1)),"",_xlfn.XLOOKUP(D233,[1]購入者リスト!G:G,[1]購入者リスト!B:B,,0,1))</f>
        <v>0</v>
      </c>
      <c r="F233" s="86">
        <v>2</v>
      </c>
      <c r="G233" s="86">
        <v>141</v>
      </c>
      <c r="H233" s="90">
        <v>2</v>
      </c>
      <c r="I233" s="90">
        <v>2</v>
      </c>
      <c r="J233" s="85" t="s">
        <v>17</v>
      </c>
      <c r="K233" s="87" t="s">
        <v>2148</v>
      </c>
      <c r="L233" s="88">
        <f>IF(K233&lt;&gt;"",COUNTIF(K:K,K233),"")</f>
        <v>2</v>
      </c>
    </row>
    <row r="234" spans="2:12" ht="15">
      <c r="B234" s="82" t="s">
        <v>24</v>
      </c>
      <c r="C234" s="83">
        <f>IF(B234&lt;&gt;"",COUNTIF(B234:$B$556,"〇"),"")</f>
        <v>7</v>
      </c>
      <c r="D234" s="42" t="s">
        <v>3310</v>
      </c>
      <c r="E234" s="85">
        <f>IF(ISERROR(_xlfn.XLOOKUP(D234,[1]購入者リスト!G:G,[1]購入者リスト!B:B,,0,1)),"",_xlfn.XLOOKUP(D234,[1]購入者リスト!G:G,[1]購入者リスト!B:B,,0,1))</f>
        <v>0</v>
      </c>
      <c r="F234" s="86">
        <v>10</v>
      </c>
      <c r="G234" s="86">
        <v>1616</v>
      </c>
      <c r="H234" s="90">
        <v>1223</v>
      </c>
      <c r="I234" s="90">
        <v>184</v>
      </c>
      <c r="J234" s="85" t="s">
        <v>24</v>
      </c>
      <c r="K234" s="87" t="s">
        <v>2069</v>
      </c>
      <c r="L234" s="88">
        <f>IF(K234&lt;&gt;"",COUNTIF(K:K,K234),"")</f>
        <v>6</v>
      </c>
    </row>
    <row r="235" spans="2:12" ht="15">
      <c r="B235" s="82" t="s">
        <v>24</v>
      </c>
      <c r="C235" s="83">
        <f>IF(B235&lt;&gt;"",COUNTIF(B235:$B$556,"〇"),"")</f>
        <v>6</v>
      </c>
      <c r="D235" s="42" t="s">
        <v>1776</v>
      </c>
      <c r="E235" s="85">
        <f>IF(ISERROR(_xlfn.XLOOKUP(D235,[1]購入者リスト!G:G,[1]購入者リスト!B:B,,0,1)),"",_xlfn.XLOOKUP(D235,[1]購入者リスト!G:G,[1]購入者リスト!B:B,,0,1))</f>
        <v>0</v>
      </c>
      <c r="F235" s="86">
        <v>9</v>
      </c>
      <c r="G235" s="86">
        <v>1321</v>
      </c>
      <c r="H235" s="90">
        <v>773</v>
      </c>
      <c r="I235" s="90">
        <v>254</v>
      </c>
      <c r="J235" s="85" t="s">
        <v>24</v>
      </c>
      <c r="K235" s="87" t="s">
        <v>2116</v>
      </c>
      <c r="L235" s="88">
        <f>IF(K235&lt;&gt;"",COUNTIF(K:K,K235),"")</f>
        <v>11</v>
      </c>
    </row>
    <row r="236" spans="2:12" ht="15">
      <c r="B236" s="82" t="s">
        <v>24</v>
      </c>
      <c r="C236" s="83">
        <f>IF(B236&lt;&gt;"",COUNTIF(B236:$B$556,"〇"),"")</f>
        <v>5</v>
      </c>
      <c r="D236" s="42" t="s">
        <v>2242</v>
      </c>
      <c r="E236" s="85" t="str">
        <f>IF(ISERROR(_xlfn.XLOOKUP(D236,[1]購入者リスト!G:G,[1]購入者リスト!B:B,,0,1)),"",_xlfn.XLOOKUP(D236,[1]購入者リスト!G:G,[1]購入者リスト!B:B,,0,1))</f>
        <v/>
      </c>
      <c r="F236" s="86">
        <v>1</v>
      </c>
      <c r="G236" s="86">
        <v>110</v>
      </c>
      <c r="H236" s="90">
        <v>0</v>
      </c>
      <c r="I236" s="90">
        <v>4</v>
      </c>
      <c r="J236" s="85" t="s">
        <v>17</v>
      </c>
      <c r="K236" s="87" t="s">
        <v>2057</v>
      </c>
      <c r="L236" s="88">
        <f>IF(K236&lt;&gt;"",COUNTIF(K:K,K236),"")</f>
        <v>72</v>
      </c>
    </row>
    <row r="237" spans="2:12" ht="15">
      <c r="B237" s="82" t="s">
        <v>24</v>
      </c>
      <c r="C237" s="83">
        <f>IF(B237&lt;&gt;"",COUNTIF(B237:$B$556,"〇"),"")</f>
        <v>4</v>
      </c>
      <c r="D237" s="42" t="s">
        <v>2243</v>
      </c>
      <c r="E237" s="85" t="str">
        <f>IF(ISERROR(_xlfn.XLOOKUP(D237,[1]購入者リスト!G:G,[1]購入者リスト!B:B,,0,1)),"",_xlfn.XLOOKUP(D237,[1]購入者リスト!G:G,[1]購入者リスト!B:B,,0,1))</f>
        <v/>
      </c>
      <c r="F237" s="86">
        <v>5</v>
      </c>
      <c r="G237" s="86">
        <v>99</v>
      </c>
      <c r="H237" s="90">
        <v>49</v>
      </c>
      <c r="I237" s="90">
        <v>0</v>
      </c>
      <c r="J237" s="85" t="s">
        <v>24</v>
      </c>
      <c r="K237" s="87" t="s">
        <v>2062</v>
      </c>
      <c r="L237" s="88">
        <f>IF(K237&lt;&gt;"",COUNTIF(K:K,K237),"")</f>
        <v>21</v>
      </c>
    </row>
    <row r="238" spans="2:12" ht="15">
      <c r="B238" s="82" t="s">
        <v>24</v>
      </c>
      <c r="C238" s="83">
        <f>IF(B238&lt;&gt;"",COUNTIF(B238:$B$556,"〇"),"")</f>
        <v>3</v>
      </c>
      <c r="D238" s="42" t="s">
        <v>2244</v>
      </c>
      <c r="E238" s="85" t="str">
        <f>IF(ISERROR(_xlfn.XLOOKUP(D238,[1]購入者リスト!G:G,[1]購入者リスト!B:B,,0,1)),"",_xlfn.XLOOKUP(D238,[1]購入者リスト!G:G,[1]購入者リスト!B:B,,0,1))</f>
        <v/>
      </c>
      <c r="F238" s="86">
        <v>10</v>
      </c>
      <c r="G238" s="86">
        <v>2885</v>
      </c>
      <c r="H238" s="90">
        <v>2714</v>
      </c>
      <c r="I238" s="90">
        <v>125</v>
      </c>
      <c r="J238" s="85" t="s">
        <v>17</v>
      </c>
      <c r="K238" s="87" t="s">
        <v>2245</v>
      </c>
      <c r="L238" s="88">
        <f>IF(K238&lt;&gt;"",COUNTIF(K:K,K238),"")</f>
        <v>2</v>
      </c>
    </row>
    <row r="239" spans="2:12" ht="15">
      <c r="B239" s="82" t="s">
        <v>24</v>
      </c>
      <c r="C239" s="83">
        <f>IF(B239&lt;&gt;"",COUNTIF(B239:$B$556,"〇"),"")</f>
        <v>2</v>
      </c>
      <c r="D239" s="42" t="s">
        <v>2246</v>
      </c>
      <c r="E239" s="85" t="str">
        <f>IF(ISERROR(_xlfn.XLOOKUP(D239,[1]購入者リスト!G:G,[1]購入者リスト!B:B,,0,1)),"",_xlfn.XLOOKUP(D239,[1]購入者リスト!G:G,[1]購入者リスト!B:B,,0,1))</f>
        <v/>
      </c>
      <c r="F239" s="86">
        <v>8</v>
      </c>
      <c r="G239" s="86">
        <v>758</v>
      </c>
      <c r="H239" s="90">
        <v>355</v>
      </c>
      <c r="I239" s="90">
        <v>2</v>
      </c>
      <c r="J239" s="85" t="s">
        <v>17</v>
      </c>
      <c r="K239" s="87" t="s">
        <v>2053</v>
      </c>
      <c r="L239" s="88">
        <f>IF(K239&lt;&gt;"",COUNTIF(K:K,K239),"")</f>
        <v>13</v>
      </c>
    </row>
    <row r="240" spans="2:12" ht="15">
      <c r="B240" s="82" t="s">
        <v>24</v>
      </c>
      <c r="C240" s="83">
        <f>IF(B240&lt;&gt;"",COUNTIF(B240:$B$556,"〇"),"")</f>
        <v>1</v>
      </c>
      <c r="D240" s="42" t="s">
        <v>1804</v>
      </c>
      <c r="E240" s="85">
        <f>IF(ISERROR(_xlfn.XLOOKUP(D240,[1]購入者リスト!G:G,[1]購入者リスト!B:B,,0,1)),"",_xlfn.XLOOKUP(D240,[1]購入者リスト!G:G,[1]購入者リスト!B:B,,0,1))</f>
        <v>0</v>
      </c>
      <c r="F240" s="86">
        <v>7</v>
      </c>
      <c r="G240" s="86">
        <v>785</v>
      </c>
      <c r="H240" s="90">
        <v>107</v>
      </c>
      <c r="I240" s="90">
        <v>5</v>
      </c>
      <c r="J240" s="85" t="s">
        <v>17</v>
      </c>
      <c r="K240" s="87" t="str">
        <f>IF(E240&lt;&gt;"",_xlfn.XLOOKUP(E240,[1]購入者リスト!B:B,[1]購入者リスト!U:U,"",0,1),IF(H240=0,"未出品",""))</f>
        <v/>
      </c>
      <c r="L240" s="88" t="str">
        <f>IF(K240&lt;&gt;"",COUNTIF(K:K,K240),"")</f>
        <v/>
      </c>
    </row>
  </sheetData>
  <autoFilter ref="C4:L240" xr:uid="{00000000-0009-0000-0000-000004000000}"/>
  <phoneticPr fontId="59"/>
  <conditionalFormatting sqref="D5:E240 F16:L30">
    <cfRule type="expression" dxfId="54" priority="2">
      <formula>$B5=""</formula>
    </cfRule>
  </conditionalFormatting>
  <conditionalFormatting sqref="F48:J48 L48">
    <cfRule type="expression" dxfId="53" priority="21">
      <formula>$B48=""</formula>
    </cfRule>
  </conditionalFormatting>
  <conditionalFormatting sqref="F60:J60 F61:L240 D241:L556">
    <cfRule type="expression" dxfId="52" priority="27">
      <formula>$B60=""</formula>
    </cfRule>
  </conditionalFormatting>
  <conditionalFormatting sqref="F7:K15">
    <cfRule type="expression" dxfId="51" priority="4">
      <formula>$B7=""</formula>
    </cfRule>
  </conditionalFormatting>
  <conditionalFormatting sqref="F31:K41">
    <cfRule type="expression" dxfId="50" priority="16">
      <formula>$B31=""</formula>
    </cfRule>
  </conditionalFormatting>
  <conditionalFormatting sqref="F57:K58">
    <cfRule type="expression" dxfId="49" priority="24">
      <formula>$B57=""</formula>
    </cfRule>
  </conditionalFormatting>
  <conditionalFormatting sqref="F5:L5">
    <cfRule type="expression" dxfId="48" priority="3">
      <formula>$B5=""</formula>
    </cfRule>
  </conditionalFormatting>
  <conditionalFormatting sqref="F42:L47">
    <cfRule type="expression" dxfId="47" priority="19">
      <formula>$B42=""</formula>
    </cfRule>
  </conditionalFormatting>
  <conditionalFormatting sqref="F49:L56">
    <cfRule type="expression" dxfId="46" priority="22">
      <formula>$B49=""</formula>
    </cfRule>
  </conditionalFormatting>
  <conditionalFormatting sqref="F59:L59">
    <cfRule type="expression" dxfId="45" priority="26">
      <formula>$B59=""</formula>
    </cfRule>
  </conditionalFormatting>
  <conditionalFormatting sqref="K48:K51">
    <cfRule type="expression" dxfId="44" priority="20">
      <formula>$B48=""</formula>
    </cfRule>
  </conditionalFormatting>
  <conditionalFormatting sqref="K53">
    <cfRule type="expression" dxfId="43" priority="23">
      <formula>$B53=""</formula>
    </cfRule>
  </conditionalFormatting>
  <conditionalFormatting sqref="K1:L1048576">
    <cfRule type="expression" dxfId="42" priority="5">
      <formula>OR($K1="福岡",$K1="佐賀",$K1="長崎",$K1="大分",$K1="熊本",$K1="宮崎",$K1="鹿児島",$K1="沖縄")</formula>
    </cfRule>
    <cfRule type="expression" dxfId="41" priority="6">
      <formula>OR($K1="愛媛",$K1="徳島",$K1="香川",$K1="高知")</formula>
    </cfRule>
    <cfRule type="expression" dxfId="40" priority="7">
      <formula>OR($K1="鳥取",$K1="島根",$K1="岡山",$K1="広島",$K1="山口")</formula>
    </cfRule>
    <cfRule type="expression" dxfId="39" priority="8">
      <formula>OR($K1="京都",$K1="大阪",$K1="兵庫",$K1="奈良",$K1="和歌山",$K1="滋賀",$K1="三重")</formula>
    </cfRule>
    <cfRule type="expression" dxfId="38" priority="9">
      <formula>OR($K1="東京",$K1="千葉",$K1="神奈川",$K1="埼玉",$K1="茨城",$K1="栃木",$K1="群馬")</formula>
    </cfRule>
    <cfRule type="expression" dxfId="37" priority="10">
      <formula>OR($K1="富山",$K1="石川",$K1="福井",$K1="長野",$K1="岐阜",$K1="静岡",$K1="愛知",$K1="新潟",$K1="山梨")</formula>
    </cfRule>
    <cfRule type="expression" dxfId="36" priority="11">
      <formula>OR($K1="北海道",$K1="青森",$K1="秋田",$K1="岩手",$K1="山形",$K1="宮城",$K1="福島")</formula>
    </cfRule>
    <cfRule type="expression" dxfId="35" priority="12">
      <formula>OR($K1="未出品",$K1="未定")</formula>
    </cfRule>
  </conditionalFormatting>
  <conditionalFormatting sqref="K3:L3">
    <cfRule type="expression" dxfId="34" priority="28">
      <formula>OR($J3="福岡",$J3="佐賀",$J3="長崎",$J3="大分",$J3="熊本",$J3="宮崎",$J3="鹿児島",$J3="沖縄")</formula>
    </cfRule>
    <cfRule type="expression" dxfId="33" priority="29">
      <formula>OR($J3="愛媛",$J3="徳島",$J3="香川",$J3="高知")</formula>
    </cfRule>
    <cfRule type="expression" dxfId="32" priority="30">
      <formula>OR($J3="鳥取",$J3="島根",$J3="岡山",$J3="広島",$J3="山口")</formula>
    </cfRule>
    <cfRule type="expression" dxfId="31" priority="31">
      <formula>OR($J3="京都",$J3="大阪",$J3="兵庫",$J3="奈良",$J3="和歌山",$J3="滋賀",$J3="三重")</formula>
    </cfRule>
    <cfRule type="expression" dxfId="30" priority="32">
      <formula>OR($J3="東京",$J3="千葉",$J3="神奈川",$J3="埼玉",$J3="茨城",$J3="栃木",$J3="群馬")</formula>
    </cfRule>
    <cfRule type="expression" dxfId="29" priority="33">
      <formula>OR($J3="富山",$J3="石川",$J3="福井",$J3="長野",$J3="岐阜",$J3="静岡",$J3="愛知",$J3="新潟",$J3="山梨")</formula>
    </cfRule>
    <cfRule type="expression" dxfId="28" priority="34">
      <formula>OR($J3="北海道",$J3="青森",$J3="秋田",$J3="岩手",$J3="山形",$J3="宮城",$J3="福島")</formula>
    </cfRule>
  </conditionalFormatting>
  <conditionalFormatting sqref="K13:L15">
    <cfRule type="expression" dxfId="27" priority="15">
      <formula>$B13=""</formula>
    </cfRule>
  </conditionalFormatting>
  <conditionalFormatting sqref="K37:L41">
    <cfRule type="expression" dxfId="26" priority="18">
      <formula>$B37=""</formula>
    </cfRule>
  </conditionalFormatting>
  <conditionalFormatting sqref="K57:L61">
    <cfRule type="expression" dxfId="25" priority="25">
      <formula>$B57=""</formula>
    </cfRule>
  </conditionalFormatting>
  <conditionalFormatting sqref="L7:L12">
    <cfRule type="expression" dxfId="24" priority="14">
      <formula>$B7=""</formula>
    </cfRule>
  </conditionalFormatting>
  <conditionalFormatting sqref="L31:L36">
    <cfRule type="expression" dxfId="23" priority="17">
      <formula>$B31=""</formula>
    </cfRule>
  </conditionalFormatting>
  <conditionalFormatting sqref="F6:L6">
    <cfRule type="expression" dxfId="22" priority="1">
      <formula>$B6=""</formula>
    </cfRule>
  </conditionalFormatting>
  <hyperlinks>
    <hyperlink ref="D5" r:id="rId1" xr:uid="{3F011E24-6D7D-4342-A948-E8EA534D33FE}"/>
    <hyperlink ref="D7" r:id="rId2" xr:uid="{754B1954-5068-4686-9572-5F459F6EA54E}"/>
    <hyperlink ref="D8" r:id="rId3" xr:uid="{7566011F-5D02-45AC-9A6A-F6372258F680}"/>
    <hyperlink ref="D9" r:id="rId4" xr:uid="{E99DC423-B23F-4338-A8AA-C57BAC0C8421}"/>
    <hyperlink ref="D10" r:id="rId5" xr:uid="{4FB272F0-863D-47CF-89EA-FACB7FF0E364}"/>
    <hyperlink ref="D11" r:id="rId6" xr:uid="{E692932A-7699-4146-A562-D32E2814D658}"/>
    <hyperlink ref="D12" r:id="rId7" xr:uid="{84F9491C-65C3-4A77-AC3B-C4BBDCB0E0F7}"/>
    <hyperlink ref="D13" r:id="rId8" xr:uid="{69B7E6B3-E3E3-48B4-99BF-FA58D65610B5}"/>
    <hyperlink ref="D14" r:id="rId9" xr:uid="{176FC965-F69B-4D1D-A37C-68E91703FFF2}"/>
    <hyperlink ref="D15" r:id="rId10" xr:uid="{D3D3CD08-12EA-411B-8456-B61505D1BCAC}"/>
    <hyperlink ref="D16" r:id="rId11" xr:uid="{570BA861-0A86-4879-BD3D-32C3376D2706}"/>
    <hyperlink ref="D17" r:id="rId12" xr:uid="{E97026FC-1991-44B9-83CB-C7AFF6E6A36D}"/>
    <hyperlink ref="D18" r:id="rId13" xr:uid="{28DD77EA-EC90-4F36-AD4A-F463FD68E170}"/>
    <hyperlink ref="D19" r:id="rId14" xr:uid="{EDFF379C-B9E9-4435-BF27-A439D455D244}"/>
    <hyperlink ref="D20" r:id="rId15" xr:uid="{011744CB-0B6B-4A36-B2D8-02A4E0FEA1A4}"/>
    <hyperlink ref="D21" r:id="rId16" xr:uid="{C12AB352-C7F7-4B4D-945C-037FDC5E5DDC}"/>
    <hyperlink ref="D22" r:id="rId17" xr:uid="{75EAC419-2182-4DEE-98DC-8EE569C8698F}"/>
    <hyperlink ref="D23" r:id="rId18" xr:uid="{E6B5D0FE-E17B-4372-A61D-9BE0749EEA24}"/>
    <hyperlink ref="D24" r:id="rId19" xr:uid="{33F185C7-1C76-48AA-AF15-D0468CF32534}"/>
    <hyperlink ref="D25" r:id="rId20" xr:uid="{4CEFA932-5C52-4D4C-BA82-DAC079D3D85F}"/>
    <hyperlink ref="D26" r:id="rId21" xr:uid="{778E10F2-E519-464F-A67C-2DC790BBC498}"/>
    <hyperlink ref="D27" r:id="rId22" xr:uid="{0EC7380A-336B-423E-86D5-F14BF79E89C6}"/>
    <hyperlink ref="D28" r:id="rId23" xr:uid="{D654950A-8B5E-4B7E-A98F-380DA2E9EB20}"/>
    <hyperlink ref="D29" r:id="rId24" xr:uid="{0BD5DC6D-3BFC-4A6D-BAE5-C45DE0979217}"/>
    <hyperlink ref="D30" r:id="rId25" xr:uid="{D1A3ACA6-0DBB-450B-8F55-47B140C8FB96}"/>
    <hyperlink ref="D31" r:id="rId26" xr:uid="{D8CEBDBD-39A9-47A6-A8E5-909FD0C180F4}"/>
    <hyperlink ref="D32" r:id="rId27" xr:uid="{89975B27-1997-4494-A67B-6E6A1FD1BFDC}"/>
    <hyperlink ref="D33" r:id="rId28" xr:uid="{5FF60540-A204-40B1-8187-EEB89C8CA855}"/>
    <hyperlink ref="D34" r:id="rId29" xr:uid="{7A2F274D-25C8-43F7-9548-DAF7F866C608}"/>
    <hyperlink ref="D35" r:id="rId30" xr:uid="{FAC18C2D-C753-4F9D-B4FB-B70447E4AE2C}"/>
    <hyperlink ref="D36" r:id="rId31" xr:uid="{F1870641-A77B-4C80-AEC8-FBF9A3235B9B}"/>
    <hyperlink ref="D37" r:id="rId32" xr:uid="{31676574-7BEA-403D-A08C-F034186F1BF8}"/>
    <hyperlink ref="D38" r:id="rId33" xr:uid="{6BFF19D7-CCC9-4D0A-B6B3-41E94CE05BA5}"/>
    <hyperlink ref="D39" r:id="rId34" xr:uid="{AC92AB19-1733-4726-A474-D0B76F15BE45}"/>
    <hyperlink ref="D40" r:id="rId35" xr:uid="{382DBA3C-B104-4ED1-A08F-09AE96FF4C89}"/>
    <hyperlink ref="D41" r:id="rId36" xr:uid="{E254ECB2-65E4-4EB9-B25E-1F712F022C52}"/>
    <hyperlink ref="D42" r:id="rId37" xr:uid="{69827458-9FA3-46D1-A26D-B9946CB005B2}"/>
    <hyperlink ref="D43" r:id="rId38" xr:uid="{7481BDC4-0429-422A-AC7C-B5C93E3D2352}"/>
    <hyperlink ref="D44" r:id="rId39" xr:uid="{08455EF1-9997-4EFC-A6DD-433361D5DE8A}"/>
    <hyperlink ref="D45" r:id="rId40" xr:uid="{BE341CA7-6E2D-482F-BE96-D7F5DF4943F2}"/>
    <hyperlink ref="D46" r:id="rId41" xr:uid="{E60AE046-B951-4370-8556-8274CA8BA1F4}"/>
    <hyperlink ref="D47" r:id="rId42" xr:uid="{08B8AAB7-0F22-4DB9-BD29-09CE377E3095}"/>
    <hyperlink ref="D48" r:id="rId43" xr:uid="{F9AC00B3-8725-4F48-8D73-2D663F2A51A8}"/>
    <hyperlink ref="D49" r:id="rId44" xr:uid="{FF0E1B1D-8971-463C-A983-54C36FF9D89C}"/>
    <hyperlink ref="D50" r:id="rId45" xr:uid="{DEA03969-1320-4515-93BB-C0DAB86B8B26}"/>
    <hyperlink ref="D51" r:id="rId46" xr:uid="{96A01DED-A32D-4550-BC63-1CA3907AA521}"/>
    <hyperlink ref="D52" r:id="rId47" xr:uid="{261F58F6-AB6F-4A61-BDE3-9066920F275E}"/>
    <hyperlink ref="D53" r:id="rId48" xr:uid="{3EDFDEB1-8979-4CC5-BC25-91CDBC4C4DFE}"/>
    <hyperlink ref="D54" r:id="rId49" xr:uid="{39E7FA6E-1D17-4040-A7E3-8821AA6BD771}"/>
    <hyperlink ref="D55" r:id="rId50" xr:uid="{6A2109BD-6A74-445D-9643-4D18423963DD}"/>
    <hyperlink ref="D56" r:id="rId51" xr:uid="{0C0839E5-9651-4202-B436-5A5C85E239D7}"/>
    <hyperlink ref="D57" r:id="rId52" xr:uid="{312A3EDB-CC61-483D-8FA9-B1CB3E90D8D4}"/>
    <hyperlink ref="D58" r:id="rId53" xr:uid="{6F6C899D-37C2-441F-9498-CFCFFD17847F}"/>
    <hyperlink ref="D59" r:id="rId54" xr:uid="{CAE57ADA-5A89-47E9-8117-508A13D9814D}"/>
    <hyperlink ref="D60" r:id="rId55" xr:uid="{30B9A7C6-60CA-47BB-8F2E-19060BB876DC}"/>
    <hyperlink ref="D61" r:id="rId56" xr:uid="{933DE6D8-CB92-4742-8942-F6C943355222}"/>
    <hyperlink ref="D62" r:id="rId57" xr:uid="{732DE84B-2825-45F0-ADEF-FD0E93EE4E7E}"/>
    <hyperlink ref="D63" r:id="rId58" xr:uid="{63E85BCE-D421-4D11-9499-778BD26EA287}"/>
    <hyperlink ref="D64" r:id="rId59" xr:uid="{1CEFF094-30B6-4F03-846E-8C9C41992743}"/>
    <hyperlink ref="D65" r:id="rId60" xr:uid="{83393FAF-5853-4061-8589-60E27E77A123}"/>
    <hyperlink ref="D66" r:id="rId61" xr:uid="{CF0B3923-8A84-40E5-8F37-BEE84231067D}"/>
    <hyperlink ref="D67" r:id="rId62" xr:uid="{DE25FE7E-0452-46A2-89A2-4441406950B2}"/>
    <hyperlink ref="D68" r:id="rId63" xr:uid="{1137FD3B-42BD-4564-8700-B4F2DF966A2E}"/>
    <hyperlink ref="D70" r:id="rId64" xr:uid="{F245080A-6E5F-4A0E-8230-4B68A0DB08E7}"/>
    <hyperlink ref="D71" r:id="rId65" xr:uid="{20F1E75A-BE70-4FAA-8521-1BB7FC1AC755}"/>
    <hyperlink ref="D72" r:id="rId66" xr:uid="{3CCF5815-2E54-43AA-B0CB-0B7C5814186D}"/>
    <hyperlink ref="D73" r:id="rId67" xr:uid="{F7434C86-EF96-4A4B-8CDE-60D9AC0861FC}"/>
    <hyperlink ref="D74" r:id="rId68" xr:uid="{CA749EB7-B2BF-41D2-AE88-0641D05A27DD}"/>
    <hyperlink ref="D75" r:id="rId69" xr:uid="{C8D37B13-75C9-4CC8-84F0-697F98893AE8}"/>
    <hyperlink ref="D76" r:id="rId70" xr:uid="{53ED247F-B7ED-4267-BEFF-DBA85A7AFF4D}"/>
    <hyperlink ref="D77" r:id="rId71" xr:uid="{39900397-30DA-4013-B4CC-DF11AB157625}"/>
    <hyperlink ref="D78" r:id="rId72" xr:uid="{FA94D008-D806-45A1-89D3-792BBEB59E89}"/>
    <hyperlink ref="D79" r:id="rId73" xr:uid="{43415E0E-E760-4457-8795-7F99EEDDE848}"/>
    <hyperlink ref="D80" r:id="rId74" xr:uid="{D69455DB-371F-448E-916D-BB6F38E3A150}"/>
    <hyperlink ref="D81" r:id="rId75" xr:uid="{F415ABDA-216D-4EB0-87EE-81DCB1FEDC00}"/>
    <hyperlink ref="D82" r:id="rId76" xr:uid="{9DC20DB4-58FE-4077-98BD-476C5E94376E}"/>
    <hyperlink ref="D83" r:id="rId77" xr:uid="{983D1647-A183-4082-8B99-DC14011A1F5E}"/>
    <hyperlink ref="D84" r:id="rId78" xr:uid="{72A48BB7-16ED-4CCC-B611-7603BC5D06DD}"/>
    <hyperlink ref="D85" r:id="rId79" xr:uid="{CEFB0CCF-2B54-442B-B33E-DC0C5532FED4}"/>
    <hyperlink ref="D86" r:id="rId80" xr:uid="{1CD02C72-7F46-41F7-BEE6-AC91A8FA78E9}"/>
    <hyperlink ref="D87" r:id="rId81" xr:uid="{4A544707-764B-4878-818E-5D68D7E53A0F}"/>
    <hyperlink ref="D88" r:id="rId82" xr:uid="{90A701FE-2266-4ADF-A8A2-5B715CC7657C}"/>
    <hyperlink ref="D89" r:id="rId83" xr:uid="{2DE062E6-2D1F-4627-9E20-0D9CEEFDBDDA}"/>
    <hyperlink ref="D90" r:id="rId84" xr:uid="{2DA70954-72D6-48D7-A961-A276B75FB186}"/>
    <hyperlink ref="D91" r:id="rId85" xr:uid="{6A9CB21F-BB72-44A4-8A64-12F8E8DD02E0}"/>
    <hyperlink ref="D92" r:id="rId86" xr:uid="{1FF8BCB7-A2B7-4605-8509-89B2C54D3561}"/>
    <hyperlink ref="D93" r:id="rId87" xr:uid="{4749324B-031F-4712-8458-76374FB72B57}"/>
    <hyperlink ref="D94" r:id="rId88" xr:uid="{A670BB26-B31C-4E2C-881A-38543B61150D}"/>
    <hyperlink ref="D95" r:id="rId89" xr:uid="{BC3DB95B-7C79-4285-A6D0-B02249A15D39}"/>
    <hyperlink ref="D96" r:id="rId90" xr:uid="{910A8768-0D47-4693-8020-5C273E404BC8}"/>
    <hyperlink ref="D97" r:id="rId91" xr:uid="{47D9088D-6CB5-47B1-90D9-11BFF47449A7}"/>
    <hyperlink ref="D98" r:id="rId92" xr:uid="{2B340171-BB7D-43CD-9791-C0751C6AB1EC}"/>
    <hyperlink ref="D99" r:id="rId93" xr:uid="{597A82ED-0DB6-4AF3-A2AE-C908FEBEF1DF}"/>
    <hyperlink ref="D100" r:id="rId94" xr:uid="{CE4E299F-2C1D-40F0-9296-28CBF781D945}"/>
    <hyperlink ref="D101" r:id="rId95" xr:uid="{B71BECA1-7196-4F30-B986-78AC8384BF1E}"/>
    <hyperlink ref="D102" r:id="rId96" xr:uid="{273AC698-9AE1-40E1-9069-99786099C9AB}"/>
    <hyperlink ref="D103" r:id="rId97" xr:uid="{2A14A296-4357-4412-A489-7172C7488626}"/>
    <hyperlink ref="D104" r:id="rId98" xr:uid="{9BE2D928-A467-49D5-8258-FB43E8EE7D67}"/>
    <hyperlink ref="D105" r:id="rId99" xr:uid="{BD04F5F2-B7AB-48E0-93D3-4BB22A9E2EFF}"/>
    <hyperlink ref="D106" r:id="rId100" xr:uid="{59974373-240A-41DD-AC18-21EA8C0B8C04}"/>
    <hyperlink ref="D107" r:id="rId101" xr:uid="{380524B8-7A5F-41A7-89F4-5DFE9BDC5903}"/>
    <hyperlink ref="D108" r:id="rId102" xr:uid="{61B1B5AA-D0D8-42C2-9922-4C1394428C35}"/>
    <hyperlink ref="D109" r:id="rId103" xr:uid="{BB31402D-7D5C-4B2E-8A9D-69862457DB7F}"/>
    <hyperlink ref="D110" r:id="rId104" xr:uid="{24DB0980-CE6A-4691-9C75-1EC8A1428DD5}"/>
    <hyperlink ref="D111" r:id="rId105" xr:uid="{53577AA4-3F2E-4849-9D18-82FAB736045B}"/>
    <hyperlink ref="D112" r:id="rId106" xr:uid="{622A596C-0698-4B45-BE52-75EDA91FF13A}"/>
    <hyperlink ref="D113" r:id="rId107" xr:uid="{014FA0C4-3062-40B7-8FCF-6F88C7758F9A}"/>
    <hyperlink ref="D114" r:id="rId108" xr:uid="{64149D2F-D48D-4F8C-9505-F4DCF210D4C2}"/>
    <hyperlink ref="D115" r:id="rId109" xr:uid="{B532C417-906E-4C31-A11C-D2BF95A1D537}"/>
    <hyperlink ref="D116" r:id="rId110" xr:uid="{0E089280-8E35-4AF8-AFB5-F0021438E734}"/>
    <hyperlink ref="D117" r:id="rId111" xr:uid="{4293E485-792A-4ED0-A1D2-660F26F82468}"/>
    <hyperlink ref="D118" r:id="rId112" xr:uid="{DEC4B83E-348F-4E27-A07A-DE7C84703498}"/>
    <hyperlink ref="D119" r:id="rId113" xr:uid="{8C8E40EE-2492-48C0-A488-37A9723BBF63}"/>
    <hyperlink ref="D120" r:id="rId114" xr:uid="{AF9C9747-910E-4F84-B9E5-E86B5CE285E3}"/>
    <hyperlink ref="D121" r:id="rId115" xr:uid="{F82C9FC2-8E06-4C63-B639-44CA526A701D}"/>
    <hyperlink ref="D122" r:id="rId116" xr:uid="{5FE7D437-82FF-4A1E-A602-354EDDAA20CD}"/>
    <hyperlink ref="D123" r:id="rId117" xr:uid="{F3A845C3-EBFF-4A40-A92E-1F822E9E4D2D}"/>
    <hyperlink ref="D124" r:id="rId118" xr:uid="{05975073-5766-47D3-AC2B-8979EB81C52D}"/>
    <hyperlink ref="D125" r:id="rId119" xr:uid="{6CD6C4FF-1C1A-452D-962A-0BBEFEB84D65}"/>
    <hyperlink ref="D126" r:id="rId120" xr:uid="{FA32FA20-C527-4FEA-BAAC-DA1B944C5D78}"/>
    <hyperlink ref="D127" r:id="rId121" xr:uid="{A7BB439F-0B4F-43F4-9155-757B5D3063C4}"/>
    <hyperlink ref="D128" r:id="rId122" xr:uid="{68977B33-C726-4E01-9595-B625F54143B1}"/>
    <hyperlink ref="D129" r:id="rId123" xr:uid="{769CF9BC-70F2-4467-91DE-175EE3AEF4CE}"/>
    <hyperlink ref="D130" r:id="rId124" xr:uid="{586554E6-DD9D-4EA5-9328-6EB048457969}"/>
    <hyperlink ref="D131" r:id="rId125" xr:uid="{BFF259AD-E347-4DC0-A340-0D195704F0E6}"/>
    <hyperlink ref="D132" r:id="rId126" xr:uid="{C4F8D257-49EC-417F-BC7B-C73F3AB3BF23}"/>
    <hyperlink ref="D133" r:id="rId127" xr:uid="{15C8F2D4-28A1-470A-9BB9-7ED224CB95ED}"/>
    <hyperlink ref="D134" r:id="rId128" xr:uid="{AEFA149F-4875-4771-A9C3-EAD37362DAF0}"/>
    <hyperlink ref="D135" r:id="rId129" xr:uid="{6A867378-2E24-407A-A34E-386576BCB850}"/>
    <hyperlink ref="D136" r:id="rId130" xr:uid="{66CC2346-A062-4E43-8E3D-B024E9E3EA31}"/>
    <hyperlink ref="D137" r:id="rId131" xr:uid="{6B3B0E31-0EC5-4D91-BC02-CC1DABBA5654}"/>
    <hyperlink ref="D138" r:id="rId132" xr:uid="{57130107-EB22-4199-967E-3B9590D370AA}"/>
    <hyperlink ref="D139" r:id="rId133" xr:uid="{61549DC8-2A80-4D1C-9D39-B69562D593ED}"/>
    <hyperlink ref="D140" r:id="rId134" xr:uid="{6A8784D4-2938-400C-939C-85684A6E74F7}"/>
    <hyperlink ref="D141" r:id="rId135" xr:uid="{9F3F2295-3245-4529-B90D-4B96274EF1C0}"/>
    <hyperlink ref="D142" r:id="rId136" xr:uid="{C9A1C424-07C9-42B4-A52B-D43AA324886B}"/>
    <hyperlink ref="D143" r:id="rId137" xr:uid="{3D381E6F-31E9-4851-BD2E-9B4BEA84B892}"/>
    <hyperlink ref="D144" r:id="rId138" xr:uid="{707398E5-AE8C-4D70-809B-04E6CD1D1AFD}"/>
    <hyperlink ref="D145" r:id="rId139" xr:uid="{B84B3306-3082-44DC-901F-EC14EFFFD5A9}"/>
    <hyperlink ref="D146" r:id="rId140" xr:uid="{9AECAEB7-7DDE-4378-9521-55EBD15F103F}"/>
    <hyperlink ref="D147" r:id="rId141" xr:uid="{94284D5E-5C6B-4181-922C-EFB62DCFE0D0}"/>
    <hyperlink ref="D148" r:id="rId142" xr:uid="{9961A4AF-2213-4A34-9256-4CDDC6BCD1DB}"/>
    <hyperlink ref="D149" r:id="rId143" xr:uid="{E6B95071-9690-4077-9C8A-A8067C438529}"/>
    <hyperlink ref="D150" r:id="rId144" xr:uid="{B837B365-EEBE-4BB1-B750-F67BBEF75BFA}"/>
    <hyperlink ref="D151" r:id="rId145" xr:uid="{98DC25AD-BE3C-48C2-9A41-3CBDF88D958E}"/>
    <hyperlink ref="D152" r:id="rId146" xr:uid="{8A6E044C-DE86-4652-9036-EF6C2F967051}"/>
    <hyperlink ref="D153" r:id="rId147" xr:uid="{5B6176B6-EA51-4208-8F73-FCCAC2AB3FC5}"/>
    <hyperlink ref="D154" r:id="rId148" xr:uid="{04E3C21E-B2C8-4851-9B40-4CF800ED426B}"/>
    <hyperlink ref="D155" r:id="rId149" xr:uid="{A477528D-B534-4338-BE5E-5E16C668A2FC}"/>
    <hyperlink ref="D156" r:id="rId150" xr:uid="{B3049EE8-B00F-4603-AE4D-604BE1C121C7}"/>
    <hyperlink ref="D157" r:id="rId151" xr:uid="{7591DFEC-4800-4492-A1A5-CFBC319AFBD8}"/>
    <hyperlink ref="D158" r:id="rId152" xr:uid="{22545E0E-A7C5-4167-83B3-18047CEBDA93}"/>
    <hyperlink ref="D159" r:id="rId153" xr:uid="{EAA4F576-57E3-4D9D-9AB2-5C3158C4E597}"/>
    <hyperlink ref="D160" r:id="rId154" xr:uid="{1C4F505D-7186-4B5D-A066-5EAB5D159015}"/>
    <hyperlink ref="D161" r:id="rId155" xr:uid="{A2E5C2AD-9596-43AA-98AD-3BE253A1B491}"/>
    <hyperlink ref="D162" r:id="rId156" xr:uid="{3A1786C4-97A4-42FE-9191-7F18B6FC9F11}"/>
    <hyperlink ref="D163" r:id="rId157" xr:uid="{8CF7738E-EAB5-4DC1-AB2C-DDBEBFF1B835}"/>
    <hyperlink ref="D164" r:id="rId158" xr:uid="{11EDE0CE-78DB-4AF1-9A7E-E1A8E384CBF8}"/>
    <hyperlink ref="D165" r:id="rId159" xr:uid="{66D199DF-378A-4758-B5B7-32EE5D17CE78}"/>
    <hyperlink ref="D166" r:id="rId160" xr:uid="{551505B2-C8C1-4FD4-9DA9-507451B0FECD}"/>
    <hyperlink ref="D167" r:id="rId161" xr:uid="{8D7D8229-2D64-4C08-AF96-DE2FDC3B829C}"/>
    <hyperlink ref="D168" r:id="rId162" xr:uid="{E7536DB3-3053-4140-B4E7-C1AC46D2692B}"/>
    <hyperlink ref="D169" r:id="rId163" xr:uid="{991D5915-F178-4289-A0A9-D5374518893E}"/>
    <hyperlink ref="D170" r:id="rId164" xr:uid="{69745A78-D46D-49B2-9D62-1167A4BE671A}"/>
    <hyperlink ref="D171" r:id="rId165" xr:uid="{5E016A19-7B41-48F8-98BB-CA8870870FDB}"/>
    <hyperlink ref="D172" r:id="rId166" xr:uid="{F9F44587-D058-44E7-8A7F-41B6C8ABAB53}"/>
    <hyperlink ref="D173" r:id="rId167" xr:uid="{B65B3680-B2C0-4865-AC50-316C5193A5F5}"/>
    <hyperlink ref="D174" r:id="rId168" xr:uid="{00EC56E5-8EDE-4561-90F2-5DBDECA1EE5A}"/>
    <hyperlink ref="D175" r:id="rId169" xr:uid="{C067BB4E-ECEF-469C-B278-9BC54B2D2A02}"/>
    <hyperlink ref="D176" r:id="rId170" xr:uid="{5D517AB5-0E26-4427-9933-739680DB71EE}"/>
    <hyperlink ref="D177" r:id="rId171" xr:uid="{C169604A-F9C5-4EEE-A4E5-D332740D0E21}"/>
    <hyperlink ref="D178" r:id="rId172" xr:uid="{5A954A02-EE5A-40E7-8CA0-90BCE46B9D3C}"/>
    <hyperlink ref="D179" r:id="rId173" xr:uid="{9875E7B2-0BC5-4F5B-95D0-506B76638A27}"/>
    <hyperlink ref="D180" r:id="rId174" xr:uid="{6FC2F16A-CA71-48D3-8B68-D81447E2B94C}"/>
    <hyperlink ref="D181" r:id="rId175" xr:uid="{840B5A63-7DF2-4622-BA3B-A34D44FF8D8E}"/>
    <hyperlink ref="D182" r:id="rId176" xr:uid="{0E1DB4DF-EBE1-4698-ACE7-02D1BFEF5919}"/>
    <hyperlink ref="D183" r:id="rId177" xr:uid="{5CB94567-84D7-4C94-BF56-09A2B424C0CE}"/>
    <hyperlink ref="D184" r:id="rId178" xr:uid="{43C4BC7C-7AC2-4CDC-B159-D20B55D7F823}"/>
    <hyperlink ref="D185" r:id="rId179" xr:uid="{5DBB107A-C1E7-4C7B-9E54-E56A30BC2F69}"/>
    <hyperlink ref="D186" r:id="rId180" xr:uid="{A1441E2C-F41E-4499-8D65-34931126D500}"/>
    <hyperlink ref="D187" r:id="rId181" xr:uid="{985E4964-901F-4470-96F0-45FAF2C5430D}"/>
    <hyperlink ref="D188" r:id="rId182" xr:uid="{91949C31-4DBD-4928-9BA7-371EF137B5F8}"/>
    <hyperlink ref="D189" r:id="rId183" xr:uid="{CD3E790A-587A-4BE8-97B2-E0E7C1B9FD1A}"/>
    <hyperlink ref="D190" r:id="rId184" xr:uid="{2D011BF3-E99B-4ACA-BF70-8A24D97C9EC0}"/>
    <hyperlink ref="D191" r:id="rId185" xr:uid="{DC91FEB3-619C-4EA7-8ED6-F18E22463991}"/>
    <hyperlink ref="D192" r:id="rId186" xr:uid="{D09CF370-A671-4FF3-BBC1-C63188531EDC}"/>
    <hyperlink ref="D193" r:id="rId187" xr:uid="{BC015753-178D-4679-B056-F2ED89368789}"/>
    <hyperlink ref="D194" r:id="rId188" xr:uid="{45E1643B-ECD1-48EC-9291-59258B6B986F}"/>
    <hyperlink ref="D195" r:id="rId189" xr:uid="{AEC53DD7-EE82-4CAA-BF80-9565A3E2EE86}"/>
    <hyperlink ref="D196" r:id="rId190" xr:uid="{FA3ED104-5623-440F-A5E4-8253712BCD19}"/>
    <hyperlink ref="D197" r:id="rId191" xr:uid="{BDC0AEC1-957E-469E-9C9D-ADCCA5E402D2}"/>
    <hyperlink ref="D198" r:id="rId192" xr:uid="{B95838D8-8348-44E7-AC7A-6C2BF51752AD}"/>
    <hyperlink ref="D199" r:id="rId193" xr:uid="{C3C287F7-55AD-49CB-B729-CAE12008EA8C}"/>
    <hyperlink ref="D200" r:id="rId194" xr:uid="{419FCC3B-FCDC-46A8-9568-40A0B1B57EE1}"/>
    <hyperlink ref="D201" r:id="rId195" xr:uid="{0AA69595-2CE6-4478-81F2-654F4242D7BA}"/>
    <hyperlink ref="D202" r:id="rId196" xr:uid="{0899D91E-4D5D-44F4-B766-5BD5074DCFCD}"/>
    <hyperlink ref="D203" r:id="rId197" xr:uid="{862657C7-61DE-42F6-8612-21C3FE7156FC}"/>
    <hyperlink ref="D204" r:id="rId198" xr:uid="{D578192F-C5C4-481B-8002-EE97BD86FA1D}"/>
    <hyperlink ref="D205" r:id="rId199" xr:uid="{6C17A4F5-55AF-4B3D-91A5-52C3D4ED8FA8}"/>
    <hyperlink ref="D206" r:id="rId200" xr:uid="{0696AF44-54B1-4080-A579-20D4A7B3B1B4}"/>
    <hyperlink ref="D207" r:id="rId201" xr:uid="{B6DB2578-2F07-476D-A2FF-3A1065DF3565}"/>
    <hyperlink ref="D208" r:id="rId202" xr:uid="{2DA0B759-0C3F-4798-AADA-A44FB52AB636}"/>
    <hyperlink ref="D209" r:id="rId203" xr:uid="{61E8EACD-683C-4588-8A32-78AD1E16A846}"/>
    <hyperlink ref="D210" r:id="rId204" xr:uid="{09FB8328-542A-4A2B-A268-8AA5A96263AF}"/>
    <hyperlink ref="D211" r:id="rId205" xr:uid="{A2B73602-A4C6-420F-BB21-05F89FEFFF31}"/>
    <hyperlink ref="D212" r:id="rId206" xr:uid="{44354DB6-6B47-4BCD-9E9F-DE9EDD8867CF}"/>
    <hyperlink ref="D213" r:id="rId207" xr:uid="{AE124310-B2E7-4F52-8BC7-C9D097A42937}"/>
    <hyperlink ref="D214" r:id="rId208" xr:uid="{C1722558-5606-4F48-AC5E-91DEE77EF440}"/>
    <hyperlink ref="D215" r:id="rId209" xr:uid="{65642FA8-F5D8-404F-875D-7B10B33AAD00}"/>
    <hyperlink ref="D216" r:id="rId210" xr:uid="{BA35D40E-5AF8-492F-91D0-65E489AE83BB}"/>
    <hyperlink ref="D217" r:id="rId211" xr:uid="{E0F254E9-CB2A-43A2-830C-B04274429CD5}"/>
    <hyperlink ref="D218" r:id="rId212" xr:uid="{3B6CC0B3-3AAD-4364-AE55-5B46DC9D1ABD}"/>
    <hyperlink ref="D219" r:id="rId213" xr:uid="{6652C493-090D-444E-9680-67E8F1ED4A1D}"/>
    <hyperlink ref="D220" r:id="rId214" xr:uid="{A43DC759-69A5-4255-9CA7-EC528EF92E25}"/>
    <hyperlink ref="D221" r:id="rId215" xr:uid="{3656C5FA-9B3F-48E5-8A89-ED28660B83CA}"/>
    <hyperlink ref="D222" r:id="rId216" xr:uid="{521B7DC9-1BDD-4CE5-B1CA-8155701444A3}"/>
    <hyperlink ref="D223" r:id="rId217" xr:uid="{DD5DD4A6-A15E-4D10-A58C-67BAD4623E12}"/>
    <hyperlink ref="D224" r:id="rId218" xr:uid="{F0C02E0C-C1AB-4F68-9B85-5305D9A0D04C}"/>
    <hyperlink ref="D225" r:id="rId219" xr:uid="{BD151145-43E6-43AD-B1B8-00BF5AB6C848}"/>
    <hyperlink ref="D226" r:id="rId220" xr:uid="{00ACB815-2B26-48AF-A534-A770E9BAB71D}"/>
    <hyperlink ref="D227" r:id="rId221" xr:uid="{ECD4607A-45BE-4150-AC61-0D984D7DDAD2}"/>
    <hyperlink ref="D228" r:id="rId222" xr:uid="{A0131F39-AF78-4989-8881-360700107E2C}"/>
    <hyperlink ref="D229" r:id="rId223" xr:uid="{E087833B-1046-4F74-90BA-A1236ECFD291}"/>
    <hyperlink ref="D230" r:id="rId224" xr:uid="{FB587B18-FC20-4C2A-B73A-47B42BA62285}"/>
    <hyperlink ref="D231" r:id="rId225" xr:uid="{117662DB-0ACC-4275-AE9D-4F0075A5EB88}"/>
    <hyperlink ref="D232" r:id="rId226" xr:uid="{53311E06-7918-4835-9E2E-8DE1803AFB8D}"/>
    <hyperlink ref="D233" r:id="rId227" xr:uid="{2539E1BF-DC57-405D-B48E-400A7196EA8A}"/>
    <hyperlink ref="D234" r:id="rId228" xr:uid="{84517EA5-0B01-4FA0-8292-977E480A42F4}"/>
    <hyperlink ref="D235" r:id="rId229" xr:uid="{C737F915-AD8C-43DD-8E9E-945CF4DFD4D6}"/>
    <hyperlink ref="D236" r:id="rId230" xr:uid="{5E30A705-23EC-43F7-9FAE-F8B53474CA0B}"/>
    <hyperlink ref="D237" r:id="rId231" xr:uid="{575DB4B3-4B9E-4F34-803B-37CF6091EA6A}"/>
    <hyperlink ref="D238" r:id="rId232" xr:uid="{4AE65206-C9B1-4A83-A3C6-D832801EE062}"/>
    <hyperlink ref="D239" r:id="rId233" xr:uid="{261EFE54-9A7B-434A-8E77-E438AC0FCB33}"/>
    <hyperlink ref="D240" r:id="rId234" xr:uid="{67679D9A-861D-4911-9F1F-9168627EF9F0}"/>
    <hyperlink ref="D6" r:id="rId235" xr:uid="{9F390B3D-1C33-465A-9FB7-2EFB82DF897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J141"/>
  <sheetViews>
    <sheetView zoomScale="115" zoomScaleNormal="115" workbookViewId="0">
      <pane ySplit="3" topLeftCell="A4" activePane="bottomLeft" state="frozen"/>
      <selection pane="bottomLeft"/>
    </sheetView>
  </sheetViews>
  <sheetFormatPr defaultColWidth="8.90625" defaultRowHeight="13"/>
  <cols>
    <col min="1" max="1" width="2.81640625" style="47" customWidth="1"/>
    <col min="2" max="2" width="4.81640625" style="48" customWidth="1"/>
    <col min="3" max="3" width="18.81640625" style="49" customWidth="1"/>
    <col min="4" max="7" width="8.81640625" style="47" customWidth="1"/>
    <col min="8" max="19" width="8.6328125" style="47" customWidth="1"/>
    <col min="20" max="20" width="6.6328125" style="47" customWidth="1"/>
    <col min="21" max="26" width="8.6328125" style="47" customWidth="1"/>
    <col min="27" max="27" width="6.6328125" style="47" customWidth="1"/>
    <col min="28" max="28" width="15.6328125" style="47" customWidth="1"/>
    <col min="29" max="29" width="2.08984375" style="47" customWidth="1"/>
    <col min="30" max="16384" width="8.90625" style="47"/>
  </cols>
  <sheetData>
    <row r="2" spans="2:10" s="46" customFormat="1" ht="15">
      <c r="B2" s="50"/>
      <c r="C2" s="51" t="s">
        <v>1620</v>
      </c>
      <c r="D2" s="528" t="s">
        <v>2247</v>
      </c>
      <c r="E2" s="52" t="s">
        <v>2248</v>
      </c>
      <c r="F2" s="529" t="s">
        <v>2249</v>
      </c>
      <c r="G2" s="35" t="s">
        <v>2250</v>
      </c>
      <c r="H2" s="35" t="s">
        <v>2251</v>
      </c>
      <c r="I2" s="35" t="s">
        <v>2252</v>
      </c>
      <c r="J2" s="35" t="s">
        <v>2253</v>
      </c>
    </row>
    <row r="3" spans="2:10" s="46" customFormat="1" ht="15">
      <c r="B3" s="50"/>
      <c r="C3" s="56"/>
      <c r="D3" s="56"/>
      <c r="E3" s="56"/>
      <c r="F3" s="56"/>
      <c r="G3" s="46">
        <f>SUM(F:F)</f>
        <v>620</v>
      </c>
      <c r="H3" s="46">
        <f>COUNTIFS(購入者リスト!$N:$T,"&lt;&gt;※*",購入者リスト!$N:$T,"&lt;&gt;")</f>
        <v>620</v>
      </c>
      <c r="I3" s="46">
        <f t="array" ref="I3">SUMPRODUCT((C:C&lt;&gt;"")*(C:C&lt;&gt;"苗名"))-COUNTIF(F:F,0)</f>
        <v>109</v>
      </c>
      <c r="J3" s="46">
        <f t="array" aca="1" ref="J3" ca="1">SUMPRODUCT((OFFSET(購入者リスト!$N$6,0,0,COUNTA(購入者リスト!$N:$N),7)&lt;&gt;"")/(COUNTIF(OFFSET(購入者リスト!$N$6,0,0,COUNTA(購入者リスト!$N:$N),7),OFFSET(購入者リスト!$N$6,0,0,COUNTA(購入者リスト!$N:$N),7)&amp;"")+(OFFSET(購入者リスト!$N$6,0,0,COUNTA(購入者リスト!$N:$N),7)="")))</f>
        <v>109.00000000000007</v>
      </c>
    </row>
    <row r="4" spans="2:10" s="46" customFormat="1" ht="15">
      <c r="B4" s="55">
        <v>1</v>
      </c>
      <c r="C4" s="139" t="str">
        <f>IF([1]説明用文章!B50="","",[1]説明用文章!B50)</f>
        <v>青鬼</v>
      </c>
      <c r="D4" s="78">
        <f>IF(C4="","",COUNTIF(購入者リスト!$N:$N,C4))</f>
        <v>0</v>
      </c>
      <c r="E4" s="78">
        <f>IF(C4="","",COUNTIF(購入者リスト!$O:$T,C4))</f>
        <v>0</v>
      </c>
      <c r="F4" s="78">
        <f t="shared" ref="F4:F67" si="0">IF(C4="","",D4+E4)</f>
        <v>0</v>
      </c>
    </row>
    <row r="5" spans="2:10" s="46" customFormat="1" ht="15">
      <c r="B5" s="55">
        <f t="shared" ref="B5:B68" si="1">IF(C5="","",IF(C4="",B3+1,B4+1))</f>
        <v>2</v>
      </c>
      <c r="C5" s="139" t="str">
        <f>IF([1]説明用文章!B51="","",[1]説明用文章!B51)</f>
        <v>赤鬼</v>
      </c>
      <c r="D5" s="78">
        <f>IF(C5="","",COUNTIF(購入者リスト!$N:$N,C5))</f>
        <v>0</v>
      </c>
      <c r="E5" s="78">
        <f>IF(C5="","",COUNTIF(購入者リスト!$O:$T,C5))</f>
        <v>3</v>
      </c>
      <c r="F5" s="78">
        <f t="shared" si="0"/>
        <v>3</v>
      </c>
    </row>
    <row r="6" spans="2:10" s="46" customFormat="1" ht="15">
      <c r="B6" s="55">
        <f t="shared" si="1"/>
        <v>3</v>
      </c>
      <c r="C6" s="139" t="str">
        <f>IF([1]説明用文章!B52="","",[1]説明用文章!B52)</f>
        <v>アガボイデスルブラ</v>
      </c>
      <c r="D6" s="78">
        <f>IF(C6="","",COUNTIF(購入者リスト!$N:$N,C6))</f>
        <v>0</v>
      </c>
      <c r="E6" s="78">
        <f>IF(C6="","",COUNTIF(購入者リスト!$O:$T,C6))</f>
        <v>8</v>
      </c>
      <c r="F6" s="78">
        <f t="shared" si="0"/>
        <v>8</v>
      </c>
    </row>
    <row r="7" spans="2:10" s="46" customFormat="1" ht="15">
      <c r="B7" s="55">
        <f t="shared" si="1"/>
        <v>4</v>
      </c>
      <c r="C7" s="139" t="str">
        <f>IF([1]説明用文章!B53="","",[1]説明用文章!B53)</f>
        <v>アプス</v>
      </c>
      <c r="D7" s="78">
        <f>IF(C7="","",COUNTIF(購入者リスト!$N:$N,C7))</f>
        <v>0</v>
      </c>
      <c r="E7" s="78">
        <f>IF(C7="","",COUNTIF(購入者リスト!$O:$T,C7))</f>
        <v>1</v>
      </c>
      <c r="F7" s="78">
        <f t="shared" si="0"/>
        <v>1</v>
      </c>
    </row>
    <row r="8" spans="2:10" s="46" customFormat="1" ht="15">
      <c r="B8" s="55">
        <f t="shared" si="1"/>
        <v>5</v>
      </c>
      <c r="C8" s="139" t="str">
        <f>IF([1]説明用文章!B54="","",[1]説明用文章!B54)</f>
        <v>アメイジンググレイス</v>
      </c>
      <c r="D8" s="78">
        <f>IF(C8="","",COUNTIF(購入者リスト!$N:$N,C8))</f>
        <v>0</v>
      </c>
      <c r="E8" s="78">
        <f>IF(C8="","",COUNTIF(購入者リスト!$O:$T,C8))</f>
        <v>1</v>
      </c>
      <c r="F8" s="78">
        <f t="shared" si="0"/>
        <v>1</v>
      </c>
    </row>
    <row r="9" spans="2:10" s="46" customFormat="1" ht="15">
      <c r="B9" s="55">
        <f t="shared" si="1"/>
        <v>6</v>
      </c>
      <c r="C9" s="139" t="str">
        <f>IF([1]説明用文章!B55="","",[1]説明用文章!B55)</f>
        <v>アロマティカス</v>
      </c>
      <c r="D9" s="78">
        <f>IF(C9="","",COUNTIF(購入者リスト!$N:$N,C9))</f>
        <v>0</v>
      </c>
      <c r="E9" s="78">
        <f>IF(C9="","",COUNTIF(購入者リスト!$O:$T,C9))</f>
        <v>12</v>
      </c>
      <c r="F9" s="78">
        <f t="shared" si="0"/>
        <v>12</v>
      </c>
    </row>
    <row r="10" spans="2:10" s="46" customFormat="1" ht="15">
      <c r="B10" s="55">
        <f t="shared" si="1"/>
        <v>7</v>
      </c>
      <c r="C10" s="139" t="str">
        <f>IF([1]説明用文章!B56="","",[1]説明用文章!B56)</f>
        <v>アルビパルマ</v>
      </c>
      <c r="D10" s="78">
        <f>IF(C10="","",COUNTIF(購入者リスト!$N:$N,C10))</f>
        <v>0</v>
      </c>
      <c r="E10" s="78">
        <f>IF(C10="","",COUNTIF(購入者リスト!$O:$T,C10))</f>
        <v>11</v>
      </c>
      <c r="F10" s="78">
        <f t="shared" si="0"/>
        <v>11</v>
      </c>
    </row>
    <row r="11" spans="2:10" s="46" customFormat="1" ht="15">
      <c r="B11" s="55">
        <f t="shared" si="1"/>
        <v>8</v>
      </c>
      <c r="C11" s="139" t="str">
        <f>IF([1]説明用文章!B57="","",[1]説明用文章!B57)</f>
        <v>アルフレッド</v>
      </c>
      <c r="D11" s="78">
        <f>IF(C11="","",COUNTIF(購入者リスト!$N:$N,C11))</f>
        <v>0</v>
      </c>
      <c r="E11" s="78">
        <f>IF(C11="","",COUNTIF(購入者リスト!$O:$T,C11))</f>
        <v>2</v>
      </c>
      <c r="F11" s="78">
        <f t="shared" si="0"/>
        <v>2</v>
      </c>
    </row>
    <row r="12" spans="2:10" s="46" customFormat="1" ht="15">
      <c r="B12" s="55">
        <f t="shared" si="1"/>
        <v>9</v>
      </c>
      <c r="C12" s="139" t="str">
        <f>IF([1]説明用文章!B58="","",[1]説明用文章!B58)</f>
        <v>アンジェリーナ</v>
      </c>
      <c r="D12" s="78">
        <f>IF(C12="","",COUNTIF(購入者リスト!$N:$N,C12))</f>
        <v>0</v>
      </c>
      <c r="E12" s="78">
        <f>IF(C12="","",COUNTIF(購入者リスト!$O:$T,C12))</f>
        <v>1</v>
      </c>
      <c r="F12" s="78">
        <f t="shared" si="0"/>
        <v>1</v>
      </c>
    </row>
    <row r="13" spans="2:10" s="46" customFormat="1" ht="15">
      <c r="B13" s="55">
        <f t="shared" si="1"/>
        <v>10</v>
      </c>
      <c r="C13" s="139" t="str">
        <f>IF([1]説明用文章!B59="","",[1]説明用文章!B59)</f>
        <v>あんみつ姫</v>
      </c>
      <c r="D13" s="78">
        <f>IF(C13="","",COUNTIF(購入者リスト!$N:$N,C13))</f>
        <v>0</v>
      </c>
      <c r="E13" s="78">
        <f>IF(C13="","",COUNTIF(購入者リスト!$O:$T,C13))</f>
        <v>1</v>
      </c>
      <c r="F13" s="78">
        <f t="shared" si="0"/>
        <v>1</v>
      </c>
    </row>
    <row r="14" spans="2:10" s="46" customFormat="1" ht="15">
      <c r="B14" s="55">
        <f t="shared" si="1"/>
        <v>11</v>
      </c>
      <c r="C14" s="139" t="str">
        <f>IF([1]説明用文章!B60="","",[1]説明用文章!B60)</f>
        <v>イーゲルコット</v>
      </c>
      <c r="D14" s="78">
        <f>IF(C14="","",COUNTIF(購入者リスト!$N:$N,C14))</f>
        <v>0</v>
      </c>
      <c r="E14" s="78">
        <f>IF(C14="","",COUNTIF(購入者リスト!$O:$T,C14))</f>
        <v>0</v>
      </c>
      <c r="F14" s="78">
        <f t="shared" si="0"/>
        <v>0</v>
      </c>
    </row>
    <row r="15" spans="2:10" s="46" customFormat="1" ht="15">
      <c r="B15" s="55">
        <f t="shared" si="1"/>
        <v>12</v>
      </c>
      <c r="C15" s="139" t="str">
        <f>IF([1]説明用文章!B61="","",[1]説明用文章!B61)</f>
        <v>石の花</v>
      </c>
      <c r="D15" s="78">
        <f>IF(C15="","",COUNTIF(購入者リスト!$N:$N,C15))</f>
        <v>0</v>
      </c>
      <c r="E15" s="78">
        <f>IF(C15="","",COUNTIF(購入者リスト!$O:$T,C15))</f>
        <v>0</v>
      </c>
      <c r="F15" s="78">
        <f t="shared" si="0"/>
        <v>0</v>
      </c>
    </row>
    <row r="16" spans="2:10" s="46" customFormat="1" ht="15">
      <c r="B16" s="55">
        <f t="shared" si="1"/>
        <v>13</v>
      </c>
      <c r="C16" s="139" t="str">
        <f>IF([1]説明用文章!B62="","",[1]説明用文章!B62)</f>
        <v>いばら時計</v>
      </c>
      <c r="D16" s="78">
        <f>IF(C16="","",COUNTIF(購入者リスト!$N:$N,C16))</f>
        <v>0</v>
      </c>
      <c r="E16" s="78">
        <f>IF(C16="","",COUNTIF(購入者リスト!$O:$T,C16))</f>
        <v>0</v>
      </c>
      <c r="F16" s="78">
        <f t="shared" si="0"/>
        <v>0</v>
      </c>
    </row>
    <row r="17" spans="2:6" s="46" customFormat="1" ht="15">
      <c r="B17" s="55">
        <f t="shared" si="1"/>
        <v>14</v>
      </c>
      <c r="C17" s="139" t="str">
        <f>IF([1]説明用文章!B63="","",[1]説明用文章!B63)</f>
        <v>インディカ</v>
      </c>
      <c r="D17" s="78">
        <f>IF(C17="","",COUNTIF(購入者リスト!$N:$N,C17))</f>
        <v>0</v>
      </c>
      <c r="E17" s="78">
        <f>IF(C17="","",COUNTIF(購入者リスト!$O:$T,C17))</f>
        <v>2</v>
      </c>
      <c r="F17" s="78">
        <f t="shared" si="0"/>
        <v>2</v>
      </c>
    </row>
    <row r="18" spans="2:6" s="46" customFormat="1" ht="15">
      <c r="B18" s="55">
        <f t="shared" si="1"/>
        <v>15</v>
      </c>
      <c r="C18" s="139" t="str">
        <f>IF([1]説明用文章!B64="","",[1]説明用文章!B64)</f>
        <v>ヴィヴァーチェ</v>
      </c>
      <c r="D18" s="78">
        <f>IF(C18="","",COUNTIF(購入者リスト!$N:$N,C18))</f>
        <v>0</v>
      </c>
      <c r="E18" s="78">
        <f>IF(C18="","",COUNTIF(購入者リスト!$O:$T,C18))</f>
        <v>2</v>
      </c>
      <c r="F18" s="78">
        <f t="shared" si="0"/>
        <v>2</v>
      </c>
    </row>
    <row r="19" spans="2:6" s="46" customFormat="1" ht="15">
      <c r="B19" s="55">
        <f t="shared" si="1"/>
        <v>16</v>
      </c>
      <c r="C19" s="139" t="str">
        <f>IF([1]説明用文章!B65="","",[1]説明用文章!B65)</f>
        <v>エリザベス</v>
      </c>
      <c r="D19" s="78">
        <f>IF(C19="","",COUNTIF(購入者リスト!$N:$N,C19))</f>
        <v>0</v>
      </c>
      <c r="E19" s="78">
        <f>IF(C19="","",COUNTIF(購入者リスト!$O:$T,C19))</f>
        <v>5</v>
      </c>
      <c r="F19" s="78">
        <f t="shared" si="0"/>
        <v>5</v>
      </c>
    </row>
    <row r="20" spans="2:6" s="46" customFormat="1" ht="15">
      <c r="B20" s="55">
        <f t="shared" si="1"/>
        <v>17</v>
      </c>
      <c r="C20" s="139" t="str">
        <f>IF([1]説明用文章!B66="","",[1]説明用文章!B66)</f>
        <v>オウンスロー</v>
      </c>
      <c r="D20" s="78">
        <f>IF(C20="","",COUNTIF(購入者リスト!$N:$N,C20))</f>
        <v>0</v>
      </c>
      <c r="E20" s="78">
        <f>IF(C20="","",COUNTIF(購入者リスト!$O:$T,C20))</f>
        <v>3</v>
      </c>
      <c r="F20" s="78">
        <f t="shared" si="0"/>
        <v>3</v>
      </c>
    </row>
    <row r="21" spans="2:6" s="46" customFormat="1" ht="15">
      <c r="B21" s="55">
        <f t="shared" si="1"/>
        <v>18</v>
      </c>
      <c r="C21" s="139" t="str">
        <f>IF([1]説明用文章!B67="","",[1]説明用文章!B67)</f>
        <v>オーロラ</v>
      </c>
      <c r="D21" s="78">
        <f>IF(C21="","",COUNTIF(購入者リスト!$N:$N,C21))</f>
        <v>0</v>
      </c>
      <c r="E21" s="78">
        <f>IF(C21="","",COUNTIF(購入者リスト!$O:$T,C21))</f>
        <v>2</v>
      </c>
      <c r="F21" s="78">
        <f t="shared" si="0"/>
        <v>2</v>
      </c>
    </row>
    <row r="22" spans="2:6" s="46" customFormat="1" ht="15">
      <c r="B22" s="55">
        <f t="shared" si="1"/>
        <v>19</v>
      </c>
      <c r="C22" s="139" t="str">
        <f>IF([1]説明用文章!B68="","",[1]説明用文章!B68)</f>
        <v>オカタイトゴメ</v>
      </c>
      <c r="D22" s="78">
        <f>IF(C22="","",COUNTIF(購入者リスト!$N:$N,C22))</f>
        <v>0</v>
      </c>
      <c r="E22" s="78">
        <f>IF(C22="","",COUNTIF(購入者リスト!$O:$T,C22))</f>
        <v>1</v>
      </c>
      <c r="F22" s="78">
        <f t="shared" si="0"/>
        <v>1</v>
      </c>
    </row>
    <row r="23" spans="2:6" s="46" customFormat="1" ht="15">
      <c r="B23" s="55">
        <f t="shared" si="1"/>
        <v>20</v>
      </c>
      <c r="C23" s="139" t="str">
        <f>IF([1]説明用文章!B69="","",[1]説明用文章!B69)</f>
        <v>オーストラリアキャプテンヘイ</v>
      </c>
      <c r="D23" s="78">
        <f>IF(C23="","",COUNTIF(購入者リスト!$N:$N,C23))</f>
        <v>0</v>
      </c>
      <c r="E23" s="78">
        <f>IF(C23="","",COUNTIF(購入者リスト!$O:$T,C23))</f>
        <v>2</v>
      </c>
      <c r="F23" s="78">
        <f t="shared" si="0"/>
        <v>2</v>
      </c>
    </row>
    <row r="24" spans="2:6" s="46" customFormat="1" ht="15">
      <c r="B24" s="55">
        <f t="shared" si="1"/>
        <v>21</v>
      </c>
      <c r="C24" s="139" t="str">
        <f>IF([1]説明用文章!B70="","",[1]説明用文章!B70)</f>
        <v>乙女心</v>
      </c>
      <c r="D24" s="78">
        <f>IF(C24="","",COUNTIF(購入者リスト!$N:$N,C24))</f>
        <v>0</v>
      </c>
      <c r="E24" s="78">
        <f>IF(C24="","",COUNTIF(購入者リスト!$O:$T,C24))</f>
        <v>6</v>
      </c>
      <c r="F24" s="78">
        <f t="shared" si="0"/>
        <v>6</v>
      </c>
    </row>
    <row r="25" spans="2:6" s="46" customFormat="1" ht="15">
      <c r="B25" s="55">
        <f t="shared" si="1"/>
        <v>22</v>
      </c>
      <c r="C25" s="139" t="str">
        <f>IF([1]説明用文章!B71="","",[1]説明用文章!B71)</f>
        <v>オパリナxアメトルム</v>
      </c>
      <c r="D25" s="78">
        <f>IF(C25="","",COUNTIF(購入者リスト!$N:$N,C25))</f>
        <v>0</v>
      </c>
      <c r="E25" s="78">
        <f>IF(C25="","",COUNTIF(購入者リスト!$O:$T,C25))</f>
        <v>2</v>
      </c>
      <c r="F25" s="78">
        <f t="shared" si="0"/>
        <v>2</v>
      </c>
    </row>
    <row r="26" spans="2:6" s="46" customFormat="1" ht="15">
      <c r="B26" s="55" t="str">
        <f t="shared" si="1"/>
        <v/>
      </c>
      <c r="C26" s="139" t="str">
        <f>IF([1]説明用文章!B72="","",[1]説明用文章!B72)</f>
        <v/>
      </c>
      <c r="D26" s="78" t="str">
        <f>IF(C26="","",COUNTIF(購入者リスト!$N:$N,C26))</f>
        <v/>
      </c>
      <c r="E26" s="78" t="str">
        <f>IF(C26="","",COUNTIF(購入者リスト!$O:$T,C26))</f>
        <v/>
      </c>
      <c r="F26" s="78" t="str">
        <f t="shared" si="0"/>
        <v/>
      </c>
    </row>
    <row r="27" spans="2:6" s="46" customFormat="1" ht="15">
      <c r="B27" s="55">
        <f t="shared" si="1"/>
        <v>23</v>
      </c>
      <c r="C27" s="139" t="str">
        <f>IF([1]説明用文章!B73="","",[1]説明用文章!B73)</f>
        <v>片想い</v>
      </c>
      <c r="D27" s="78">
        <f>IF(C27="","",COUNTIF(購入者リスト!$N:$N,C27))</f>
        <v>0</v>
      </c>
      <c r="E27" s="78">
        <f>IF(C27="","",COUNTIF(購入者リスト!$O:$T,C27))</f>
        <v>0</v>
      </c>
      <c r="F27" s="78">
        <f t="shared" si="0"/>
        <v>0</v>
      </c>
    </row>
    <row r="28" spans="2:6" s="46" customFormat="1" ht="15">
      <c r="B28" s="55">
        <f t="shared" si="1"/>
        <v>24</v>
      </c>
      <c r="C28" s="139" t="str">
        <f>IF([1]説明用文章!B74="","",[1]説明用文章!B74)</f>
        <v>カリシアショーン</v>
      </c>
      <c r="D28" s="78">
        <f>IF(C28="","",COUNTIF(購入者リスト!$N:$N,C28))</f>
        <v>0</v>
      </c>
      <c r="E28" s="78">
        <f>IF(C28="","",COUNTIF(購入者リスト!$O:$T,C28))</f>
        <v>2</v>
      </c>
      <c r="F28" s="78">
        <f t="shared" si="0"/>
        <v>2</v>
      </c>
    </row>
    <row r="29" spans="2:6" s="46" customFormat="1" ht="15">
      <c r="B29" s="55">
        <f t="shared" si="1"/>
        <v>25</v>
      </c>
      <c r="C29" s="139" t="str">
        <f>IF([1]説明用文章!B75="","",[1]説明用文章!B75)</f>
        <v>カリシアロザート</v>
      </c>
      <c r="D29" s="78">
        <f>IF(C29="","",COUNTIF(購入者リスト!$N:$N,C29))</f>
        <v>0</v>
      </c>
      <c r="E29" s="78">
        <f>IF(C29="","",COUNTIF(購入者リスト!$O:$T,C29))</f>
        <v>2</v>
      </c>
      <c r="F29" s="78">
        <f t="shared" si="0"/>
        <v>2</v>
      </c>
    </row>
    <row r="30" spans="2:6" s="46" customFormat="1" ht="15">
      <c r="B30" s="55">
        <f t="shared" si="1"/>
        <v>26</v>
      </c>
      <c r="C30" s="139" t="str">
        <f>IF([1]説明用文章!B76="","",[1]説明用文章!B76)</f>
        <v>カリフォルニアサンセット</v>
      </c>
      <c r="D30" s="78">
        <f>IF(C30="","",COUNTIF(購入者リスト!$N:$N,C30))</f>
        <v>0</v>
      </c>
      <c r="E30" s="78">
        <f>IF(C30="","",COUNTIF(購入者リスト!$O:$T,C30))</f>
        <v>3</v>
      </c>
      <c r="F30" s="78">
        <f t="shared" si="0"/>
        <v>3</v>
      </c>
    </row>
    <row r="31" spans="2:6" ht="15">
      <c r="B31" s="55">
        <f t="shared" si="1"/>
        <v>27</v>
      </c>
      <c r="C31" s="139" t="str">
        <f>IF([1]説明用文章!B77="","",[1]説明用文章!B77)</f>
        <v>キュービックフロスト</v>
      </c>
      <c r="D31" s="78">
        <f>IF(C31="","",COUNTIF(購入者リスト!$N:$N,C31))</f>
        <v>1</v>
      </c>
      <c r="E31" s="78">
        <f>IF(C31="","",COUNTIF(購入者リスト!$O:$T,C31))</f>
        <v>0</v>
      </c>
      <c r="F31" s="78">
        <f t="shared" si="0"/>
        <v>1</v>
      </c>
    </row>
    <row r="32" spans="2:6" ht="15">
      <c r="B32" s="55">
        <f t="shared" si="1"/>
        <v>28</v>
      </c>
      <c r="C32" s="139" t="str">
        <f>IF([1]説明用文章!B78="","",[1]説明用文章!B78)</f>
        <v>銀明色</v>
      </c>
      <c r="D32" s="78">
        <f>IF(C32="","",COUNTIF(購入者リスト!$N:$N,C32))</f>
        <v>0</v>
      </c>
      <c r="E32" s="78">
        <f>IF(C32="","",COUNTIF(購入者リスト!$O:$T,C32))</f>
        <v>3</v>
      </c>
      <c r="F32" s="78">
        <f t="shared" si="0"/>
        <v>3</v>
      </c>
    </row>
    <row r="33" spans="2:6" ht="15">
      <c r="B33" s="55">
        <f t="shared" si="1"/>
        <v>29</v>
      </c>
      <c r="C33" s="139" t="str">
        <f>IF([1]説明用文章!B79="","",[1]説明用文章!B79)</f>
        <v>グラバツム</v>
      </c>
      <c r="D33" s="78">
        <f>IF(C33="","",COUNTIF(購入者リスト!$N:$N,C33))</f>
        <v>0</v>
      </c>
      <c r="E33" s="78">
        <f>IF(C33="","",COUNTIF(購入者リスト!$O:$T,C33))</f>
        <v>1</v>
      </c>
      <c r="F33" s="78">
        <f t="shared" si="0"/>
        <v>1</v>
      </c>
    </row>
    <row r="34" spans="2:6" ht="15">
      <c r="B34" s="55">
        <f t="shared" si="1"/>
        <v>30</v>
      </c>
      <c r="C34" s="139" t="str">
        <f>IF([1]説明用文章!B80="","",[1]説明用文章!B80)</f>
        <v>クリスタルローズ</v>
      </c>
      <c r="D34" s="78">
        <f>IF(C34="","",COUNTIF(購入者リスト!$N:$N,C34))</f>
        <v>0</v>
      </c>
      <c r="E34" s="78">
        <f>IF(C34="","",COUNTIF(購入者リスト!$O:$T,C34))</f>
        <v>9</v>
      </c>
      <c r="F34" s="78">
        <f t="shared" si="0"/>
        <v>9</v>
      </c>
    </row>
    <row r="35" spans="2:6" ht="15">
      <c r="B35" s="55">
        <f t="shared" si="1"/>
        <v>31</v>
      </c>
      <c r="C35" s="139" t="str">
        <f>IF([1]説明用文章!B81="","",[1]説明用文章!B81)</f>
        <v>クリスペートビューティー</v>
      </c>
      <c r="D35" s="78">
        <f>IF(C35="","",COUNTIF(購入者リスト!$N:$N,C35))</f>
        <v>4</v>
      </c>
      <c r="E35" s="78">
        <f>IF(C35="","",COUNTIF(購入者リスト!$O:$T,C35))</f>
        <v>0</v>
      </c>
      <c r="F35" s="78">
        <f t="shared" si="0"/>
        <v>4</v>
      </c>
    </row>
    <row r="36" spans="2:6" ht="15">
      <c r="B36" s="55">
        <f t="shared" si="1"/>
        <v>32</v>
      </c>
      <c r="C36" s="139" t="str">
        <f>IF([1]説明用文章!B82="","",[1]説明用文章!B82)</f>
        <v>クリームローズ</v>
      </c>
      <c r="D36" s="78">
        <f>IF(C36="","",COUNTIF(購入者リスト!$N:$N,C36))</f>
        <v>1</v>
      </c>
      <c r="E36" s="78">
        <f>IF(C36="","",COUNTIF(購入者リスト!$O:$T,C36))</f>
        <v>1</v>
      </c>
      <c r="F36" s="78">
        <f t="shared" si="0"/>
        <v>2</v>
      </c>
    </row>
    <row r="37" spans="2:6" ht="15">
      <c r="B37" s="55">
        <f t="shared" si="1"/>
        <v>33</v>
      </c>
      <c r="C37" s="139" t="str">
        <f>IF([1]説明用文章!B83="","",[1]説明用文章!B83)</f>
        <v>グリーンネックレス</v>
      </c>
      <c r="D37" s="78">
        <f>IF(C37="","",COUNTIF(購入者リスト!$N:$N,C37))</f>
        <v>0</v>
      </c>
      <c r="E37" s="78">
        <f>IF(C37="","",COUNTIF(購入者リスト!$O:$T,C37))</f>
        <v>6</v>
      </c>
      <c r="F37" s="78">
        <f t="shared" si="0"/>
        <v>6</v>
      </c>
    </row>
    <row r="38" spans="2:6" ht="15">
      <c r="B38" s="55">
        <f t="shared" si="1"/>
        <v>34</v>
      </c>
      <c r="C38" s="139" t="str">
        <f>IF([1]説明用文章!B84="","",[1]説明用文章!B84)</f>
        <v>黒銀姫</v>
      </c>
      <c r="D38" s="78">
        <f>IF(C38="","",COUNTIF(購入者リスト!$N:$N,C38))</f>
        <v>1</v>
      </c>
      <c r="E38" s="78">
        <f>IF(C38="","",COUNTIF(購入者リスト!$O:$T,C38))</f>
        <v>0</v>
      </c>
      <c r="F38" s="78">
        <f t="shared" si="0"/>
        <v>1</v>
      </c>
    </row>
    <row r="39" spans="2:6" ht="15">
      <c r="B39" s="55">
        <f t="shared" si="1"/>
        <v>35</v>
      </c>
      <c r="C39" s="139" t="str">
        <f>IF([1]説明用文章!B85="","",[1]説明用文章!B85)</f>
        <v>月花美人</v>
      </c>
      <c r="D39" s="78">
        <f>IF(C39="","",COUNTIF(購入者リスト!$N:$N,C39))</f>
        <v>0</v>
      </c>
      <c r="E39" s="78">
        <f>IF(C39="","",COUNTIF(購入者リスト!$O:$T,C39))</f>
        <v>2</v>
      </c>
      <c r="F39" s="78">
        <f t="shared" si="0"/>
        <v>2</v>
      </c>
    </row>
    <row r="40" spans="2:6" ht="15">
      <c r="B40" s="55">
        <f t="shared" si="1"/>
        <v>36</v>
      </c>
      <c r="C40" s="139" t="str">
        <f>IF([1]説明用文章!B86="","",[1]説明用文章!B86)</f>
        <v>原種ザラゴーサ</v>
      </c>
      <c r="D40" s="78">
        <f>IF(C40="","",COUNTIF(購入者リスト!$N:$N,C40))</f>
        <v>0</v>
      </c>
      <c r="E40" s="78">
        <f>IF(C40="","",COUNTIF(購入者リスト!$O:$T,C40))</f>
        <v>3</v>
      </c>
      <c r="F40" s="78">
        <f t="shared" si="0"/>
        <v>3</v>
      </c>
    </row>
    <row r="41" spans="2:6" ht="15">
      <c r="B41" s="55">
        <f t="shared" si="1"/>
        <v>37</v>
      </c>
      <c r="C41" s="139" t="str">
        <f>IF([1]説明用文章!B87="","",[1]説明用文章!B87)</f>
        <v>恋心</v>
      </c>
      <c r="D41" s="78">
        <f>IF(C41="","",COUNTIF(購入者リスト!$N:$N,C41))</f>
        <v>0</v>
      </c>
      <c r="E41" s="78">
        <f>IF(C41="","",COUNTIF(購入者リスト!$O:$T,C41))</f>
        <v>10</v>
      </c>
      <c r="F41" s="78">
        <f t="shared" si="0"/>
        <v>10</v>
      </c>
    </row>
    <row r="42" spans="2:6" ht="15">
      <c r="B42" s="55">
        <f t="shared" si="1"/>
        <v>38</v>
      </c>
      <c r="C42" s="139" t="str">
        <f>IF([1]説明用文章!B88="","",[1]説明用文章!B88)</f>
        <v>恋煩い</v>
      </c>
      <c r="D42" s="78">
        <f>IF(C42="","",COUNTIF(購入者リスト!$N:$N,C42))</f>
        <v>0</v>
      </c>
      <c r="E42" s="78">
        <f>IF(C42="","",COUNTIF(購入者リスト!$O:$T,C42))</f>
        <v>0</v>
      </c>
      <c r="F42" s="78">
        <f t="shared" si="0"/>
        <v>0</v>
      </c>
    </row>
    <row r="43" spans="2:6" ht="15">
      <c r="B43" s="55">
        <f t="shared" si="1"/>
        <v>39</v>
      </c>
      <c r="C43" s="139" t="str">
        <f>IF([1]説明用文章!B89="","",[1]説明用文章!B89)</f>
        <v>小雪の渚</v>
      </c>
      <c r="D43" s="78">
        <f>IF(C43="","",COUNTIF(購入者リスト!$N:$N,C43))</f>
        <v>0</v>
      </c>
      <c r="E43" s="78">
        <f>IF(C43="","",COUNTIF(購入者リスト!$O:$T,C43))</f>
        <v>0</v>
      </c>
      <c r="F43" s="78">
        <f t="shared" si="0"/>
        <v>0</v>
      </c>
    </row>
    <row r="44" spans="2:6" ht="15">
      <c r="B44" s="55" t="str">
        <f t="shared" si="1"/>
        <v/>
      </c>
      <c r="C44" s="139" t="str">
        <f>IF([1]説明用文章!B90="","",[1]説明用文章!B90)</f>
        <v/>
      </c>
      <c r="D44" s="78" t="str">
        <f>IF(C44="","",COUNTIF(購入者リスト!$N:$N,C44))</f>
        <v/>
      </c>
      <c r="E44" s="78" t="str">
        <f>IF(C44="","",COUNTIF(購入者リスト!$O:$T,C44))</f>
        <v/>
      </c>
      <c r="F44" s="78" t="str">
        <f t="shared" si="0"/>
        <v/>
      </c>
    </row>
    <row r="45" spans="2:6" ht="15">
      <c r="B45" s="55">
        <f t="shared" si="1"/>
        <v>40</v>
      </c>
      <c r="C45" s="139" t="str">
        <f>IF([1]説明用文章!B91="","",[1]説明用文章!B91)</f>
        <v>桜色カリシア</v>
      </c>
      <c r="D45" s="78">
        <f>IF(C45="","",COUNTIF(購入者リスト!$N:$N,C45))</f>
        <v>0</v>
      </c>
      <c r="E45" s="78">
        <f>IF(C45="","",COUNTIF(購入者リスト!$O:$T,C45))</f>
        <v>1</v>
      </c>
      <c r="F45" s="78">
        <f t="shared" si="0"/>
        <v>1</v>
      </c>
    </row>
    <row r="46" spans="2:6" ht="15">
      <c r="B46" s="55">
        <f t="shared" si="1"/>
        <v>41</v>
      </c>
      <c r="C46" s="139" t="str">
        <f>IF([1]説明用文章!B92="","",[1]説明用文章!B92)</f>
        <v>桜鬼</v>
      </c>
      <c r="D46" s="78">
        <f>IF(C46="","",COUNTIF(購入者リスト!$N:$N,C46))</f>
        <v>2</v>
      </c>
      <c r="E46" s="78">
        <f>IF(C46="","",COUNTIF(購入者リスト!$O:$T,C46))</f>
        <v>0</v>
      </c>
      <c r="F46" s="78">
        <f t="shared" si="0"/>
        <v>2</v>
      </c>
    </row>
    <row r="47" spans="2:6" ht="15">
      <c r="B47" s="55">
        <f t="shared" si="1"/>
        <v>42</v>
      </c>
      <c r="C47" s="139" t="str">
        <f>IF([1]説明用文章!B93="","",[1]説明用文章!B93)</f>
        <v>珊瑚の花</v>
      </c>
      <c r="D47" s="78">
        <f>IF(C47="","",COUNTIF(購入者リスト!$N:$N,C47))</f>
        <v>0</v>
      </c>
      <c r="E47" s="78">
        <f>IF(C47="","",COUNTIF(購入者リスト!$O:$T,C47))</f>
        <v>0</v>
      </c>
      <c r="F47" s="78">
        <f t="shared" si="0"/>
        <v>0</v>
      </c>
    </row>
    <row r="48" spans="2:6" ht="15">
      <c r="B48" s="55">
        <f t="shared" si="1"/>
        <v>43</v>
      </c>
      <c r="C48" s="139" t="str">
        <f>IF([1]説明用文章!B94="","",[1]説明用文章!B94)</f>
        <v>紫紺の矢</v>
      </c>
      <c r="D48" s="78">
        <f>IF(C48="","",COUNTIF(購入者リスト!$N:$N,C48))</f>
        <v>16</v>
      </c>
      <c r="E48" s="78">
        <f>IF(C48="","",COUNTIF(購入者リスト!$O:$T,C48))</f>
        <v>0</v>
      </c>
      <c r="F48" s="78">
        <f t="shared" si="0"/>
        <v>16</v>
      </c>
    </row>
    <row r="49" spans="2:6" ht="15">
      <c r="B49" s="55">
        <f t="shared" si="1"/>
        <v>44</v>
      </c>
      <c r="C49" s="139" t="str">
        <f>IF([1]説明用文章!B95="","",[1]説明用文章!B95)</f>
        <v>七福神</v>
      </c>
      <c r="D49" s="78">
        <f>IF(C49="","",COUNTIF(購入者リスト!$N:$N,C49))</f>
        <v>6</v>
      </c>
      <c r="E49" s="78">
        <f>IF(C49="","",COUNTIF(購入者リスト!$O:$T,C49))</f>
        <v>0</v>
      </c>
      <c r="F49" s="78">
        <f t="shared" si="0"/>
        <v>6</v>
      </c>
    </row>
    <row r="50" spans="2:6" ht="15">
      <c r="B50" s="55">
        <f t="shared" si="1"/>
        <v>45</v>
      </c>
      <c r="C50" s="139" t="str">
        <f>IF([1]説明用文章!B96="","",[1]説明用文章!B96)</f>
        <v>霜花</v>
      </c>
      <c r="D50" s="78">
        <f>IF(C50="","",COUNTIF(購入者リスト!$N:$N,C50))</f>
        <v>0</v>
      </c>
      <c r="E50" s="78">
        <f>IF(C50="","",COUNTIF(購入者リスト!$O:$T,C50))</f>
        <v>3</v>
      </c>
      <c r="F50" s="78">
        <f t="shared" si="0"/>
        <v>3</v>
      </c>
    </row>
    <row r="51" spans="2:6" ht="15">
      <c r="B51" s="55">
        <f t="shared" si="1"/>
        <v>46</v>
      </c>
      <c r="C51" s="139" t="str">
        <f>IF([1]説明用文章!B97="","",[1]説明用文章!B97)</f>
        <v>芍薬牡丹</v>
      </c>
      <c r="D51" s="78">
        <f>IF(C51="","",COUNTIF(購入者リスト!$N:$N,C51))</f>
        <v>1</v>
      </c>
      <c r="E51" s="78">
        <f>IF(C51="","",COUNTIF(購入者リスト!$O:$T,C51))</f>
        <v>0</v>
      </c>
      <c r="F51" s="78">
        <f t="shared" si="0"/>
        <v>1</v>
      </c>
    </row>
    <row r="52" spans="2:6" ht="15">
      <c r="B52" s="55">
        <f t="shared" si="1"/>
        <v>47</v>
      </c>
      <c r="C52" s="139" t="str">
        <f>IF([1]説明用文章!B98="","",[1]説明用文章!B98)</f>
        <v>樹氷</v>
      </c>
      <c r="D52" s="78">
        <f>IF(C52="","",COUNTIF(購入者リスト!$N:$N,C52))</f>
        <v>0</v>
      </c>
      <c r="E52" s="78">
        <f>IF(C52="","",COUNTIF(購入者リスト!$O:$T,C52))</f>
        <v>2</v>
      </c>
      <c r="F52" s="78">
        <f t="shared" si="0"/>
        <v>2</v>
      </c>
    </row>
    <row r="53" spans="2:6" ht="15">
      <c r="B53" s="55">
        <f t="shared" si="1"/>
        <v>48</v>
      </c>
      <c r="C53" s="139" t="str">
        <f>IF([1]説明用文章!B99="","",[1]説明用文章!B99)</f>
        <v>ジュール</v>
      </c>
      <c r="D53" s="78">
        <f>IF(C53="","",COUNTIF(購入者リスト!$N:$N,C53))</f>
        <v>1</v>
      </c>
      <c r="E53" s="78">
        <f>IF(C53="","",COUNTIF(購入者リスト!$O:$T,C53))</f>
        <v>3</v>
      </c>
      <c r="F53" s="78">
        <f t="shared" si="0"/>
        <v>4</v>
      </c>
    </row>
    <row r="54" spans="2:6" ht="15">
      <c r="B54" s="55">
        <f t="shared" si="1"/>
        <v>49</v>
      </c>
      <c r="C54" s="139" t="str">
        <f>IF([1]説明用文章!B100="","",[1]説明用文章!B100)</f>
        <v>スノーエンジェル</v>
      </c>
      <c r="D54" s="78">
        <f>IF(C54="","",COUNTIF(購入者リスト!$N:$N,C54))</f>
        <v>0</v>
      </c>
      <c r="E54" s="78">
        <f>IF(C54="","",COUNTIF(購入者リスト!$O:$T,C54))</f>
        <v>2</v>
      </c>
      <c r="F54" s="78">
        <f t="shared" si="0"/>
        <v>2</v>
      </c>
    </row>
    <row r="55" spans="2:6" ht="15">
      <c r="B55" s="55">
        <f t="shared" si="1"/>
        <v>50</v>
      </c>
      <c r="C55" s="139" t="str">
        <f>IF([1]説明用文章!B101="","",[1]説明用文章!B101)</f>
        <v>スノーミルフィーユ</v>
      </c>
      <c r="D55" s="78">
        <f>IF(C55="","",COUNTIF(購入者リスト!$N:$N,C55))</f>
        <v>3</v>
      </c>
      <c r="E55" s="78">
        <f>IF(C55="","",COUNTIF(購入者リスト!$O:$T,C55))</f>
        <v>0</v>
      </c>
      <c r="F55" s="78">
        <f t="shared" si="0"/>
        <v>3</v>
      </c>
    </row>
    <row r="56" spans="2:6" ht="15">
      <c r="B56" s="55">
        <f t="shared" si="1"/>
        <v>51</v>
      </c>
      <c r="C56" s="139" t="str">
        <f>IF([1]説明用文章!B102="","",[1]説明用文章!B102)</f>
        <v>スプリングワンダーxだるま秀麗</v>
      </c>
      <c r="D56" s="78">
        <f>IF(C56="","",COUNTIF(購入者リスト!$N:$N,C56))</f>
        <v>0</v>
      </c>
      <c r="E56" s="78">
        <f>IF(C56="","",COUNTIF(購入者リスト!$O:$T,C56))</f>
        <v>7</v>
      </c>
      <c r="F56" s="78">
        <f t="shared" si="0"/>
        <v>7</v>
      </c>
    </row>
    <row r="57" spans="2:6" ht="15">
      <c r="B57" s="55">
        <f t="shared" si="1"/>
        <v>52</v>
      </c>
      <c r="C57" s="139" t="str">
        <f>IF([1]説明用文章!B103="","",[1]説明用文章!B103)</f>
        <v>早春</v>
      </c>
      <c r="D57" s="78">
        <f>IF(C57="","",COUNTIF(購入者リスト!$N:$N,C57))</f>
        <v>0</v>
      </c>
      <c r="E57" s="78">
        <f>IF(C57="","",COUNTIF(購入者リスト!$O:$T,C57))</f>
        <v>2</v>
      </c>
      <c r="F57" s="78">
        <f t="shared" si="0"/>
        <v>2</v>
      </c>
    </row>
    <row r="58" spans="2:6" ht="15">
      <c r="B58" s="55">
        <f t="shared" si="1"/>
        <v>53</v>
      </c>
      <c r="C58" s="139" t="str">
        <f>IF([1]説明用文章!B104="","",[1]説明用文章!B104)</f>
        <v>ソンヨウン</v>
      </c>
      <c r="D58" s="78">
        <f>IF(C58="","",COUNTIF(購入者リスト!$N:$N,C58))</f>
        <v>0</v>
      </c>
      <c r="E58" s="78">
        <f>IF(C58="","",COUNTIF(購入者リスト!$O:$T,C58))</f>
        <v>1</v>
      </c>
      <c r="F58" s="78">
        <f t="shared" si="0"/>
        <v>1</v>
      </c>
    </row>
    <row r="59" spans="2:6" ht="15">
      <c r="B59" s="55" t="str">
        <f t="shared" si="1"/>
        <v/>
      </c>
      <c r="C59" s="139" t="str">
        <f>IF([1]説明用文章!B105="","",[1]説明用文章!B105)</f>
        <v/>
      </c>
      <c r="D59" s="78" t="str">
        <f>IF(C59="","",COUNTIF(購入者リスト!$N:$N,C59))</f>
        <v/>
      </c>
      <c r="E59" s="78" t="str">
        <f>IF(C59="","",COUNTIF(購入者リスト!$O:$T,C59))</f>
        <v/>
      </c>
      <c r="F59" s="78" t="str">
        <f t="shared" si="0"/>
        <v/>
      </c>
    </row>
    <row r="60" spans="2:6" ht="15">
      <c r="B60" s="55">
        <f t="shared" si="1"/>
        <v>54</v>
      </c>
      <c r="C60" s="139" t="str">
        <f>IF([1]説明用文章!B106="","",[1]説明用文章!B106)</f>
        <v>立田</v>
      </c>
      <c r="D60" s="78">
        <f>IF(C60="","",COUNTIF(購入者リスト!$N:$N,C60))</f>
        <v>0</v>
      </c>
      <c r="E60" s="78">
        <f>IF(C60="","",COUNTIF(購入者リスト!$O:$T,C60))</f>
        <v>3</v>
      </c>
      <c r="F60" s="78">
        <f t="shared" si="0"/>
        <v>3</v>
      </c>
    </row>
    <row r="61" spans="2:6" ht="15">
      <c r="B61" s="55">
        <f t="shared" si="1"/>
        <v>55</v>
      </c>
      <c r="C61" s="139" t="str">
        <f>IF([1]説明用文章!B107="","",[1]説明用文章!B107)</f>
        <v>チェリークイーン</v>
      </c>
      <c r="D61" s="78">
        <f>IF(C61="","",COUNTIF(購入者リスト!$N:$N,C61))</f>
        <v>0</v>
      </c>
      <c r="E61" s="78">
        <f>IF(C61="","",COUNTIF(購入者リスト!$O:$T,C61))</f>
        <v>3</v>
      </c>
      <c r="F61" s="78">
        <f t="shared" si="0"/>
        <v>3</v>
      </c>
    </row>
    <row r="62" spans="2:6" ht="15">
      <c r="B62" s="55">
        <f t="shared" si="1"/>
        <v>56</v>
      </c>
      <c r="C62" s="139" t="str">
        <f>IF([1]説明用文章!B108="","",[1]説明用文章!B108)</f>
        <v>チャイナローズ</v>
      </c>
      <c r="D62" s="78">
        <f>IF(C62="","",COUNTIF(購入者リスト!$N:$N,C62))</f>
        <v>1</v>
      </c>
      <c r="E62" s="78">
        <f>IF(C62="","",COUNTIF(購入者リスト!$O:$T,C62))</f>
        <v>3</v>
      </c>
      <c r="F62" s="78">
        <f t="shared" si="0"/>
        <v>4</v>
      </c>
    </row>
    <row r="63" spans="2:6" ht="15">
      <c r="B63" s="55">
        <f t="shared" si="1"/>
        <v>57</v>
      </c>
      <c r="C63" s="139" t="str">
        <f>IF([1]説明用文章!B109="","",[1]説明用文章!B109)</f>
        <v>ちょこん</v>
      </c>
      <c r="D63" s="78">
        <f>IF(C63="","",COUNTIF(購入者リスト!$N:$N,C63))</f>
        <v>19</v>
      </c>
      <c r="E63" s="78">
        <f>IF(C63="","",COUNTIF(購入者リスト!$O:$T,C63))</f>
        <v>12</v>
      </c>
      <c r="F63" s="78">
        <f t="shared" si="0"/>
        <v>31</v>
      </c>
    </row>
    <row r="64" spans="2:6" ht="15">
      <c r="B64" s="55">
        <f t="shared" si="1"/>
        <v>58</v>
      </c>
      <c r="C64" s="139" t="str">
        <f>IF([1]説明用文章!B110="","",[1]説明用文章!B110)</f>
        <v>ティッピー</v>
      </c>
      <c r="D64" s="78">
        <f>IF(C64="","",COUNTIF(購入者リスト!$N:$N,C64))</f>
        <v>0</v>
      </c>
      <c r="E64" s="78">
        <f>IF(C64="","",COUNTIF(購入者リスト!$O:$T,C64))</f>
        <v>12</v>
      </c>
      <c r="F64" s="78">
        <f t="shared" si="0"/>
        <v>12</v>
      </c>
    </row>
    <row r="65" spans="2:6" ht="15">
      <c r="B65" s="55">
        <f t="shared" si="1"/>
        <v>59</v>
      </c>
      <c r="C65" s="139" t="str">
        <f>IF([1]説明用文章!B111="","",[1]説明用文章!B111)</f>
        <v>デビー</v>
      </c>
      <c r="D65" s="78">
        <f>IF(C65="","",COUNTIF(購入者リスト!$N:$N,C65))</f>
        <v>0</v>
      </c>
      <c r="E65" s="78">
        <f>IF(C65="","",COUNTIF(購入者リスト!$O:$T,C65))</f>
        <v>11</v>
      </c>
      <c r="F65" s="78">
        <f t="shared" si="0"/>
        <v>11</v>
      </c>
    </row>
    <row r="66" spans="2:6" ht="15">
      <c r="B66" s="55">
        <f t="shared" si="1"/>
        <v>60</v>
      </c>
      <c r="C66" s="139" t="str">
        <f>IF([1]説明用文章!B112="","",[1]説明用文章!B112)</f>
        <v>トップアンドスター</v>
      </c>
      <c r="D66" s="78">
        <f>IF(C66="","",COUNTIF(購入者リスト!$N:$N,C66))</f>
        <v>0</v>
      </c>
      <c r="E66" s="78">
        <f>IF(C66="","",COUNTIF(購入者リスト!$O:$T,C66))</f>
        <v>1</v>
      </c>
      <c r="F66" s="78">
        <f t="shared" si="0"/>
        <v>1</v>
      </c>
    </row>
    <row r="67" spans="2:6" ht="15">
      <c r="B67" s="55">
        <f t="shared" si="1"/>
        <v>61</v>
      </c>
      <c r="C67" s="139" t="str">
        <f>IF([1]説明用文章!B113="","",[1]説明用文章!B113)</f>
        <v>ドラゴンズブラッド</v>
      </c>
      <c r="D67" s="78">
        <f>IF(C67="","",COUNTIF(購入者リスト!$N:$N,C67))</f>
        <v>0</v>
      </c>
      <c r="E67" s="78">
        <f>IF(C67="","",COUNTIF(購入者リスト!$O:$T,C67))</f>
        <v>1</v>
      </c>
      <c r="F67" s="78">
        <f t="shared" si="0"/>
        <v>1</v>
      </c>
    </row>
    <row r="68" spans="2:6" ht="15">
      <c r="B68" s="55">
        <f t="shared" si="1"/>
        <v>62</v>
      </c>
      <c r="C68" s="139" t="str">
        <f>IF([1]説明用文章!B114="","",[1]説明用文章!B114)</f>
        <v>ドドランタリス</v>
      </c>
      <c r="D68" s="78">
        <f>IF(C68="","",COUNTIF(購入者リスト!$N:$N,C68))</f>
        <v>0</v>
      </c>
      <c r="E68" s="78">
        <f>IF(C68="","",COUNTIF(購入者リスト!$O:$T,C68))</f>
        <v>1</v>
      </c>
      <c r="F68" s="78">
        <f t="shared" ref="F68:F131" si="2">IF(C68="","",D68+E68)</f>
        <v>1</v>
      </c>
    </row>
    <row r="69" spans="2:6" ht="15">
      <c r="B69" s="55" t="str">
        <f t="shared" ref="B69:B132" si="3">IF(C69="","",IF(C68="",B67+1,B68+1))</f>
        <v/>
      </c>
      <c r="C69" s="139" t="str">
        <f>IF([1]説明用文章!B115="","",[1]説明用文章!B115)</f>
        <v/>
      </c>
      <c r="D69" s="78" t="str">
        <f>IF(C69="","",COUNTIF(購入者リスト!$N:$N,C69))</f>
        <v/>
      </c>
      <c r="E69" s="78" t="str">
        <f>IF(C69="","",COUNTIF(購入者リスト!$O:$T,C69))</f>
        <v/>
      </c>
      <c r="F69" s="78" t="str">
        <f t="shared" si="2"/>
        <v/>
      </c>
    </row>
    <row r="70" spans="2:6" ht="15">
      <c r="B70" s="55">
        <f t="shared" si="3"/>
        <v>63</v>
      </c>
      <c r="C70" s="139" t="str">
        <f>IF([1]説明用文章!B116="","",[1]説明用文章!B116)</f>
        <v>ノスタルジックセピア</v>
      </c>
      <c r="D70" s="78">
        <f>IF(C70="","",COUNTIF(購入者リスト!$N:$N,C70))</f>
        <v>0</v>
      </c>
      <c r="E70" s="78">
        <f>IF(C70="","",COUNTIF(購入者リスト!$O:$T,C70))</f>
        <v>0</v>
      </c>
      <c r="F70" s="78">
        <f t="shared" si="2"/>
        <v>0</v>
      </c>
    </row>
    <row r="71" spans="2:6" ht="15">
      <c r="B71" s="55" t="str">
        <f t="shared" si="3"/>
        <v/>
      </c>
      <c r="C71" s="139" t="str">
        <f>IF([1]説明用文章!B117="","",[1]説明用文章!B117)</f>
        <v/>
      </c>
      <c r="D71" s="78" t="str">
        <f>IF(C71="","",COUNTIF(購入者リスト!$N:$N,C71))</f>
        <v/>
      </c>
      <c r="E71" s="78" t="str">
        <f>IF(C71="","",COUNTIF(購入者リスト!$O:$T,C71))</f>
        <v/>
      </c>
      <c r="F71" s="78" t="str">
        <f t="shared" si="2"/>
        <v/>
      </c>
    </row>
    <row r="72" spans="2:6" ht="15">
      <c r="B72" s="55">
        <f t="shared" si="3"/>
        <v>64</v>
      </c>
      <c r="C72" s="139" t="str">
        <f>IF([1]説明用文章!B118="","",[1]説明用文章!B118)</f>
        <v>白鳥</v>
      </c>
      <c r="D72" s="78">
        <f>IF(C72="","",COUNTIF(購入者リスト!$N:$N,C72))</f>
        <v>0</v>
      </c>
      <c r="E72" s="78">
        <f>IF(C72="","",COUNTIF(購入者リスト!$O:$T,C72))</f>
        <v>13</v>
      </c>
      <c r="F72" s="78">
        <f t="shared" si="2"/>
        <v>13</v>
      </c>
    </row>
    <row r="73" spans="2:6" ht="15">
      <c r="B73" s="55">
        <f t="shared" si="3"/>
        <v>65</v>
      </c>
      <c r="C73" s="139" t="str">
        <f>IF([1]説明用文章!B119="","",[1]説明用文章!B119)</f>
        <v>薄氷</v>
      </c>
      <c r="D73" s="78">
        <f>IF(C73="","",COUNTIF(購入者リスト!$N:$N,C73))</f>
        <v>0</v>
      </c>
      <c r="E73" s="78">
        <f>IF(C73="","",COUNTIF(購入者リスト!$O:$T,C73))</f>
        <v>3</v>
      </c>
      <c r="F73" s="78">
        <f t="shared" si="2"/>
        <v>3</v>
      </c>
    </row>
    <row r="74" spans="2:6" ht="15">
      <c r="B74" s="55">
        <f t="shared" si="3"/>
        <v>66</v>
      </c>
      <c r="C74" s="139" t="str">
        <f>IF([1]説明用文章!B120="","",[1]説明用文章!B120)</f>
        <v>はじまりの花</v>
      </c>
      <c r="D74" s="78">
        <f>IF(C74="","",COUNTIF(購入者リスト!$N:$N,C74))</f>
        <v>10</v>
      </c>
      <c r="E74" s="78">
        <f>IF(C74="","",COUNTIF(購入者リスト!$O:$T,C74))</f>
        <v>5</v>
      </c>
      <c r="F74" s="78">
        <f t="shared" si="2"/>
        <v>15</v>
      </c>
    </row>
    <row r="75" spans="2:6" ht="15">
      <c r="B75" s="55">
        <f t="shared" si="3"/>
        <v>67</v>
      </c>
      <c r="C75" s="139" t="str">
        <f>IF([1]説明用文章!B121="","",[1]説明用文章!B121)</f>
        <v>花うらら</v>
      </c>
      <c r="D75" s="78">
        <f>IF(C75="","",COUNTIF(購入者リスト!$N:$N,C75))</f>
        <v>0</v>
      </c>
      <c r="E75" s="78">
        <f>IF(C75="","",COUNTIF(購入者リスト!$O:$T,C75))</f>
        <v>7</v>
      </c>
      <c r="F75" s="78">
        <f t="shared" si="2"/>
        <v>7</v>
      </c>
    </row>
    <row r="76" spans="2:6" ht="15">
      <c r="B76" s="55">
        <f t="shared" si="3"/>
        <v>68</v>
      </c>
      <c r="C76" s="139" t="str">
        <f>IF([1]説明用文章!B122="","",[1]説明用文章!B122)</f>
        <v>華切子</v>
      </c>
      <c r="D76" s="78">
        <f>IF(C76="","",COUNTIF(購入者リスト!$N:$N,C76))</f>
        <v>0</v>
      </c>
      <c r="E76" s="78">
        <f>IF(C76="","",COUNTIF(購入者リスト!$O:$T,C76))</f>
        <v>0</v>
      </c>
      <c r="F76" s="78">
        <f t="shared" si="2"/>
        <v>0</v>
      </c>
    </row>
    <row r="77" spans="2:6" ht="15">
      <c r="B77" s="55">
        <f t="shared" si="3"/>
        <v>69</v>
      </c>
      <c r="C77" s="139" t="str">
        <f>IF([1]説明用文章!B123="","",[1]説明用文章!B123)</f>
        <v>バブルガム</v>
      </c>
      <c r="D77" s="78">
        <f>IF(C77="","",COUNTIF(購入者リスト!$N:$N,C77))</f>
        <v>0</v>
      </c>
      <c r="E77" s="78">
        <f>IF(C77="","",COUNTIF(購入者リスト!$O:$T,C77))</f>
        <v>2</v>
      </c>
      <c r="F77" s="78">
        <f t="shared" si="2"/>
        <v>2</v>
      </c>
    </row>
    <row r="78" spans="2:6" ht="15">
      <c r="B78" s="55">
        <f t="shared" si="3"/>
        <v>70</v>
      </c>
      <c r="C78" s="139" t="str">
        <f>IF([1]説明用文章!B124="","",[1]説明用文章!B124)</f>
        <v>パープルヘイズ</v>
      </c>
      <c r="D78" s="78">
        <f>IF(C78="","",COUNTIF(購入者リスト!$N:$N,C78))</f>
        <v>0</v>
      </c>
      <c r="E78" s="78">
        <f>IF(C78="","",COUNTIF(購入者リスト!$O:$T,C78))</f>
        <v>5</v>
      </c>
      <c r="F78" s="78">
        <f t="shared" si="2"/>
        <v>5</v>
      </c>
    </row>
    <row r="79" spans="2:6" ht="15">
      <c r="B79" s="55">
        <f t="shared" si="3"/>
        <v>71</v>
      </c>
      <c r="C79" s="139" t="str">
        <f>IF([1]説明用文章!B125="","",[1]説明用文章!B125)</f>
        <v>ピーチック</v>
      </c>
      <c r="D79" s="78">
        <f>IF(C79="","",COUNTIF(購入者リスト!$N:$N,C79))</f>
        <v>0</v>
      </c>
      <c r="E79" s="78">
        <f>IF(C79="","",COUNTIF(購入者リスト!$O:$T,C79))</f>
        <v>15</v>
      </c>
      <c r="F79" s="78">
        <f t="shared" si="2"/>
        <v>15</v>
      </c>
    </row>
    <row r="80" spans="2:6" ht="15">
      <c r="B80" s="55">
        <f t="shared" si="3"/>
        <v>72</v>
      </c>
      <c r="C80" s="139" t="str">
        <f>IF([1]説明用文章!B126="","",[1]説明用文章!B126)</f>
        <v>ビアポップ</v>
      </c>
      <c r="D80" s="78">
        <f>IF(C80="","",COUNTIF(購入者リスト!$N:$N,C80))</f>
        <v>0</v>
      </c>
      <c r="E80" s="78">
        <f>IF(C80="","",COUNTIF(購入者リスト!$O:$T,C80))</f>
        <v>5</v>
      </c>
      <c r="F80" s="78">
        <f t="shared" si="2"/>
        <v>5</v>
      </c>
    </row>
    <row r="81" spans="2:6" ht="15">
      <c r="B81" s="55">
        <f t="shared" si="3"/>
        <v>73</v>
      </c>
      <c r="C81" s="139" t="str">
        <f>IF([1]説明用文章!B127="","",[1]説明用文章!B127)</f>
        <v>ひなの</v>
      </c>
      <c r="D81" s="78">
        <f>IF(C81="","",COUNTIF(購入者リスト!$N:$N,C81))</f>
        <v>0</v>
      </c>
      <c r="E81" s="78">
        <f>IF(C81="","",COUNTIF(購入者リスト!$O:$T,C81))</f>
        <v>0</v>
      </c>
      <c r="F81" s="78">
        <f t="shared" si="2"/>
        <v>0</v>
      </c>
    </row>
    <row r="82" spans="2:6" ht="15">
      <c r="B82" s="55">
        <f t="shared" si="3"/>
        <v>74</v>
      </c>
      <c r="C82" s="139" t="str">
        <f>IF([1]説明用文章!B128="","",[1]説明用文章!B128)</f>
        <v>火祭り</v>
      </c>
      <c r="D82" s="78">
        <f>IF(C82="","",COUNTIF(購入者リスト!$N:$N,C82))</f>
        <v>0</v>
      </c>
      <c r="E82" s="78">
        <f>IF(C82="","",COUNTIF(購入者リスト!$O:$T,C82))</f>
        <v>1</v>
      </c>
      <c r="F82" s="78">
        <f t="shared" si="2"/>
        <v>1</v>
      </c>
    </row>
    <row r="83" spans="2:6" ht="15">
      <c r="B83" s="55">
        <f t="shared" si="3"/>
        <v>75</v>
      </c>
      <c r="C83" s="139" t="str">
        <f>IF([1]説明用文章!B129="","",[1]説明用文章!B129)</f>
        <v>氷山</v>
      </c>
      <c r="D83" s="78">
        <f>IF(C83="","",COUNTIF(購入者リスト!$N:$N,C83))</f>
        <v>0</v>
      </c>
      <c r="E83" s="78">
        <f>IF(C83="","",COUNTIF(購入者リスト!$O:$T,C83))</f>
        <v>2</v>
      </c>
      <c r="F83" s="78">
        <f t="shared" si="2"/>
        <v>2</v>
      </c>
    </row>
    <row r="84" spans="2:6" ht="15">
      <c r="B84" s="55">
        <f t="shared" si="3"/>
        <v>76</v>
      </c>
      <c r="C84" s="139" t="str">
        <f>IF([1]説明用文章!B130="","",[1]説明用文章!B130)</f>
        <v>ピンクキャビア</v>
      </c>
      <c r="D84" s="78">
        <f>IF(C84="","",COUNTIF(購入者リスト!$N:$N,C84))</f>
        <v>2</v>
      </c>
      <c r="E84" s="78">
        <f>IF(C84="","",COUNTIF(購入者リスト!$O:$T,C84))</f>
        <v>15</v>
      </c>
      <c r="F84" s="78">
        <f t="shared" si="2"/>
        <v>17</v>
      </c>
    </row>
    <row r="85" spans="2:6" ht="15">
      <c r="B85" s="55">
        <f t="shared" si="3"/>
        <v>77</v>
      </c>
      <c r="C85" s="139" t="str">
        <f>IF([1]説明用文章!B131="","",[1]説明用文章!B131)</f>
        <v>ピンクチップス</v>
      </c>
      <c r="D85" s="78">
        <f>IF(C85="","",COUNTIF(購入者リスト!$N:$N,C85))</f>
        <v>0</v>
      </c>
      <c r="E85" s="78">
        <f>IF(C85="","",COUNTIF(購入者リスト!$O:$T,C85))</f>
        <v>1</v>
      </c>
      <c r="F85" s="78">
        <f t="shared" si="2"/>
        <v>1</v>
      </c>
    </row>
    <row r="86" spans="2:6" ht="15">
      <c r="B86" s="55">
        <f t="shared" si="3"/>
        <v>78</v>
      </c>
      <c r="C86" s="139" t="str">
        <f>IF([1]説明用文章!B132="","",[1]説明用文章!B132)</f>
        <v>ピンクプリティ</v>
      </c>
      <c r="D86" s="78">
        <f>IF(C86="","",COUNTIF(購入者リスト!$N:$N,C86))</f>
        <v>0</v>
      </c>
      <c r="E86" s="78">
        <f>IF(C86="","",COUNTIF(購入者リスト!$O:$T,C86))</f>
        <v>2</v>
      </c>
      <c r="F86" s="78">
        <f t="shared" si="2"/>
        <v>2</v>
      </c>
    </row>
    <row r="87" spans="2:6" ht="15">
      <c r="B87" s="55">
        <f t="shared" si="3"/>
        <v>79</v>
      </c>
      <c r="C87" s="139" t="str">
        <f>IF([1]説明用文章!B133="","",[1]説明用文章!B133)</f>
        <v>ピンクルルビー</v>
      </c>
      <c r="D87" s="78">
        <f>IF(C87="","",COUNTIF(購入者リスト!$N:$N,C87))</f>
        <v>0</v>
      </c>
      <c r="E87" s="78">
        <f>IF(C87="","",COUNTIF(購入者リスト!$O:$T,C87))</f>
        <v>11</v>
      </c>
      <c r="F87" s="78">
        <f t="shared" si="2"/>
        <v>11</v>
      </c>
    </row>
    <row r="88" spans="2:6" ht="15">
      <c r="B88" s="55">
        <f t="shared" si="3"/>
        <v>80</v>
      </c>
      <c r="C88" s="139" t="str">
        <f>IF([1]説明用文章!B134="","",[1]説明用文章!B134)</f>
        <v>ピンクローサ</v>
      </c>
      <c r="D88" s="78">
        <f>IF(C88="","",COUNTIF(購入者リスト!$N:$N,C88))</f>
        <v>0</v>
      </c>
      <c r="E88" s="78">
        <f>IF(C88="","",COUNTIF(購入者リスト!$O:$T,C88))</f>
        <v>4</v>
      </c>
      <c r="F88" s="78">
        <f t="shared" si="2"/>
        <v>4</v>
      </c>
    </row>
    <row r="89" spans="2:6" ht="15">
      <c r="B89" s="55">
        <f t="shared" si="3"/>
        <v>81</v>
      </c>
      <c r="C89" s="139" t="str">
        <f>IF([1]説明用文章!B135="","",[1]説明用文章!B135)</f>
        <v>ファイヤーピラー</v>
      </c>
      <c r="D89" s="78">
        <f>IF(C89="","",COUNTIF(購入者リスト!$N:$N,C89))</f>
        <v>0</v>
      </c>
      <c r="E89" s="78">
        <f>IF(C89="","",COUNTIF(購入者リスト!$O:$T,C89))</f>
        <v>13</v>
      </c>
      <c r="F89" s="78">
        <f t="shared" si="2"/>
        <v>13</v>
      </c>
    </row>
    <row r="90" spans="2:6" ht="15">
      <c r="B90" s="55">
        <f t="shared" si="3"/>
        <v>82</v>
      </c>
      <c r="C90" s="139" t="str">
        <f>IF([1]説明用文章!B136="","",[1]説明用文章!B136)</f>
        <v>斑入りグリーンネックレス</v>
      </c>
      <c r="D90" s="78">
        <f>IF(C90="","",COUNTIF(購入者リスト!$N:$N,C90))</f>
        <v>1</v>
      </c>
      <c r="E90" s="78">
        <f>IF(C90="","",COUNTIF(購入者リスト!$O:$T,C90))</f>
        <v>30</v>
      </c>
      <c r="F90" s="78">
        <f t="shared" si="2"/>
        <v>31</v>
      </c>
    </row>
    <row r="91" spans="2:6" ht="15">
      <c r="B91" s="55">
        <f t="shared" si="3"/>
        <v>83</v>
      </c>
      <c r="C91" s="139" t="str">
        <f>IF([1]説明用文章!B137="","",[1]説明用文章!B137)</f>
        <v>フィオナ</v>
      </c>
      <c r="D91" s="78">
        <f>IF(C91="","",COUNTIF(購入者リスト!$N:$N,C91))</f>
        <v>0</v>
      </c>
      <c r="E91" s="78">
        <f>IF(C91="","",COUNTIF(購入者リスト!$O:$T,C91))</f>
        <v>13</v>
      </c>
      <c r="F91" s="78">
        <f t="shared" si="2"/>
        <v>13</v>
      </c>
    </row>
    <row r="92" spans="2:6" ht="15">
      <c r="B92" s="55">
        <f t="shared" si="3"/>
        <v>84</v>
      </c>
      <c r="C92" s="139" t="str">
        <f>IF([1]説明用文章!B138="","",[1]説明用文章!B138)</f>
        <v>フォステリアナムシルバーストーン</v>
      </c>
      <c r="D92" s="78">
        <f>IF(C92="","",COUNTIF(購入者リスト!$N:$N,C92))</f>
        <v>0</v>
      </c>
      <c r="E92" s="78">
        <f>IF(C92="","",COUNTIF(購入者リスト!$O:$T,C92))</f>
        <v>1</v>
      </c>
      <c r="F92" s="78">
        <f t="shared" si="2"/>
        <v>1</v>
      </c>
    </row>
    <row r="93" spans="2:6" ht="15">
      <c r="B93" s="55">
        <f t="shared" si="3"/>
        <v>85</v>
      </c>
      <c r="C93" s="139" t="str">
        <f>IF([1]説明用文章!B139="","",[1]説明用文章!B139)</f>
        <v>プシケ</v>
      </c>
      <c r="D93" s="78">
        <f>IF(C93="","",COUNTIF(購入者リスト!$N:$N,C93))</f>
        <v>0</v>
      </c>
      <c r="E93" s="78">
        <f>IF(C93="","",COUNTIF(購入者リスト!$O:$T,C93))</f>
        <v>15</v>
      </c>
      <c r="F93" s="78">
        <f t="shared" si="2"/>
        <v>15</v>
      </c>
    </row>
    <row r="94" spans="2:6" ht="15">
      <c r="B94" s="55">
        <f t="shared" si="3"/>
        <v>86</v>
      </c>
      <c r="C94" s="139" t="str">
        <f>IF([1]説明用文章!B140="","",[1]説明用文章!B140)</f>
        <v>プミラ</v>
      </c>
      <c r="D94" s="78">
        <f>IF(C94="","",COUNTIF(購入者リスト!$N:$N,C94))</f>
        <v>0</v>
      </c>
      <c r="E94" s="78">
        <f>IF(C94="","",COUNTIF(購入者リスト!$O:$T,C94))</f>
        <v>1</v>
      </c>
      <c r="F94" s="78">
        <f t="shared" si="2"/>
        <v>1</v>
      </c>
    </row>
    <row r="95" spans="2:6" ht="15">
      <c r="B95" s="55">
        <f t="shared" si="3"/>
        <v>87</v>
      </c>
      <c r="C95" s="139" t="str">
        <f>IF([1]説明用文章!B141="","",[1]説明用文章!B141)</f>
        <v>プラチナローズ</v>
      </c>
      <c r="D95" s="78">
        <f>IF(C95="","",COUNTIF(購入者リスト!$N:$N,C95))</f>
        <v>0</v>
      </c>
      <c r="E95" s="78">
        <f>IF(C95="","",COUNTIF(購入者リスト!$O:$T,C95))</f>
        <v>0</v>
      </c>
      <c r="F95" s="78">
        <f t="shared" si="2"/>
        <v>0</v>
      </c>
    </row>
    <row r="96" spans="2:6" ht="15">
      <c r="B96" s="55">
        <f t="shared" si="3"/>
        <v>88</v>
      </c>
      <c r="C96" s="139" t="str">
        <f>IF([1]説明用文章!B142="","",[1]説明用文章!B142)</f>
        <v>フランシノxざわわ</v>
      </c>
      <c r="D96" s="78">
        <f>IF(C96="","",COUNTIF(購入者リスト!$N:$N,C96))</f>
        <v>0</v>
      </c>
      <c r="E96" s="78">
        <f>IF(C96="","",COUNTIF(購入者リスト!$O:$T,C96))</f>
        <v>10</v>
      </c>
      <c r="F96" s="78">
        <f t="shared" si="2"/>
        <v>10</v>
      </c>
    </row>
    <row r="97" spans="2:6" ht="15">
      <c r="B97" s="55">
        <f t="shared" si="3"/>
        <v>89</v>
      </c>
      <c r="C97" s="139" t="str">
        <f>IF([1]説明用文章!B143="","",[1]説明用文章!B143)</f>
        <v>プリズム</v>
      </c>
      <c r="D97" s="78">
        <f>IF(C97="","",COUNTIF(購入者リスト!$N:$N,C97))</f>
        <v>0</v>
      </c>
      <c r="E97" s="78">
        <f>IF(C97="","",COUNTIF(購入者リスト!$O:$T,C97))</f>
        <v>7</v>
      </c>
      <c r="F97" s="78">
        <f t="shared" si="2"/>
        <v>7</v>
      </c>
    </row>
    <row r="98" spans="2:6" ht="15">
      <c r="B98" s="55">
        <f t="shared" si="3"/>
        <v>90</v>
      </c>
      <c r="C98" s="139" t="str">
        <f>IF([1]説明用文章!B144="","",[1]説明用文章!B144)</f>
        <v>ブルーサプライズ</v>
      </c>
      <c r="D98" s="78">
        <f>IF(C98="","",COUNTIF(購入者リスト!$N:$N,C98))</f>
        <v>0</v>
      </c>
      <c r="E98" s="78">
        <f>IF(C98="","",COUNTIF(購入者リスト!$O:$T,C98))</f>
        <v>11</v>
      </c>
      <c r="F98" s="78">
        <f t="shared" si="2"/>
        <v>11</v>
      </c>
    </row>
    <row r="99" spans="2:6" ht="15">
      <c r="B99" s="55">
        <f t="shared" si="3"/>
        <v>91</v>
      </c>
      <c r="C99" s="139" t="str">
        <f>IF([1]説明用文章!B145="","",[1]説明用文章!B145)</f>
        <v>ブルーバニラ</v>
      </c>
      <c r="D99" s="78">
        <f>IF(C99="","",COUNTIF(購入者リスト!$N:$N,C99))</f>
        <v>1</v>
      </c>
      <c r="E99" s="78">
        <f>IF(C99="","",COUNTIF(購入者リスト!$O:$T,C99))</f>
        <v>0</v>
      </c>
      <c r="F99" s="78">
        <f t="shared" si="2"/>
        <v>1</v>
      </c>
    </row>
    <row r="100" spans="2:6" ht="15">
      <c r="B100" s="55">
        <f t="shared" si="3"/>
        <v>92</v>
      </c>
      <c r="C100" s="139" t="str">
        <f>IF([1]説明用文章!B146="","",[1]説明用文章!B146)</f>
        <v>ブルーベリームーン</v>
      </c>
      <c r="D100" s="78">
        <f>IF(C100="","",COUNTIF(購入者リスト!$N:$N,C100))</f>
        <v>0</v>
      </c>
      <c r="E100" s="78">
        <f>IF(C100="","",COUNTIF(購入者リスト!$O:$T,C100))</f>
        <v>0</v>
      </c>
      <c r="F100" s="78">
        <f t="shared" si="2"/>
        <v>0</v>
      </c>
    </row>
    <row r="101" spans="2:6" ht="15">
      <c r="B101" s="55">
        <f t="shared" si="3"/>
        <v>93</v>
      </c>
      <c r="C101" s="139" t="str">
        <f>IF([1]説明用文章!B147="","",[1]説明用文章!B147)</f>
        <v>ブルーミニマ</v>
      </c>
      <c r="D101" s="78">
        <f>IF(C101="","",COUNTIF(購入者リスト!$N:$N,C101))</f>
        <v>0</v>
      </c>
      <c r="E101" s="78">
        <f>IF(C101="","",COUNTIF(購入者リスト!$O:$T,C101))</f>
        <v>2</v>
      </c>
      <c r="F101" s="78">
        <f t="shared" si="2"/>
        <v>2</v>
      </c>
    </row>
    <row r="102" spans="2:6" ht="15">
      <c r="B102" s="55">
        <f t="shared" si="3"/>
        <v>94</v>
      </c>
      <c r="C102" s="139" t="str">
        <f>IF([1]説明用文章!B148="","",[1]説明用文章!B148)</f>
        <v>Prodidity</v>
      </c>
      <c r="D102" s="78">
        <f>IF(C102="","",COUNTIF(購入者リスト!$N:$N,C102))</f>
        <v>0</v>
      </c>
      <c r="E102" s="78">
        <f>IF(C102="","",COUNTIF(購入者リスト!$O:$T,C102))</f>
        <v>1</v>
      </c>
      <c r="F102" s="78">
        <f t="shared" si="2"/>
        <v>1</v>
      </c>
    </row>
    <row r="103" spans="2:6" ht="15">
      <c r="B103" s="55">
        <f t="shared" si="3"/>
        <v>95</v>
      </c>
      <c r="C103" s="139" t="str">
        <f>IF([1]説明用文章!B149="","",[1]説明用文章!B149)</f>
        <v>ブロウメアナ</v>
      </c>
      <c r="D103" s="78">
        <f>IF(C103="","",COUNTIF(購入者リスト!$N:$N,C103))</f>
        <v>0</v>
      </c>
      <c r="E103" s="78">
        <f>IF(C103="","",COUNTIF(購入者リスト!$O:$T,C103))</f>
        <v>4</v>
      </c>
      <c r="F103" s="78">
        <f t="shared" si="2"/>
        <v>4</v>
      </c>
    </row>
    <row r="104" spans="2:6" ht="15">
      <c r="B104" s="55">
        <f t="shared" si="3"/>
        <v>96</v>
      </c>
      <c r="C104" s="139" t="str">
        <f>IF([1]説明用文章!B150="","",[1]説明用文章!B150)</f>
        <v>プロリフェラ</v>
      </c>
      <c r="D104" s="78">
        <f>IF(C104="","",COUNTIF(購入者リスト!$N:$N,C104))</f>
        <v>0</v>
      </c>
      <c r="E104" s="78">
        <f>IF(C104="","",COUNTIF(購入者リスト!$O:$T,C104))</f>
        <v>23</v>
      </c>
      <c r="F104" s="78">
        <f t="shared" si="2"/>
        <v>23</v>
      </c>
    </row>
    <row r="105" spans="2:6" ht="15">
      <c r="B105" s="55">
        <f t="shared" si="3"/>
        <v>97</v>
      </c>
      <c r="C105" s="139" t="str">
        <f>IF([1]説明用文章!B151="","",[1]説明用文章!B151)</f>
        <v>ブロードドロップ</v>
      </c>
      <c r="D105" s="78">
        <f>IF(C105="","",COUNTIF(購入者リスト!$N:$N,C105))</f>
        <v>0</v>
      </c>
      <c r="E105" s="78">
        <f>IF(C105="","",COUNTIF(購入者リスト!$O:$T,C105))</f>
        <v>8</v>
      </c>
      <c r="F105" s="78">
        <f t="shared" si="2"/>
        <v>8</v>
      </c>
    </row>
    <row r="106" spans="2:6" ht="15">
      <c r="B106" s="55">
        <f t="shared" si="3"/>
        <v>98</v>
      </c>
      <c r="C106" s="139" t="str">
        <f>IF([1]説明用文章!B152="","",[1]説明用文章!B152)</f>
        <v>ブロンズ姫</v>
      </c>
      <c r="D106" s="78">
        <f>IF(C106="","",COUNTIF(購入者リスト!$N:$N,C106))</f>
        <v>0</v>
      </c>
      <c r="E106" s="78">
        <f>IF(C106="","",COUNTIF(購入者リスト!$O:$T,C106))</f>
        <v>2</v>
      </c>
      <c r="F106" s="78">
        <f t="shared" si="2"/>
        <v>2</v>
      </c>
    </row>
    <row r="107" spans="2:6" ht="15">
      <c r="B107" s="55">
        <f t="shared" si="3"/>
        <v>99</v>
      </c>
      <c r="C107" s="139" t="str">
        <f>IF([1]説明用文章!B153="","",[1]説明用文章!B153)</f>
        <v>紅手鞠</v>
      </c>
      <c r="D107" s="78">
        <f>IF(C107="","",COUNTIF(購入者リスト!$N:$N,C107))</f>
        <v>0</v>
      </c>
      <c r="E107" s="78">
        <f>IF(C107="","",COUNTIF(購入者リスト!$O:$T,C107))</f>
        <v>0</v>
      </c>
      <c r="F107" s="78">
        <f t="shared" si="2"/>
        <v>0</v>
      </c>
    </row>
    <row r="108" spans="2:6" ht="15">
      <c r="B108" s="55">
        <f t="shared" si="3"/>
        <v>100</v>
      </c>
      <c r="C108" s="139" t="str">
        <f>IF([1]説明用文章!B154="","",[1]説明用文章!B154)</f>
        <v>ぺったん</v>
      </c>
      <c r="D108" s="78">
        <f>IF(C108="","",COUNTIF(購入者リスト!$N:$N,C108))</f>
        <v>6</v>
      </c>
      <c r="E108" s="78">
        <f>IF(C108="","",COUNTIF(購入者リスト!$O:$T,C108))</f>
        <v>0</v>
      </c>
      <c r="F108" s="78">
        <f t="shared" si="2"/>
        <v>6</v>
      </c>
    </row>
    <row r="109" spans="2:6" ht="15">
      <c r="B109" s="55">
        <f t="shared" si="3"/>
        <v>101</v>
      </c>
      <c r="C109" s="139" t="str">
        <f>IF([1]説明用文章!B155="","",[1]説明用文章!B155)</f>
        <v>ベッラデインベルノ</v>
      </c>
      <c r="D109" s="78">
        <f>IF(C109="","",COUNTIF(購入者リスト!$N:$N,C109))</f>
        <v>0</v>
      </c>
      <c r="E109" s="78">
        <f>IF(C109="","",COUNTIF(購入者リスト!$O:$T,C109))</f>
        <v>3</v>
      </c>
      <c r="F109" s="78">
        <f t="shared" si="2"/>
        <v>3</v>
      </c>
    </row>
    <row r="110" spans="2:6" ht="15">
      <c r="B110" s="55">
        <f t="shared" si="3"/>
        <v>102</v>
      </c>
      <c r="C110" s="139" t="str">
        <f>IF([1]説明用文章!B156="","",[1]説明用文章!B156)</f>
        <v>ペレスデラロサエ</v>
      </c>
      <c r="D110" s="78">
        <f>IF(C110="","",COUNTIF(購入者リスト!$N:$N,C110))</f>
        <v>0</v>
      </c>
      <c r="E110" s="78">
        <f>IF(C110="","",COUNTIF(購入者リスト!$O:$T,C110))</f>
        <v>6</v>
      </c>
      <c r="F110" s="78">
        <f t="shared" si="2"/>
        <v>6</v>
      </c>
    </row>
    <row r="111" spans="2:6" ht="15">
      <c r="B111" s="55">
        <f t="shared" si="3"/>
        <v>103</v>
      </c>
      <c r="C111" s="139" t="str">
        <f>IF([1]説明用文章!B157="","",[1]説明用文章!B157)</f>
        <v>ペレスデラロサエピンクエッジ</v>
      </c>
      <c r="D111" s="78">
        <f>IF(C111="","",COUNTIF(購入者リスト!$N:$N,C111))</f>
        <v>0</v>
      </c>
      <c r="E111" s="78">
        <f>IF(C111="","",COUNTIF(購入者リスト!$O:$T,C111))</f>
        <v>5</v>
      </c>
      <c r="F111" s="78">
        <f t="shared" si="2"/>
        <v>5</v>
      </c>
    </row>
    <row r="112" spans="2:6" ht="15">
      <c r="B112" s="55">
        <f t="shared" si="3"/>
        <v>104</v>
      </c>
      <c r="C112" s="139" t="str">
        <f>IF([1]説明用文章!B158="","",[1]説明用文章!B158)</f>
        <v>ペンデンス</v>
      </c>
      <c r="D112" s="78">
        <f>IF(C112="","",COUNTIF(購入者リスト!$N:$N,C112))</f>
        <v>0</v>
      </c>
      <c r="E112" s="78">
        <f>IF(C112="","",COUNTIF(購入者リスト!$O:$T,C112))</f>
        <v>4</v>
      </c>
      <c r="F112" s="78">
        <f t="shared" si="2"/>
        <v>4</v>
      </c>
    </row>
    <row r="113" spans="2:6" ht="15">
      <c r="B113" s="55">
        <f t="shared" si="3"/>
        <v>105</v>
      </c>
      <c r="C113" s="139" t="str">
        <f>IF([1]説明用文章!B159="","",[1]説明用文章!B159)</f>
        <v>星美人</v>
      </c>
      <c r="D113" s="78">
        <f>IF(C113="","",COUNTIF(購入者リスト!$N:$N,C113))</f>
        <v>0</v>
      </c>
      <c r="E113" s="78">
        <f>IF(C113="","",COUNTIF(購入者リスト!$O:$T,C113))</f>
        <v>1</v>
      </c>
      <c r="F113" s="78">
        <f t="shared" si="2"/>
        <v>1</v>
      </c>
    </row>
    <row r="114" spans="2:6" ht="15">
      <c r="B114" s="55">
        <f t="shared" si="3"/>
        <v>106</v>
      </c>
      <c r="C114" s="139" t="str">
        <f>IF([1]説明用文章!B160="","",[1]説明用文章!B160)</f>
        <v>ボールオブファット</v>
      </c>
      <c r="D114" s="78">
        <f>IF(C114="","",COUNTIF(購入者リスト!$N:$N,C114))</f>
        <v>0</v>
      </c>
      <c r="E114" s="78">
        <f>IF(C114="","",COUNTIF(購入者リスト!$O:$T,C114))</f>
        <v>5</v>
      </c>
      <c r="F114" s="78">
        <f t="shared" si="2"/>
        <v>5</v>
      </c>
    </row>
    <row r="115" spans="2:6" ht="15">
      <c r="B115" s="55" t="str">
        <f t="shared" si="3"/>
        <v/>
      </c>
      <c r="C115" s="139" t="str">
        <f>IF([1]説明用文章!B161="","",[1]説明用文章!B161)</f>
        <v/>
      </c>
      <c r="D115" s="78" t="str">
        <f>IF(C115="","",COUNTIF(購入者リスト!$N:$N,C115))</f>
        <v/>
      </c>
      <c r="E115" s="78" t="str">
        <f>IF(C115="","",COUNTIF(購入者リスト!$O:$T,C115))</f>
        <v/>
      </c>
      <c r="F115" s="78" t="str">
        <f t="shared" si="2"/>
        <v/>
      </c>
    </row>
    <row r="116" spans="2:6" ht="15">
      <c r="B116" s="55">
        <f t="shared" si="3"/>
        <v>107</v>
      </c>
      <c r="C116" s="139" t="str">
        <f>IF([1]説明用文章!B162="","",[1]説明用文章!B162)</f>
        <v>円</v>
      </c>
      <c r="D116" s="78">
        <f>IF(C116="","",COUNTIF(購入者リスト!$N:$N,C116))</f>
        <v>0</v>
      </c>
      <c r="E116" s="78">
        <f>IF(C116="","",COUNTIF(購入者リスト!$O:$T,C116))</f>
        <v>0</v>
      </c>
      <c r="F116" s="78">
        <f t="shared" si="2"/>
        <v>0</v>
      </c>
    </row>
    <row r="117" spans="2:6" ht="15">
      <c r="B117" s="55">
        <f t="shared" si="3"/>
        <v>108</v>
      </c>
      <c r="C117" s="139" t="str">
        <f>IF([1]説明用文章!B163="","",[1]説明用文章!B163)</f>
        <v>マドンナ</v>
      </c>
      <c r="D117" s="78">
        <f>IF(C117="","",COUNTIF(購入者リスト!$N:$N,C117))</f>
        <v>0</v>
      </c>
      <c r="E117" s="78">
        <f>IF(C117="","",COUNTIF(購入者リスト!$O:$T,C117))</f>
        <v>1</v>
      </c>
      <c r="F117" s="78">
        <f t="shared" si="2"/>
        <v>1</v>
      </c>
    </row>
    <row r="118" spans="2:6" ht="15">
      <c r="B118" s="55">
        <f t="shared" si="3"/>
        <v>109</v>
      </c>
      <c r="C118" s="139" t="str">
        <f>IF([1]説明用文章!B164="","",[1]説明用文章!B164)</f>
        <v>南十字星</v>
      </c>
      <c r="D118" s="78">
        <f>IF(C118="","",COUNTIF(購入者リスト!$N:$N,C118))</f>
        <v>0</v>
      </c>
      <c r="E118" s="78">
        <f>IF(C118="","",COUNTIF(購入者リスト!$O:$T,C118))</f>
        <v>2</v>
      </c>
      <c r="F118" s="78">
        <f t="shared" si="2"/>
        <v>2</v>
      </c>
    </row>
    <row r="119" spans="2:6" ht="15">
      <c r="B119" s="55">
        <f t="shared" si="3"/>
        <v>110</v>
      </c>
      <c r="C119" s="139" t="str">
        <f>IF([1]説明用文章!B165="","",[1]説明用文章!B165)</f>
        <v>桃太郎</v>
      </c>
      <c r="D119" s="78">
        <f>IF(C119="","",COUNTIF(購入者リスト!$N:$N,C119))</f>
        <v>0</v>
      </c>
      <c r="E119" s="78">
        <f>IF(C119="","",COUNTIF(購入者リスト!$O:$T,C119))</f>
        <v>4</v>
      </c>
      <c r="F119" s="78">
        <f t="shared" si="2"/>
        <v>4</v>
      </c>
    </row>
    <row r="120" spans="2:6" ht="15">
      <c r="B120" s="55">
        <f t="shared" si="3"/>
        <v>111</v>
      </c>
      <c r="C120" s="139" t="str">
        <f>IF([1]説明用文章!B166="","",[1]説明用文章!B166)</f>
        <v>ももりん</v>
      </c>
      <c r="D120" s="78">
        <f>IF(C120="","",COUNTIF(購入者リスト!$N:$N,C120))</f>
        <v>8</v>
      </c>
      <c r="E120" s="78">
        <f>IF(C120="","",COUNTIF(購入者リスト!$O:$T,C120))</f>
        <v>15</v>
      </c>
      <c r="F120" s="78">
        <f t="shared" si="2"/>
        <v>23</v>
      </c>
    </row>
    <row r="121" spans="2:6" ht="15">
      <c r="B121" s="55">
        <f t="shared" si="3"/>
        <v>112</v>
      </c>
      <c r="C121" s="139" t="str">
        <f>IF([1]説明用文章!B167="","",[1]説明用文章!B167)</f>
        <v>モラニーxルンヨニーサンカルロス</v>
      </c>
      <c r="D121" s="78">
        <f>IF(C121="","",COUNTIF(購入者リスト!$N:$N,C121))</f>
        <v>1</v>
      </c>
      <c r="E121" s="78">
        <f>IF(C121="","",COUNTIF(購入者リスト!$O:$T,C121))</f>
        <v>0</v>
      </c>
      <c r="F121" s="78">
        <f t="shared" si="2"/>
        <v>1</v>
      </c>
    </row>
    <row r="122" spans="2:6" ht="15">
      <c r="B122" s="55">
        <f t="shared" si="3"/>
        <v>113</v>
      </c>
      <c r="C122" s="139" t="str">
        <f>IF([1]説明用文章!B168="","",[1]説明用文章!B168)</f>
        <v>モルゲンロート</v>
      </c>
      <c r="D122" s="78">
        <f>IF(C122="","",COUNTIF(購入者リスト!$N:$N,C122))</f>
        <v>4</v>
      </c>
      <c r="E122" s="78">
        <f>IF(C122="","",COUNTIF(購入者リスト!$O:$T,C122))</f>
        <v>0</v>
      </c>
      <c r="F122" s="78">
        <f t="shared" si="2"/>
        <v>4</v>
      </c>
    </row>
    <row r="123" spans="2:6" ht="15">
      <c r="B123" s="55">
        <f t="shared" si="3"/>
        <v>114</v>
      </c>
      <c r="C123" s="139" t="str">
        <f>IF([1]説明用文章!B169="","",[1]説明用文章!B169)</f>
        <v>モンロー</v>
      </c>
      <c r="D123" s="78">
        <f>IF(C123="","",COUNTIF(購入者リスト!$N:$N,C123))</f>
        <v>0</v>
      </c>
      <c r="E123" s="78">
        <f>IF(C123="","",COUNTIF(購入者リスト!$O:$T,C123))</f>
        <v>20</v>
      </c>
      <c r="F123" s="78">
        <f t="shared" si="2"/>
        <v>20</v>
      </c>
    </row>
    <row r="124" spans="2:6" ht="15">
      <c r="B124" s="55" t="str">
        <f t="shared" si="3"/>
        <v/>
      </c>
      <c r="C124" s="139" t="str">
        <f>IF([1]説明用文章!B170="","",[1]説明用文章!B170)</f>
        <v/>
      </c>
      <c r="D124" s="78" t="str">
        <f>IF(C124="","",COUNTIF(購入者リスト!$N:$N,C124))</f>
        <v/>
      </c>
      <c r="E124" s="78" t="str">
        <f>IF(C124="","",COUNTIF(購入者リスト!$O:$T,C124))</f>
        <v/>
      </c>
      <c r="F124" s="78" t="str">
        <f t="shared" si="2"/>
        <v/>
      </c>
    </row>
    <row r="125" spans="2:6" ht="15">
      <c r="B125" s="55">
        <f t="shared" si="3"/>
        <v>115</v>
      </c>
      <c r="C125" s="139" t="str">
        <f>IF([1]説明用文章!B171="","",[1]説明用文章!B171)</f>
        <v>ライムシャワー</v>
      </c>
      <c r="D125" s="78">
        <f>IF(C125="","",COUNTIF(購入者リスト!$N:$N,C125))</f>
        <v>0</v>
      </c>
      <c r="E125" s="78">
        <f>IF(C125="","",COUNTIF(購入者リスト!$O:$T,C125))</f>
        <v>5</v>
      </c>
      <c r="F125" s="78">
        <f t="shared" si="2"/>
        <v>5</v>
      </c>
    </row>
    <row r="126" spans="2:6" ht="15">
      <c r="B126" s="55">
        <f t="shared" si="3"/>
        <v>116</v>
      </c>
      <c r="C126" s="139" t="str">
        <f>IF([1]説明用文章!B172="","",[1]説明用文章!B172)</f>
        <v>ラウリンゼxラウ30</v>
      </c>
      <c r="D126" s="78">
        <f>IF(C126="","",COUNTIF(購入者リスト!$N:$N,C126))</f>
        <v>0</v>
      </c>
      <c r="E126" s="78">
        <f>IF(C126="","",COUNTIF(購入者リスト!$O:$T,C126))</f>
        <v>8</v>
      </c>
      <c r="F126" s="78">
        <f t="shared" si="2"/>
        <v>8</v>
      </c>
    </row>
    <row r="127" spans="2:6" ht="15">
      <c r="B127" s="55">
        <f t="shared" si="3"/>
        <v>117</v>
      </c>
      <c r="C127" s="139" t="str">
        <f>IF([1]説明用文章!B173="","",[1]説明用文章!B173)</f>
        <v>ラウトップ</v>
      </c>
      <c r="D127" s="78">
        <f>IF(C127="","",COUNTIF(購入者リスト!$N:$N,C127))</f>
        <v>0</v>
      </c>
      <c r="E127" s="78">
        <f>IF(C127="","",COUNTIF(購入者リスト!$O:$T,C127))</f>
        <v>3</v>
      </c>
      <c r="F127" s="78">
        <f t="shared" si="2"/>
        <v>3</v>
      </c>
    </row>
    <row r="128" spans="2:6" ht="15">
      <c r="B128" s="55">
        <f t="shared" si="3"/>
        <v>118</v>
      </c>
      <c r="C128" s="139" t="str">
        <f>IF([1]説明用文章!B174="","",[1]説明用文章!B174)</f>
        <v>ラズベリーメモリー</v>
      </c>
      <c r="D128" s="78">
        <f>IF(C128="","",COUNTIF(購入者リスト!$N:$N,C128))</f>
        <v>0</v>
      </c>
      <c r="E128" s="78">
        <f>IF(C128="","",COUNTIF(購入者リスト!$O:$T,C128))</f>
        <v>0</v>
      </c>
      <c r="F128" s="78">
        <f t="shared" si="2"/>
        <v>0</v>
      </c>
    </row>
    <row r="129" spans="2:6" ht="15">
      <c r="B129" s="55">
        <f t="shared" si="3"/>
        <v>119</v>
      </c>
      <c r="C129" s="139" t="str">
        <f>IF([1]説明用文章!B175="","",[1]説明用文章!B175)</f>
        <v>ラブリーローズ</v>
      </c>
      <c r="D129" s="78">
        <f>IF(C129="","",COUNTIF(購入者リスト!$N:$N,C129))</f>
        <v>0</v>
      </c>
      <c r="E129" s="78">
        <f>IF(C129="","",COUNTIF(購入者リスト!$O:$T,C129))</f>
        <v>23</v>
      </c>
      <c r="F129" s="78">
        <f t="shared" si="2"/>
        <v>23</v>
      </c>
    </row>
    <row r="130" spans="2:6" ht="15">
      <c r="B130" s="55">
        <f t="shared" si="3"/>
        <v>120</v>
      </c>
      <c r="C130" s="139" t="str">
        <f>IF([1]説明用文章!B176="","",[1]説明用文章!B176)</f>
        <v>龍鱗蓮華</v>
      </c>
      <c r="D130" s="78">
        <f>IF(C130="","",COUNTIF(購入者リスト!$N:$N,C130))</f>
        <v>0</v>
      </c>
      <c r="E130" s="78">
        <f>IF(C130="","",COUNTIF(購入者リスト!$O:$T,C130))</f>
        <v>0</v>
      </c>
      <c r="F130" s="78">
        <f t="shared" si="2"/>
        <v>0</v>
      </c>
    </row>
    <row r="131" spans="2:6" ht="15">
      <c r="B131" s="55">
        <f t="shared" si="3"/>
        <v>121</v>
      </c>
      <c r="C131" s="139" t="str">
        <f>IF([1]説明用文章!B177="","",[1]説明用文章!B177)</f>
        <v>ルビーハイ</v>
      </c>
      <c r="D131" s="78">
        <f>IF(C131="","",COUNTIF(購入者リスト!$N:$N,C131))</f>
        <v>0</v>
      </c>
      <c r="E131" s="78">
        <f>IF(C131="","",COUNTIF(購入者リスト!$O:$T,C131))</f>
        <v>5</v>
      </c>
      <c r="F131" s="78">
        <f t="shared" si="2"/>
        <v>5</v>
      </c>
    </row>
    <row r="132" spans="2:6" ht="15">
      <c r="B132" s="55">
        <f t="shared" si="3"/>
        <v>122</v>
      </c>
      <c r="C132" s="139" t="str">
        <f>IF([1]説明用文章!B178="","",[1]説明用文章!B178)</f>
        <v>ルンヨニー</v>
      </c>
      <c r="D132" s="78">
        <f>IF(C132="","",COUNTIF(購入者リスト!$N:$N,C132))</f>
        <v>0</v>
      </c>
      <c r="E132" s="78">
        <f>IF(C132="","",COUNTIF(購入者リスト!$O:$T,C132))</f>
        <v>1</v>
      </c>
      <c r="F132" s="78">
        <f t="shared" ref="F132:F138" si="4">IF(C132="","",D132+E132)</f>
        <v>1</v>
      </c>
    </row>
    <row r="133" spans="2:6" ht="15">
      <c r="B133" s="55">
        <f t="shared" ref="B133:B139" si="5">IF(C133="","",IF(C132="",B131+1,B132+1))</f>
        <v>123</v>
      </c>
      <c r="C133" s="139" t="str">
        <f>IF([1]説明用文章!B179="","",[1]説明用文章!B179)</f>
        <v>レッドベリー</v>
      </c>
      <c r="D133" s="78">
        <f>IF(C133="","",COUNTIF(購入者リスト!$N:$N,C133))</f>
        <v>0</v>
      </c>
      <c r="E133" s="78">
        <f>IF(C133="","",COUNTIF(購入者リスト!$O:$T,C133))</f>
        <v>3</v>
      </c>
      <c r="F133" s="78">
        <f t="shared" si="4"/>
        <v>3</v>
      </c>
    </row>
    <row r="134" spans="2:6" ht="15">
      <c r="B134" s="55">
        <f t="shared" si="5"/>
        <v>124</v>
      </c>
      <c r="C134" s="139" t="str">
        <f>IF([1]説明用文章!B180="","",[1]説明用文章!B180)</f>
        <v>レディジア</v>
      </c>
      <c r="D134" s="78">
        <f>IF(C134="","",COUNTIF(購入者リスト!$N:$N,C134))</f>
        <v>0</v>
      </c>
      <c r="E134" s="78">
        <f>IF(C134="","",COUNTIF(購入者リスト!$O:$T,C134))</f>
        <v>4</v>
      </c>
      <c r="F134" s="78">
        <f t="shared" si="4"/>
        <v>4</v>
      </c>
    </row>
    <row r="135" spans="2:6" ht="15">
      <c r="B135" s="55">
        <f t="shared" si="5"/>
        <v>125</v>
      </c>
      <c r="C135" s="139" t="str">
        <f>IF([1]説明用文章!B181="","",[1]説明用文章!B181)</f>
        <v>レモータ</v>
      </c>
      <c r="D135" s="78">
        <f>IF(C135="","",COUNTIF(購入者リスト!$N:$N,C135))</f>
        <v>0</v>
      </c>
      <c r="E135" s="78">
        <f>IF(C135="","",COUNTIF(購入者リスト!$O:$T,C135))</f>
        <v>4</v>
      </c>
      <c r="F135" s="78">
        <f t="shared" si="4"/>
        <v>4</v>
      </c>
    </row>
    <row r="136" spans="2:6" ht="15">
      <c r="B136" s="55">
        <f t="shared" si="5"/>
        <v>126</v>
      </c>
      <c r="C136" s="139" t="str">
        <f>IF([1]説明用文章!B182="","",[1]説明用文章!B182)</f>
        <v>ローズセダム</v>
      </c>
      <c r="D136" s="78">
        <f>IF(C136="","",COUNTIF(購入者リスト!$N:$N,C136))</f>
        <v>0</v>
      </c>
      <c r="E136" s="78">
        <f>IF(C136="","",COUNTIF(購入者リスト!$O:$T,C136))</f>
        <v>2</v>
      </c>
      <c r="F136" s="78">
        <f t="shared" si="4"/>
        <v>2</v>
      </c>
    </row>
    <row r="137" spans="2:6" ht="15">
      <c r="B137" s="55" t="str">
        <f t="shared" si="5"/>
        <v/>
      </c>
      <c r="C137" s="139" t="str">
        <f>IF([1]説明用文章!B183="","",[1]説明用文章!B183)</f>
        <v/>
      </c>
      <c r="D137" s="78" t="str">
        <f>IF(C137="","",COUNTIF(購入者リスト!$N:$N,C137))</f>
        <v/>
      </c>
      <c r="E137" s="78" t="str">
        <f>IF(C137="","",COUNTIF(購入者リスト!$O:$T,C137))</f>
        <v/>
      </c>
      <c r="F137" s="78" t="str">
        <f t="shared" si="4"/>
        <v/>
      </c>
    </row>
    <row r="138" spans="2:6" ht="15">
      <c r="B138" s="55">
        <f t="shared" si="5"/>
        <v>127</v>
      </c>
      <c r="C138" s="139" t="str">
        <f>IF([1]説明用文章!B184="","",[1]説明用文章!B184)</f>
        <v>夕波</v>
      </c>
      <c r="D138" s="78">
        <f>IF(C138="","",COUNTIF(購入者リスト!$N:$N,C138))</f>
        <v>0</v>
      </c>
      <c r="E138" s="78">
        <f>IF(C138="","",COUNTIF(購入者リスト!$O:$T,C138))</f>
        <v>0</v>
      </c>
      <c r="F138" s="78">
        <f t="shared" si="4"/>
        <v>0</v>
      </c>
    </row>
    <row r="139" spans="2:6" ht="15">
      <c r="B139" s="55" t="str">
        <f t="shared" si="5"/>
        <v/>
      </c>
      <c r="C139" s="139"/>
      <c r="D139" s="78"/>
      <c r="E139" s="78"/>
      <c r="F139" s="78"/>
    </row>
    <row r="140" spans="2:6" ht="15">
      <c r="C140" s="77"/>
      <c r="D140" s="78"/>
      <c r="E140" s="78"/>
      <c r="F140" s="78"/>
    </row>
    <row r="141" spans="2:6" ht="15">
      <c r="C141" s="77"/>
      <c r="D141" s="78"/>
      <c r="E141" s="78"/>
      <c r="F141" s="78"/>
    </row>
  </sheetData>
  <autoFilter ref="B3:F135" xr:uid="{00000000-0009-0000-0000-000005000000}"/>
  <phoneticPr fontId="59"/>
  <conditionalFormatting sqref="C4:F304">
    <cfRule type="expression" dxfId="21" priority="1">
      <formula>$F4=0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N1064"/>
  <sheetViews>
    <sheetView zoomScale="115" zoomScaleNormal="115" workbookViewId="0">
      <pane ySplit="3" topLeftCell="A1032" activePane="bottomLeft" state="frozen"/>
      <selection pane="bottomLeft" activeCell="C1059" sqref="C1059"/>
    </sheetView>
  </sheetViews>
  <sheetFormatPr defaultColWidth="8.90625" defaultRowHeight="13"/>
  <cols>
    <col min="1" max="1" width="2.81640625" style="47" customWidth="1"/>
    <col min="2" max="2" width="4.81640625" style="535" customWidth="1"/>
    <col min="3" max="3" width="15.81640625" style="49" customWidth="1"/>
    <col min="4" max="5" width="15.81640625" style="47" customWidth="1"/>
    <col min="6" max="6" width="12.81640625" style="47" customWidth="1"/>
    <col min="7" max="7" width="18.6328125" style="47" customWidth="1"/>
    <col min="8" max="8" width="15.81640625" style="47" customWidth="1"/>
    <col min="9" max="14" width="12.6328125" style="47" customWidth="1"/>
    <col min="15" max="20" width="8.6328125" style="47" customWidth="1"/>
    <col min="21" max="21" width="6.6328125" style="47" customWidth="1"/>
    <col min="22" max="27" width="8.6328125" style="47" customWidth="1"/>
    <col min="28" max="28" width="6.6328125" style="47" customWidth="1"/>
    <col min="29" max="29" width="15.6328125" style="47" customWidth="1"/>
    <col min="30" max="30" width="2.08984375" style="47" customWidth="1"/>
    <col min="31" max="16384" width="8.90625" style="47"/>
  </cols>
  <sheetData>
    <row r="2" spans="2:14" s="46" customFormat="1" ht="15">
      <c r="B2" s="35"/>
      <c r="C2" s="51" t="s">
        <v>2254</v>
      </c>
      <c r="D2" s="528" t="s">
        <v>2255</v>
      </c>
      <c r="E2" s="52" t="s">
        <v>2256</v>
      </c>
      <c r="F2" s="529" t="s">
        <v>2257</v>
      </c>
      <c r="G2" s="53" t="s">
        <v>2258</v>
      </c>
      <c r="H2" s="53" t="s">
        <v>2259</v>
      </c>
      <c r="I2" s="530" t="s">
        <v>2260</v>
      </c>
      <c r="J2" s="60" t="s">
        <v>2261</v>
      </c>
      <c r="K2" s="531" t="s">
        <v>3364</v>
      </c>
      <c r="L2" s="61" t="s">
        <v>2260</v>
      </c>
      <c r="M2" s="532" t="s">
        <v>2261</v>
      </c>
      <c r="N2" s="533" t="s">
        <v>3365</v>
      </c>
    </row>
    <row r="3" spans="2:14" s="46" customFormat="1" ht="15">
      <c r="B3" s="35"/>
      <c r="C3" s="54"/>
    </row>
    <row r="4" spans="2:14" s="46" customFormat="1" ht="15">
      <c r="B4" s="534">
        <f t="shared" ref="B4:B67" si="0">ROW()-3</f>
        <v>1</v>
      </c>
      <c r="C4" s="56" t="s">
        <v>2262</v>
      </c>
      <c r="D4" s="56" t="s">
        <v>2263</v>
      </c>
      <c r="E4" s="57" t="s">
        <v>2264</v>
      </c>
      <c r="F4" s="58"/>
      <c r="G4" s="59">
        <v>45213</v>
      </c>
      <c r="H4" s="57" t="s">
        <v>2265</v>
      </c>
      <c r="I4" s="62">
        <f t="shared" ref="I4:I67" si="1">IF(J4&lt;&gt;"",J4-J4/1.1,"")</f>
        <v>10.000000000000014</v>
      </c>
      <c r="J4" s="63">
        <v>110</v>
      </c>
      <c r="K4" s="63">
        <f t="shared" ref="K4:K67" si="2">IF(N4="",J4,0)</f>
        <v>0</v>
      </c>
      <c r="L4" s="62" t="str">
        <f t="shared" ref="L4:L67" si="3">IF(M4&lt;&gt;"",M4-M4/1.1,"")</f>
        <v/>
      </c>
      <c r="M4" s="63"/>
      <c r="N4" s="66" t="s">
        <v>24</v>
      </c>
    </row>
    <row r="5" spans="2:14" s="46" customFormat="1" ht="15">
      <c r="B5" s="534">
        <f t="shared" si="0"/>
        <v>2</v>
      </c>
      <c r="C5" s="56" t="s">
        <v>2262</v>
      </c>
      <c r="D5" s="56" t="s">
        <v>2266</v>
      </c>
      <c r="E5" s="57" t="s">
        <v>2267</v>
      </c>
      <c r="F5" s="58"/>
      <c r="G5" s="59">
        <v>45213</v>
      </c>
      <c r="H5" s="57" t="s">
        <v>2265</v>
      </c>
      <c r="I5" s="62">
        <f t="shared" si="1"/>
        <v>10.000000000000014</v>
      </c>
      <c r="J5" s="63">
        <v>110</v>
      </c>
      <c r="K5" s="63">
        <f t="shared" si="2"/>
        <v>110</v>
      </c>
      <c r="L5" s="62" t="str">
        <f t="shared" si="3"/>
        <v/>
      </c>
      <c r="M5" s="63"/>
    </row>
    <row r="6" spans="2:14" s="46" customFormat="1" ht="15">
      <c r="B6" s="534">
        <f t="shared" si="0"/>
        <v>3</v>
      </c>
      <c r="C6" s="56" t="s">
        <v>2268</v>
      </c>
      <c r="D6" s="56" t="s">
        <v>2269</v>
      </c>
      <c r="E6" s="57" t="s">
        <v>2270</v>
      </c>
      <c r="F6" s="58" t="s">
        <v>2271</v>
      </c>
      <c r="G6" s="59">
        <v>45220</v>
      </c>
      <c r="H6" s="57" t="s">
        <v>129</v>
      </c>
      <c r="I6" s="62">
        <f t="shared" si="1"/>
        <v>75.454545454545496</v>
      </c>
      <c r="J6" s="63">
        <v>830</v>
      </c>
      <c r="K6" s="63">
        <f t="shared" si="2"/>
        <v>830</v>
      </c>
      <c r="L6" s="62" t="str">
        <f t="shared" si="3"/>
        <v/>
      </c>
      <c r="M6" s="63"/>
    </row>
    <row r="7" spans="2:14" s="46" customFormat="1" ht="15">
      <c r="B7" s="534">
        <f t="shared" si="0"/>
        <v>4</v>
      </c>
      <c r="C7" s="56" t="s">
        <v>2268</v>
      </c>
      <c r="D7" s="56" t="s">
        <v>2269</v>
      </c>
      <c r="E7" s="57" t="s">
        <v>2272</v>
      </c>
      <c r="F7" s="58" t="s">
        <v>2271</v>
      </c>
      <c r="G7" s="59">
        <v>45220</v>
      </c>
      <c r="H7" s="57" t="s">
        <v>129</v>
      </c>
      <c r="I7" s="62">
        <f t="shared" si="1"/>
        <v>21.454545454545467</v>
      </c>
      <c r="J7" s="63">
        <v>236</v>
      </c>
      <c r="K7" s="63">
        <f t="shared" si="2"/>
        <v>236</v>
      </c>
      <c r="L7" s="62" t="str">
        <f t="shared" si="3"/>
        <v/>
      </c>
      <c r="M7" s="63"/>
    </row>
    <row r="8" spans="2:14" s="46" customFormat="1" ht="15">
      <c r="B8" s="534">
        <f t="shared" si="0"/>
        <v>5</v>
      </c>
      <c r="C8" s="56" t="s">
        <v>2273</v>
      </c>
      <c r="D8" s="56" t="s">
        <v>2274</v>
      </c>
      <c r="E8" s="57" t="s">
        <v>2275</v>
      </c>
      <c r="F8" s="58"/>
      <c r="G8" s="59">
        <v>45220</v>
      </c>
      <c r="H8" s="57" t="s">
        <v>129</v>
      </c>
      <c r="I8" s="62">
        <f t="shared" si="1"/>
        <v>98.000000000000114</v>
      </c>
      <c r="J8" s="63">
        <v>1078</v>
      </c>
      <c r="K8" s="63">
        <f t="shared" si="2"/>
        <v>1078</v>
      </c>
      <c r="L8" s="62" t="str">
        <f t="shared" si="3"/>
        <v/>
      </c>
      <c r="M8" s="63"/>
    </row>
    <row r="9" spans="2:14" s="46" customFormat="1" ht="15">
      <c r="B9" s="534">
        <f t="shared" si="0"/>
        <v>6</v>
      </c>
      <c r="C9" s="56" t="s">
        <v>2262</v>
      </c>
      <c r="D9" s="56" t="s">
        <v>2276</v>
      </c>
      <c r="E9" s="57" t="s">
        <v>2277</v>
      </c>
      <c r="F9" s="58"/>
      <c r="G9" s="59">
        <v>45220</v>
      </c>
      <c r="H9" s="57" t="s">
        <v>135</v>
      </c>
      <c r="I9" s="62">
        <f t="shared" si="1"/>
        <v>58.81818181818187</v>
      </c>
      <c r="J9" s="63">
        <v>647</v>
      </c>
      <c r="K9" s="63">
        <f t="shared" si="2"/>
        <v>647</v>
      </c>
      <c r="L9" s="62" t="str">
        <f t="shared" si="3"/>
        <v/>
      </c>
      <c r="M9" s="63"/>
    </row>
    <row r="10" spans="2:14" s="46" customFormat="1" ht="15">
      <c r="B10" s="534">
        <f t="shared" si="0"/>
        <v>7</v>
      </c>
      <c r="C10" s="56" t="s">
        <v>2262</v>
      </c>
      <c r="D10" s="56" t="s">
        <v>2276</v>
      </c>
      <c r="E10" s="57" t="s">
        <v>2278</v>
      </c>
      <c r="F10" s="58"/>
      <c r="G10" s="59">
        <v>45220</v>
      </c>
      <c r="H10" s="57" t="s">
        <v>135</v>
      </c>
      <c r="I10" s="62">
        <f t="shared" si="1"/>
        <v>70</v>
      </c>
      <c r="J10" s="63">
        <v>770</v>
      </c>
      <c r="K10" s="63">
        <f t="shared" si="2"/>
        <v>770</v>
      </c>
      <c r="L10" s="62" t="str">
        <f t="shared" si="3"/>
        <v/>
      </c>
      <c r="M10" s="63"/>
    </row>
    <row r="11" spans="2:14" s="46" customFormat="1" ht="15">
      <c r="B11" s="534">
        <f t="shared" si="0"/>
        <v>8</v>
      </c>
      <c r="C11" s="56" t="s">
        <v>2262</v>
      </c>
      <c r="D11" s="56" t="s">
        <v>2276</v>
      </c>
      <c r="E11" s="57" t="s">
        <v>2279</v>
      </c>
      <c r="F11" s="58"/>
      <c r="G11" s="59">
        <v>45220</v>
      </c>
      <c r="H11" s="57" t="s">
        <v>135</v>
      </c>
      <c r="I11" s="62">
        <f t="shared" si="1"/>
        <v>45.181818181818244</v>
      </c>
      <c r="J11" s="63">
        <v>497</v>
      </c>
      <c r="K11" s="63">
        <f t="shared" si="2"/>
        <v>497</v>
      </c>
      <c r="L11" s="62" t="str">
        <f t="shared" si="3"/>
        <v/>
      </c>
      <c r="M11" s="63"/>
    </row>
    <row r="12" spans="2:14" s="46" customFormat="1" ht="15">
      <c r="B12" s="534">
        <f t="shared" si="0"/>
        <v>9</v>
      </c>
      <c r="C12" s="56" t="s">
        <v>2262</v>
      </c>
      <c r="D12" s="56" t="s">
        <v>2276</v>
      </c>
      <c r="E12" s="57" t="s">
        <v>2280</v>
      </c>
      <c r="F12" s="58"/>
      <c r="G12" s="59">
        <v>45220</v>
      </c>
      <c r="H12" s="57" t="s">
        <v>135</v>
      </c>
      <c r="I12" s="62">
        <f t="shared" si="1"/>
        <v>17.909090909090935</v>
      </c>
      <c r="J12" s="63">
        <v>197</v>
      </c>
      <c r="K12" s="63">
        <f t="shared" si="2"/>
        <v>197</v>
      </c>
      <c r="L12" s="62" t="str">
        <f t="shared" si="3"/>
        <v/>
      </c>
      <c r="M12" s="63"/>
    </row>
    <row r="13" spans="2:14" s="46" customFormat="1" ht="15">
      <c r="B13" s="534">
        <f t="shared" si="0"/>
        <v>10</v>
      </c>
      <c r="C13" s="56" t="s">
        <v>2281</v>
      </c>
      <c r="D13" s="56" t="s">
        <v>2282</v>
      </c>
      <c r="E13" s="57"/>
      <c r="F13" s="58" t="s">
        <v>2271</v>
      </c>
      <c r="G13" s="59">
        <v>45220</v>
      </c>
      <c r="H13" s="57" t="s">
        <v>135</v>
      </c>
      <c r="I13" s="62">
        <f t="shared" si="1"/>
        <v>26.727272727272748</v>
      </c>
      <c r="J13" s="63">
        <v>294</v>
      </c>
      <c r="K13" s="63">
        <f t="shared" si="2"/>
        <v>294</v>
      </c>
      <c r="L13" s="62" t="str">
        <f t="shared" si="3"/>
        <v/>
      </c>
      <c r="M13" s="63"/>
    </row>
    <row r="14" spans="2:14" s="46" customFormat="1" ht="15">
      <c r="B14" s="534">
        <f t="shared" si="0"/>
        <v>11</v>
      </c>
      <c r="C14" s="56" t="s">
        <v>2262</v>
      </c>
      <c r="D14" s="56" t="s">
        <v>2283</v>
      </c>
      <c r="E14" s="57" t="s">
        <v>2284</v>
      </c>
      <c r="F14" s="58"/>
      <c r="G14" s="59">
        <v>45220</v>
      </c>
      <c r="H14" s="57" t="s">
        <v>45</v>
      </c>
      <c r="I14" s="62">
        <f t="shared" si="1"/>
        <v>10.000000000000014</v>
      </c>
      <c r="J14" s="63">
        <v>110</v>
      </c>
      <c r="K14" s="63">
        <f t="shared" si="2"/>
        <v>110</v>
      </c>
      <c r="L14" s="62" t="str">
        <f t="shared" si="3"/>
        <v/>
      </c>
      <c r="M14" s="63"/>
    </row>
    <row r="15" spans="2:14" s="46" customFormat="1" ht="15">
      <c r="B15" s="534">
        <f t="shared" si="0"/>
        <v>12</v>
      </c>
      <c r="C15" s="56" t="s">
        <v>2262</v>
      </c>
      <c r="D15" s="56" t="s">
        <v>2285</v>
      </c>
      <c r="E15" s="57" t="s">
        <v>2286</v>
      </c>
      <c r="F15" s="58"/>
      <c r="G15" s="59">
        <v>45220</v>
      </c>
      <c r="H15" s="57" t="s">
        <v>45</v>
      </c>
      <c r="I15" s="62">
        <f t="shared" si="1"/>
        <v>10.000000000000014</v>
      </c>
      <c r="J15" s="63">
        <v>110</v>
      </c>
      <c r="K15" s="63">
        <f t="shared" si="2"/>
        <v>110</v>
      </c>
      <c r="L15" s="62" t="str">
        <f t="shared" si="3"/>
        <v/>
      </c>
      <c r="M15" s="63"/>
    </row>
    <row r="16" spans="2:14" s="46" customFormat="1" ht="15">
      <c r="B16" s="534">
        <f t="shared" si="0"/>
        <v>13</v>
      </c>
      <c r="C16" s="56" t="s">
        <v>2262</v>
      </c>
      <c r="D16" s="56" t="s">
        <v>2287</v>
      </c>
      <c r="E16" s="57" t="s">
        <v>2288</v>
      </c>
      <c r="F16" s="58"/>
      <c r="G16" s="59">
        <v>45220</v>
      </c>
      <c r="H16" s="57" t="s">
        <v>45</v>
      </c>
      <c r="I16" s="62">
        <f t="shared" si="1"/>
        <v>10.000000000000014</v>
      </c>
      <c r="J16" s="63">
        <v>110</v>
      </c>
      <c r="K16" s="63">
        <f t="shared" si="2"/>
        <v>110</v>
      </c>
      <c r="L16" s="62" t="str">
        <f t="shared" si="3"/>
        <v/>
      </c>
      <c r="M16" s="63"/>
    </row>
    <row r="17" spans="2:13" s="46" customFormat="1" ht="15">
      <c r="B17" s="534">
        <f t="shared" si="0"/>
        <v>14</v>
      </c>
      <c r="C17" s="56" t="s">
        <v>2262</v>
      </c>
      <c r="D17" s="56" t="s">
        <v>2289</v>
      </c>
      <c r="E17" s="57" t="s">
        <v>2290</v>
      </c>
      <c r="F17" s="58"/>
      <c r="G17" s="59">
        <v>45220</v>
      </c>
      <c r="H17" s="57" t="s">
        <v>45</v>
      </c>
      <c r="I17" s="62">
        <f t="shared" si="1"/>
        <v>10.000000000000014</v>
      </c>
      <c r="J17" s="63">
        <v>110</v>
      </c>
      <c r="K17" s="63">
        <f t="shared" si="2"/>
        <v>110</v>
      </c>
      <c r="L17" s="62" t="str">
        <f t="shared" si="3"/>
        <v/>
      </c>
      <c r="M17" s="63"/>
    </row>
    <row r="18" spans="2:13" s="46" customFormat="1" ht="15">
      <c r="B18" s="534">
        <f t="shared" si="0"/>
        <v>15</v>
      </c>
      <c r="C18" s="56" t="s">
        <v>2262</v>
      </c>
      <c r="D18" s="56" t="s">
        <v>2291</v>
      </c>
      <c r="E18" s="57" t="s">
        <v>2292</v>
      </c>
      <c r="F18" s="58"/>
      <c r="G18" s="59">
        <v>45220</v>
      </c>
      <c r="H18" s="57" t="s">
        <v>45</v>
      </c>
      <c r="I18" s="62">
        <f t="shared" si="1"/>
        <v>10.000000000000014</v>
      </c>
      <c r="J18" s="63">
        <v>110</v>
      </c>
      <c r="K18" s="63">
        <f t="shared" si="2"/>
        <v>110</v>
      </c>
      <c r="L18" s="62" t="str">
        <f t="shared" si="3"/>
        <v/>
      </c>
      <c r="M18" s="63"/>
    </row>
    <row r="19" spans="2:13" s="46" customFormat="1" ht="15">
      <c r="B19" s="534">
        <f t="shared" si="0"/>
        <v>16</v>
      </c>
      <c r="C19" s="56" t="s">
        <v>2262</v>
      </c>
      <c r="D19" s="56" t="s">
        <v>2293</v>
      </c>
      <c r="E19" s="57" t="s">
        <v>2294</v>
      </c>
      <c r="F19" s="58"/>
      <c r="G19" s="59">
        <v>45220</v>
      </c>
      <c r="H19" s="57" t="s">
        <v>45</v>
      </c>
      <c r="I19" s="62">
        <f t="shared" si="1"/>
        <v>10.000000000000014</v>
      </c>
      <c r="J19" s="63">
        <v>110</v>
      </c>
      <c r="K19" s="63">
        <f t="shared" si="2"/>
        <v>110</v>
      </c>
      <c r="L19" s="62" t="str">
        <f t="shared" si="3"/>
        <v/>
      </c>
      <c r="M19" s="63"/>
    </row>
    <row r="20" spans="2:13" s="46" customFormat="1" ht="15">
      <c r="B20" s="534">
        <f t="shared" si="0"/>
        <v>17</v>
      </c>
      <c r="C20" s="56" t="s">
        <v>2262</v>
      </c>
      <c r="D20" s="56" t="s">
        <v>2295</v>
      </c>
      <c r="E20" s="57" t="s">
        <v>2296</v>
      </c>
      <c r="F20" s="58"/>
      <c r="G20" s="59">
        <v>45220</v>
      </c>
      <c r="H20" s="57" t="s">
        <v>45</v>
      </c>
      <c r="I20" s="62">
        <f t="shared" si="1"/>
        <v>10.000000000000014</v>
      </c>
      <c r="J20" s="63">
        <v>110</v>
      </c>
      <c r="K20" s="63">
        <f t="shared" si="2"/>
        <v>110</v>
      </c>
      <c r="L20" s="62" t="str">
        <f t="shared" si="3"/>
        <v/>
      </c>
      <c r="M20" s="63"/>
    </row>
    <row r="21" spans="2:13" s="46" customFormat="1" ht="15">
      <c r="B21" s="534">
        <f t="shared" si="0"/>
        <v>18</v>
      </c>
      <c r="C21" s="56" t="s">
        <v>2281</v>
      </c>
      <c r="D21" s="56" t="s">
        <v>2282</v>
      </c>
      <c r="E21" s="57"/>
      <c r="F21" s="58"/>
      <c r="G21" s="59">
        <v>45227</v>
      </c>
      <c r="H21" s="57" t="s">
        <v>2297</v>
      </c>
      <c r="I21" s="62">
        <f t="shared" si="1"/>
        <v>286.36363636363649</v>
      </c>
      <c r="J21" s="63">
        <v>3150</v>
      </c>
      <c r="K21" s="63">
        <f t="shared" si="2"/>
        <v>3150</v>
      </c>
      <c r="L21" s="62" t="str">
        <f t="shared" si="3"/>
        <v/>
      </c>
      <c r="M21" s="63"/>
    </row>
    <row r="22" spans="2:13" s="46" customFormat="1" ht="15">
      <c r="B22" s="534">
        <f t="shared" si="0"/>
        <v>19</v>
      </c>
      <c r="C22" s="56" t="s">
        <v>2262</v>
      </c>
      <c r="D22" s="56" t="s">
        <v>2266</v>
      </c>
      <c r="E22" s="57" t="s">
        <v>2298</v>
      </c>
      <c r="F22" s="58" t="s">
        <v>2299</v>
      </c>
      <c r="G22" s="59">
        <v>45227</v>
      </c>
      <c r="H22" s="57" t="s">
        <v>2297</v>
      </c>
      <c r="I22" s="62">
        <f t="shared" si="1"/>
        <v>30</v>
      </c>
      <c r="J22" s="63">
        <v>330</v>
      </c>
      <c r="K22" s="63">
        <f t="shared" si="2"/>
        <v>330</v>
      </c>
      <c r="L22" s="62" t="str">
        <f t="shared" si="3"/>
        <v/>
      </c>
      <c r="M22" s="63"/>
    </row>
    <row r="23" spans="2:13" s="46" customFormat="1" ht="15">
      <c r="B23" s="534">
        <f t="shared" si="0"/>
        <v>20</v>
      </c>
      <c r="C23" s="56" t="s">
        <v>2262</v>
      </c>
      <c r="D23" s="56" t="s">
        <v>2266</v>
      </c>
      <c r="E23" s="57" t="s">
        <v>2300</v>
      </c>
      <c r="F23" s="58"/>
      <c r="G23" s="59">
        <v>45227</v>
      </c>
      <c r="H23" s="57" t="s">
        <v>129</v>
      </c>
      <c r="I23" s="62">
        <f t="shared" si="1"/>
        <v>14.818181818181841</v>
      </c>
      <c r="J23" s="63">
        <v>163</v>
      </c>
      <c r="K23" s="63">
        <f t="shared" si="2"/>
        <v>163</v>
      </c>
      <c r="L23" s="62" t="str">
        <f t="shared" si="3"/>
        <v/>
      </c>
      <c r="M23" s="63"/>
    </row>
    <row r="24" spans="2:13" s="46" customFormat="1" ht="15">
      <c r="B24" s="534">
        <f t="shared" si="0"/>
        <v>21</v>
      </c>
      <c r="C24" s="56" t="s">
        <v>2262</v>
      </c>
      <c r="D24" s="56" t="s">
        <v>2266</v>
      </c>
      <c r="E24" s="57" t="s">
        <v>2301</v>
      </c>
      <c r="F24" s="58"/>
      <c r="G24" s="59">
        <v>45227</v>
      </c>
      <c r="H24" s="57" t="s">
        <v>129</v>
      </c>
      <c r="I24" s="62">
        <f t="shared" si="1"/>
        <v>15.727272727272748</v>
      </c>
      <c r="J24" s="63">
        <v>173</v>
      </c>
      <c r="K24" s="63">
        <f t="shared" si="2"/>
        <v>173</v>
      </c>
      <c r="L24" s="62" t="str">
        <f t="shared" si="3"/>
        <v/>
      </c>
      <c r="M24" s="63"/>
    </row>
    <row r="25" spans="2:13" s="46" customFormat="1" ht="15">
      <c r="B25" s="534">
        <f t="shared" si="0"/>
        <v>22</v>
      </c>
      <c r="C25" s="56" t="s">
        <v>2281</v>
      </c>
      <c r="D25" s="56" t="s">
        <v>2282</v>
      </c>
      <c r="E25" s="57"/>
      <c r="F25" s="58" t="s">
        <v>2271</v>
      </c>
      <c r="G25" s="59">
        <v>45227</v>
      </c>
      <c r="H25" s="57" t="s">
        <v>129</v>
      </c>
      <c r="I25" s="62">
        <f t="shared" si="1"/>
        <v>49.454545454545496</v>
      </c>
      <c r="J25" s="63">
        <v>544</v>
      </c>
      <c r="K25" s="63">
        <f t="shared" si="2"/>
        <v>544</v>
      </c>
      <c r="L25" s="62" t="str">
        <f t="shared" si="3"/>
        <v/>
      </c>
      <c r="M25" s="63"/>
    </row>
    <row r="26" spans="2:13" s="46" customFormat="1" ht="15">
      <c r="B26" s="534">
        <f t="shared" si="0"/>
        <v>23</v>
      </c>
      <c r="C26" s="56" t="s">
        <v>2268</v>
      </c>
      <c r="D26" s="56" t="s">
        <v>2269</v>
      </c>
      <c r="E26" s="57" t="s">
        <v>2270</v>
      </c>
      <c r="F26" s="58" t="s">
        <v>2271</v>
      </c>
      <c r="G26" s="59">
        <v>45227</v>
      </c>
      <c r="H26" s="57" t="s">
        <v>129</v>
      </c>
      <c r="I26" s="62">
        <f t="shared" si="1"/>
        <v>75.454545454545496</v>
      </c>
      <c r="J26" s="63">
        <v>830</v>
      </c>
      <c r="K26" s="63">
        <f t="shared" si="2"/>
        <v>830</v>
      </c>
      <c r="L26" s="62" t="str">
        <f t="shared" si="3"/>
        <v/>
      </c>
      <c r="M26" s="63"/>
    </row>
    <row r="27" spans="2:13" s="46" customFormat="1" ht="15">
      <c r="B27" s="534">
        <f t="shared" si="0"/>
        <v>24</v>
      </c>
      <c r="C27" s="56" t="s">
        <v>2268</v>
      </c>
      <c r="D27" s="56" t="s">
        <v>2269</v>
      </c>
      <c r="E27" s="57" t="s">
        <v>2272</v>
      </c>
      <c r="F27" s="58" t="s">
        <v>2271</v>
      </c>
      <c r="G27" s="59">
        <v>45227</v>
      </c>
      <c r="H27" s="57" t="s">
        <v>129</v>
      </c>
      <c r="I27" s="62">
        <f t="shared" si="1"/>
        <v>21.454545454545467</v>
      </c>
      <c r="J27" s="63">
        <v>236</v>
      </c>
      <c r="K27" s="63">
        <f t="shared" si="2"/>
        <v>236</v>
      </c>
      <c r="L27" s="62" t="str">
        <f t="shared" si="3"/>
        <v/>
      </c>
      <c r="M27" s="63"/>
    </row>
    <row r="28" spans="2:13" s="46" customFormat="1" ht="15">
      <c r="B28" s="534">
        <f t="shared" si="0"/>
        <v>25</v>
      </c>
      <c r="C28" s="56" t="s">
        <v>2262</v>
      </c>
      <c r="D28" s="56" t="s">
        <v>2302</v>
      </c>
      <c r="E28" s="57" t="s">
        <v>2303</v>
      </c>
      <c r="F28" s="58"/>
      <c r="G28" s="59">
        <v>45227</v>
      </c>
      <c r="H28" s="57" t="s">
        <v>45</v>
      </c>
      <c r="I28" s="62">
        <f t="shared" si="1"/>
        <v>50.000000000000057</v>
      </c>
      <c r="J28" s="63">
        <v>550</v>
      </c>
      <c r="K28" s="63">
        <f t="shared" si="2"/>
        <v>550</v>
      </c>
      <c r="L28" s="62" t="str">
        <f t="shared" si="3"/>
        <v/>
      </c>
      <c r="M28" s="63"/>
    </row>
    <row r="29" spans="2:13" s="46" customFormat="1" ht="15">
      <c r="B29" s="534">
        <f t="shared" si="0"/>
        <v>26</v>
      </c>
      <c r="C29" s="56" t="s">
        <v>2262</v>
      </c>
      <c r="D29" s="56" t="s">
        <v>2295</v>
      </c>
      <c r="E29" s="57" t="s">
        <v>2296</v>
      </c>
      <c r="F29" s="58" t="s">
        <v>2304</v>
      </c>
      <c r="G29" s="59">
        <v>45227</v>
      </c>
      <c r="H29" s="57" t="s">
        <v>45</v>
      </c>
      <c r="I29" s="62">
        <f t="shared" si="1"/>
        <v>30</v>
      </c>
      <c r="J29" s="63">
        <v>330</v>
      </c>
      <c r="K29" s="63">
        <f t="shared" si="2"/>
        <v>330</v>
      </c>
      <c r="L29" s="62" t="str">
        <f t="shared" si="3"/>
        <v/>
      </c>
      <c r="M29" s="63"/>
    </row>
    <row r="30" spans="2:13" s="46" customFormat="1" ht="15">
      <c r="B30" s="534">
        <f t="shared" si="0"/>
        <v>27</v>
      </c>
      <c r="C30" s="56" t="s">
        <v>2281</v>
      </c>
      <c r="D30" s="56" t="s">
        <v>2282</v>
      </c>
      <c r="E30" s="57"/>
      <c r="F30" s="58"/>
      <c r="G30" s="59">
        <v>45233</v>
      </c>
      <c r="H30" s="57" t="s">
        <v>2297</v>
      </c>
      <c r="I30" s="62">
        <f t="shared" si="1"/>
        <v>277.27272727272748</v>
      </c>
      <c r="J30" s="63">
        <v>3050</v>
      </c>
      <c r="K30" s="63">
        <f t="shared" si="2"/>
        <v>3050</v>
      </c>
      <c r="L30" s="62" t="str">
        <f t="shared" si="3"/>
        <v/>
      </c>
      <c r="M30" s="63"/>
    </row>
    <row r="31" spans="2:13" s="46" customFormat="1" ht="15">
      <c r="B31" s="534">
        <f t="shared" si="0"/>
        <v>28</v>
      </c>
      <c r="C31" s="56" t="s">
        <v>2262</v>
      </c>
      <c r="D31" s="56" t="s">
        <v>2305</v>
      </c>
      <c r="E31" s="57" t="s">
        <v>2306</v>
      </c>
      <c r="F31" s="58"/>
      <c r="G31" s="59">
        <v>45238</v>
      </c>
      <c r="H31" s="57" t="s">
        <v>2307</v>
      </c>
      <c r="I31" s="62">
        <f t="shared" si="1"/>
        <v>452.72727272727298</v>
      </c>
      <c r="J31" s="63">
        <v>4980</v>
      </c>
      <c r="K31" s="63">
        <f t="shared" si="2"/>
        <v>4980</v>
      </c>
      <c r="L31" s="62" t="str">
        <f t="shared" si="3"/>
        <v/>
      </c>
      <c r="M31" s="63"/>
    </row>
    <row r="32" spans="2:13" s="46" customFormat="1" ht="15">
      <c r="B32" s="534">
        <f t="shared" si="0"/>
        <v>29</v>
      </c>
      <c r="C32" s="56" t="s">
        <v>2281</v>
      </c>
      <c r="D32" s="56" t="s">
        <v>2282</v>
      </c>
      <c r="E32" s="57" t="s">
        <v>2308</v>
      </c>
      <c r="F32" s="58"/>
      <c r="G32" s="59">
        <v>45243</v>
      </c>
      <c r="H32" s="57" t="s">
        <v>27</v>
      </c>
      <c r="I32" s="62">
        <f t="shared" si="1"/>
        <v>304.54545454545496</v>
      </c>
      <c r="J32" s="63">
        <v>3350</v>
      </c>
      <c r="K32" s="63">
        <f t="shared" si="2"/>
        <v>3350</v>
      </c>
      <c r="L32" s="62" t="str">
        <f t="shared" si="3"/>
        <v/>
      </c>
      <c r="M32" s="63"/>
    </row>
    <row r="33" spans="2:13" s="46" customFormat="1" ht="15">
      <c r="B33" s="534">
        <f t="shared" si="0"/>
        <v>30</v>
      </c>
      <c r="C33" s="56" t="s">
        <v>2262</v>
      </c>
      <c r="D33" s="56" t="s">
        <v>2276</v>
      </c>
      <c r="E33" s="57" t="s">
        <v>2309</v>
      </c>
      <c r="F33" s="58"/>
      <c r="G33" s="59">
        <v>45245</v>
      </c>
      <c r="H33" s="57" t="s">
        <v>129</v>
      </c>
      <c r="I33" s="62">
        <f t="shared" si="1"/>
        <v>52.727272727272748</v>
      </c>
      <c r="J33" s="63">
        <v>580</v>
      </c>
      <c r="K33" s="63">
        <f t="shared" si="2"/>
        <v>580</v>
      </c>
      <c r="L33" s="62" t="str">
        <f t="shared" si="3"/>
        <v/>
      </c>
      <c r="M33" s="63"/>
    </row>
    <row r="34" spans="2:13" s="46" customFormat="1" ht="15">
      <c r="B34" s="534">
        <f t="shared" si="0"/>
        <v>31</v>
      </c>
      <c r="C34" s="56" t="s">
        <v>2262</v>
      </c>
      <c r="D34" s="56" t="s">
        <v>2276</v>
      </c>
      <c r="E34" s="57" t="s">
        <v>2310</v>
      </c>
      <c r="F34" s="58"/>
      <c r="G34" s="59">
        <v>45245</v>
      </c>
      <c r="H34" s="57" t="s">
        <v>129</v>
      </c>
      <c r="I34" s="62">
        <f t="shared" si="1"/>
        <v>54.727272727272748</v>
      </c>
      <c r="J34" s="63">
        <v>602</v>
      </c>
      <c r="K34" s="63">
        <f t="shared" si="2"/>
        <v>602</v>
      </c>
      <c r="L34" s="62" t="str">
        <f t="shared" si="3"/>
        <v/>
      </c>
      <c r="M34" s="63"/>
    </row>
    <row r="35" spans="2:13" s="46" customFormat="1" ht="15">
      <c r="B35" s="534">
        <f t="shared" si="0"/>
        <v>32</v>
      </c>
      <c r="C35" s="56" t="s">
        <v>2262</v>
      </c>
      <c r="D35" s="56" t="s">
        <v>2276</v>
      </c>
      <c r="E35" s="57" t="s">
        <v>2311</v>
      </c>
      <c r="F35" s="58"/>
      <c r="G35" s="59">
        <v>45245</v>
      </c>
      <c r="H35" s="57" t="s">
        <v>129</v>
      </c>
      <c r="I35" s="62">
        <f t="shared" si="1"/>
        <v>10.000000000000014</v>
      </c>
      <c r="J35" s="63">
        <v>110</v>
      </c>
      <c r="K35" s="63">
        <f t="shared" si="2"/>
        <v>110</v>
      </c>
      <c r="L35" s="62" t="str">
        <f t="shared" si="3"/>
        <v/>
      </c>
      <c r="M35" s="63"/>
    </row>
    <row r="36" spans="2:13" s="46" customFormat="1" ht="15">
      <c r="B36" s="534">
        <f t="shared" si="0"/>
        <v>33</v>
      </c>
      <c r="C36" s="56" t="s">
        <v>2273</v>
      </c>
      <c r="D36" s="56" t="s">
        <v>2274</v>
      </c>
      <c r="E36" s="57" t="s">
        <v>2312</v>
      </c>
      <c r="F36" s="58"/>
      <c r="G36" s="59">
        <v>45245</v>
      </c>
      <c r="H36" s="57" t="s">
        <v>129</v>
      </c>
      <c r="I36" s="62">
        <f t="shared" si="1"/>
        <v>69.727272727272748</v>
      </c>
      <c r="J36" s="63">
        <v>767</v>
      </c>
      <c r="K36" s="63">
        <f t="shared" si="2"/>
        <v>767</v>
      </c>
      <c r="L36" s="62" t="str">
        <f t="shared" si="3"/>
        <v/>
      </c>
      <c r="M36" s="63"/>
    </row>
    <row r="37" spans="2:13" s="46" customFormat="1" ht="15">
      <c r="B37" s="534">
        <f t="shared" si="0"/>
        <v>34</v>
      </c>
      <c r="C37" s="56" t="s">
        <v>2273</v>
      </c>
      <c r="D37" s="56" t="s">
        <v>2274</v>
      </c>
      <c r="E37" s="57" t="s">
        <v>2313</v>
      </c>
      <c r="F37" s="58"/>
      <c r="G37" s="59">
        <v>45245</v>
      </c>
      <c r="H37" s="57" t="s">
        <v>129</v>
      </c>
      <c r="I37" s="62">
        <f t="shared" si="1"/>
        <v>36.727272727272748</v>
      </c>
      <c r="J37" s="63">
        <v>404</v>
      </c>
      <c r="K37" s="63">
        <f t="shared" si="2"/>
        <v>404</v>
      </c>
      <c r="L37" s="62" t="str">
        <f t="shared" si="3"/>
        <v/>
      </c>
      <c r="M37" s="63"/>
    </row>
    <row r="38" spans="2:13" s="46" customFormat="1" ht="15">
      <c r="B38" s="534">
        <f t="shared" si="0"/>
        <v>35</v>
      </c>
      <c r="C38" s="56" t="s">
        <v>2262</v>
      </c>
      <c r="D38" s="56" t="s">
        <v>2266</v>
      </c>
      <c r="E38" s="57" t="s">
        <v>2314</v>
      </c>
      <c r="F38" s="58"/>
      <c r="G38" s="59">
        <v>45245</v>
      </c>
      <c r="H38" s="57" t="s">
        <v>129</v>
      </c>
      <c r="I38" s="62">
        <f t="shared" si="1"/>
        <v>17.727272727272748</v>
      </c>
      <c r="J38" s="63">
        <v>195</v>
      </c>
      <c r="K38" s="63">
        <f t="shared" si="2"/>
        <v>195</v>
      </c>
      <c r="L38" s="62" t="str">
        <f t="shared" si="3"/>
        <v/>
      </c>
      <c r="M38" s="63"/>
    </row>
    <row r="39" spans="2:13" s="46" customFormat="1" ht="15">
      <c r="B39" s="534">
        <f t="shared" si="0"/>
        <v>36</v>
      </c>
      <c r="C39" s="56" t="s">
        <v>2262</v>
      </c>
      <c r="D39" s="56" t="s">
        <v>2315</v>
      </c>
      <c r="E39" s="57" t="s">
        <v>2316</v>
      </c>
      <c r="F39" s="58"/>
      <c r="G39" s="59">
        <v>45245</v>
      </c>
      <c r="H39" s="57" t="s">
        <v>129</v>
      </c>
      <c r="I39" s="62">
        <f t="shared" si="1"/>
        <v>26.727272727272748</v>
      </c>
      <c r="J39" s="63">
        <v>294</v>
      </c>
      <c r="K39" s="63">
        <f t="shared" si="2"/>
        <v>294</v>
      </c>
      <c r="L39" s="62" t="str">
        <f t="shared" si="3"/>
        <v/>
      </c>
      <c r="M39" s="63"/>
    </row>
    <row r="40" spans="2:13" s="46" customFormat="1" ht="15">
      <c r="B40" s="534">
        <f t="shared" si="0"/>
        <v>37</v>
      </c>
      <c r="C40" s="56" t="s">
        <v>2262</v>
      </c>
      <c r="D40" s="56" t="s">
        <v>2315</v>
      </c>
      <c r="E40" s="57" t="s">
        <v>2317</v>
      </c>
      <c r="F40" s="58"/>
      <c r="G40" s="59">
        <v>45245</v>
      </c>
      <c r="H40" s="57" t="s">
        <v>129</v>
      </c>
      <c r="I40" s="62">
        <f t="shared" si="1"/>
        <v>26.727272727272748</v>
      </c>
      <c r="J40" s="63">
        <v>294</v>
      </c>
      <c r="K40" s="63">
        <f t="shared" si="2"/>
        <v>294</v>
      </c>
      <c r="L40" s="62" t="str">
        <f t="shared" si="3"/>
        <v/>
      </c>
      <c r="M40" s="63"/>
    </row>
    <row r="41" spans="2:13" s="46" customFormat="1" ht="15">
      <c r="B41" s="534">
        <f t="shared" si="0"/>
        <v>38</v>
      </c>
      <c r="C41" s="56" t="s">
        <v>2268</v>
      </c>
      <c r="D41" s="56" t="s">
        <v>2318</v>
      </c>
      <c r="E41" s="57" t="s">
        <v>2319</v>
      </c>
      <c r="F41" s="58"/>
      <c r="G41" s="59">
        <v>45246</v>
      </c>
      <c r="H41" s="57" t="s">
        <v>2307</v>
      </c>
      <c r="I41" s="62">
        <f t="shared" si="1"/>
        <v>1254.5454545454559</v>
      </c>
      <c r="J41" s="63">
        <v>13800</v>
      </c>
      <c r="K41" s="63">
        <f t="shared" si="2"/>
        <v>13800</v>
      </c>
      <c r="L41" s="62" t="str">
        <f t="shared" si="3"/>
        <v/>
      </c>
      <c r="M41" s="63"/>
    </row>
    <row r="42" spans="2:13" s="46" customFormat="1" ht="15">
      <c r="B42" s="534">
        <f t="shared" si="0"/>
        <v>39</v>
      </c>
      <c r="C42" s="56" t="s">
        <v>2281</v>
      </c>
      <c r="D42" s="56" t="s">
        <v>2282</v>
      </c>
      <c r="E42" s="57"/>
      <c r="F42" s="58"/>
      <c r="G42" s="59">
        <v>45248</v>
      </c>
      <c r="H42" s="57" t="s">
        <v>2297</v>
      </c>
      <c r="I42" s="62">
        <f t="shared" si="1"/>
        <v>231.81818181818198</v>
      </c>
      <c r="J42" s="63">
        <v>2550</v>
      </c>
      <c r="K42" s="63">
        <f t="shared" si="2"/>
        <v>2550</v>
      </c>
      <c r="L42" s="62" t="str">
        <f t="shared" si="3"/>
        <v/>
      </c>
      <c r="M42" s="63"/>
    </row>
    <row r="43" spans="2:13" s="46" customFormat="1" ht="15">
      <c r="B43" s="534">
        <f t="shared" si="0"/>
        <v>40</v>
      </c>
      <c r="C43" s="56" t="s">
        <v>2268</v>
      </c>
      <c r="D43" s="56" t="s">
        <v>2283</v>
      </c>
      <c r="E43" s="57" t="s">
        <v>2320</v>
      </c>
      <c r="F43" s="58"/>
      <c r="G43" s="59">
        <v>45248</v>
      </c>
      <c r="H43" s="57" t="s">
        <v>45</v>
      </c>
      <c r="I43" s="62">
        <f t="shared" si="1"/>
        <v>20.000000000000028</v>
      </c>
      <c r="J43" s="63">
        <v>220</v>
      </c>
      <c r="K43" s="63">
        <f t="shared" si="2"/>
        <v>220</v>
      </c>
      <c r="L43" s="62" t="str">
        <f t="shared" si="3"/>
        <v/>
      </c>
      <c r="M43" s="63"/>
    </row>
    <row r="44" spans="2:13" s="46" customFormat="1" ht="15">
      <c r="B44" s="534">
        <f t="shared" si="0"/>
        <v>41</v>
      </c>
      <c r="C44" s="56" t="s">
        <v>2262</v>
      </c>
      <c r="D44" s="56" t="s">
        <v>2321</v>
      </c>
      <c r="E44" s="57" t="s">
        <v>2322</v>
      </c>
      <c r="F44" s="58"/>
      <c r="G44" s="59">
        <v>45248</v>
      </c>
      <c r="H44" s="57" t="s">
        <v>45</v>
      </c>
      <c r="I44" s="62">
        <f t="shared" si="1"/>
        <v>30</v>
      </c>
      <c r="J44" s="63">
        <v>330</v>
      </c>
      <c r="K44" s="63">
        <f t="shared" si="2"/>
        <v>330</v>
      </c>
      <c r="L44" s="62" t="str">
        <f t="shared" si="3"/>
        <v/>
      </c>
      <c r="M44" s="63"/>
    </row>
    <row r="45" spans="2:13" s="46" customFormat="1" ht="15">
      <c r="B45" s="534">
        <f t="shared" si="0"/>
        <v>42</v>
      </c>
      <c r="C45" s="56" t="s">
        <v>2262</v>
      </c>
      <c r="D45" s="56" t="s">
        <v>2287</v>
      </c>
      <c r="E45" s="57" t="s">
        <v>2323</v>
      </c>
      <c r="F45" s="58"/>
      <c r="G45" s="59">
        <v>45248</v>
      </c>
      <c r="H45" s="57" t="s">
        <v>45</v>
      </c>
      <c r="I45" s="62">
        <f t="shared" si="1"/>
        <v>50.000000000000057</v>
      </c>
      <c r="J45" s="63">
        <v>550</v>
      </c>
      <c r="K45" s="63">
        <f t="shared" si="2"/>
        <v>550</v>
      </c>
      <c r="L45" s="62" t="str">
        <f t="shared" si="3"/>
        <v/>
      </c>
      <c r="M45" s="63"/>
    </row>
    <row r="46" spans="2:13" s="46" customFormat="1" ht="15">
      <c r="B46" s="534">
        <f t="shared" si="0"/>
        <v>43</v>
      </c>
      <c r="C46" s="56" t="s">
        <v>2262</v>
      </c>
      <c r="D46" s="56" t="s">
        <v>2324</v>
      </c>
      <c r="E46" s="57" t="s">
        <v>2325</v>
      </c>
      <c r="F46" s="58"/>
      <c r="G46" s="59">
        <v>45248</v>
      </c>
      <c r="H46" s="57" t="s">
        <v>45</v>
      </c>
      <c r="I46" s="62">
        <f t="shared" si="1"/>
        <v>100.00000000000011</v>
      </c>
      <c r="J46" s="63">
        <v>1100</v>
      </c>
      <c r="K46" s="63">
        <f t="shared" si="2"/>
        <v>1100</v>
      </c>
      <c r="L46" s="62" t="str">
        <f t="shared" si="3"/>
        <v/>
      </c>
      <c r="M46" s="63"/>
    </row>
    <row r="47" spans="2:13" s="46" customFormat="1" ht="15">
      <c r="B47" s="534">
        <f t="shared" si="0"/>
        <v>44</v>
      </c>
      <c r="C47" s="56" t="s">
        <v>2262</v>
      </c>
      <c r="D47" s="56" t="s">
        <v>2266</v>
      </c>
      <c r="E47" s="57" t="s">
        <v>3366</v>
      </c>
      <c r="F47" s="58" t="s">
        <v>2327</v>
      </c>
      <c r="G47" s="59">
        <v>45249</v>
      </c>
      <c r="H47" s="57" t="s">
        <v>129</v>
      </c>
      <c r="I47" s="62">
        <f t="shared" si="1"/>
        <v>88.181818181818244</v>
      </c>
      <c r="J47" s="63">
        <v>970</v>
      </c>
      <c r="K47" s="63">
        <f t="shared" si="2"/>
        <v>970</v>
      </c>
      <c r="L47" s="62" t="str">
        <f t="shared" si="3"/>
        <v/>
      </c>
      <c r="M47" s="63"/>
    </row>
    <row r="48" spans="2:13" s="46" customFormat="1" ht="15">
      <c r="B48" s="534">
        <f t="shared" si="0"/>
        <v>45</v>
      </c>
      <c r="C48" s="56" t="s">
        <v>2262</v>
      </c>
      <c r="D48" s="56" t="s">
        <v>2276</v>
      </c>
      <c r="E48" s="57" t="s">
        <v>2328</v>
      </c>
      <c r="F48" s="58"/>
      <c r="G48" s="59">
        <v>45249</v>
      </c>
      <c r="H48" s="57" t="s">
        <v>129</v>
      </c>
      <c r="I48" s="62">
        <f t="shared" si="1"/>
        <v>43.636363636363683</v>
      </c>
      <c r="J48" s="63">
        <v>480</v>
      </c>
      <c r="K48" s="63">
        <f t="shared" si="2"/>
        <v>480</v>
      </c>
      <c r="L48" s="62" t="str">
        <f t="shared" si="3"/>
        <v/>
      </c>
      <c r="M48" s="63"/>
    </row>
    <row r="49" spans="2:14" s="46" customFormat="1" ht="15">
      <c r="B49" s="534">
        <f t="shared" si="0"/>
        <v>46</v>
      </c>
      <c r="C49" s="56" t="s">
        <v>2262</v>
      </c>
      <c r="D49" s="56" t="s">
        <v>2276</v>
      </c>
      <c r="E49" s="57" t="s">
        <v>2329</v>
      </c>
      <c r="F49" s="58"/>
      <c r="G49" s="59">
        <v>45249</v>
      </c>
      <c r="H49" s="57" t="s">
        <v>129</v>
      </c>
      <c r="I49" s="62">
        <f t="shared" si="1"/>
        <v>25.000000000000028</v>
      </c>
      <c r="J49" s="63">
        <v>275</v>
      </c>
      <c r="K49" s="63">
        <f t="shared" si="2"/>
        <v>275</v>
      </c>
      <c r="L49" s="62" t="str">
        <f t="shared" si="3"/>
        <v/>
      </c>
      <c r="M49" s="63"/>
    </row>
    <row r="50" spans="2:14" s="46" customFormat="1" ht="15">
      <c r="B50" s="534">
        <f t="shared" si="0"/>
        <v>47</v>
      </c>
      <c r="C50" s="56" t="s">
        <v>2262</v>
      </c>
      <c r="D50" s="56" t="s">
        <v>2330</v>
      </c>
      <c r="E50" s="57" t="s">
        <v>2331</v>
      </c>
      <c r="F50" s="58"/>
      <c r="G50" s="59">
        <v>45249</v>
      </c>
      <c r="H50" s="57" t="s">
        <v>129</v>
      </c>
      <c r="I50" s="62">
        <f t="shared" si="1"/>
        <v>87.63636363636374</v>
      </c>
      <c r="J50" s="63">
        <v>964</v>
      </c>
      <c r="K50" s="63">
        <f t="shared" si="2"/>
        <v>964</v>
      </c>
      <c r="L50" s="62" t="str">
        <f t="shared" si="3"/>
        <v/>
      </c>
      <c r="M50" s="63"/>
    </row>
    <row r="51" spans="2:14" s="46" customFormat="1" ht="15">
      <c r="B51" s="534">
        <f t="shared" si="0"/>
        <v>48</v>
      </c>
      <c r="C51" s="56" t="s">
        <v>2262</v>
      </c>
      <c r="D51" s="56" t="s">
        <v>2332</v>
      </c>
      <c r="E51" s="57" t="s">
        <v>2333</v>
      </c>
      <c r="F51" s="58"/>
      <c r="G51" s="59">
        <v>45249</v>
      </c>
      <c r="H51" s="57" t="s">
        <v>129</v>
      </c>
      <c r="I51" s="62">
        <f t="shared" si="1"/>
        <v>26.727272727272748</v>
      </c>
      <c r="J51" s="63">
        <v>294</v>
      </c>
      <c r="K51" s="63">
        <f t="shared" si="2"/>
        <v>294</v>
      </c>
      <c r="L51" s="62" t="str">
        <f t="shared" si="3"/>
        <v/>
      </c>
      <c r="M51" s="63"/>
    </row>
    <row r="52" spans="2:14" s="46" customFormat="1" ht="15">
      <c r="B52" s="534">
        <f t="shared" si="0"/>
        <v>49</v>
      </c>
      <c r="C52" s="56" t="s">
        <v>2262</v>
      </c>
      <c r="D52" s="56" t="s">
        <v>2334</v>
      </c>
      <c r="E52" s="57" t="s">
        <v>2335</v>
      </c>
      <c r="F52" s="58"/>
      <c r="G52" s="59">
        <v>45249</v>
      </c>
      <c r="H52" s="57" t="s">
        <v>129</v>
      </c>
      <c r="I52" s="62">
        <f t="shared" si="1"/>
        <v>23.818181818181841</v>
      </c>
      <c r="J52" s="63">
        <v>262</v>
      </c>
      <c r="K52" s="63">
        <f t="shared" si="2"/>
        <v>262</v>
      </c>
      <c r="L52" s="62" t="str">
        <f t="shared" si="3"/>
        <v/>
      </c>
      <c r="M52" s="63"/>
    </row>
    <row r="53" spans="2:14" s="46" customFormat="1" ht="15">
      <c r="B53" s="534">
        <f t="shared" si="0"/>
        <v>50</v>
      </c>
      <c r="C53" s="56" t="s">
        <v>2262</v>
      </c>
      <c r="D53" s="56" t="s">
        <v>2334</v>
      </c>
      <c r="E53" s="57" t="s">
        <v>2336</v>
      </c>
      <c r="F53" s="58"/>
      <c r="G53" s="59">
        <v>45249</v>
      </c>
      <c r="H53" s="57" t="s">
        <v>129</v>
      </c>
      <c r="I53" s="62">
        <f t="shared" si="1"/>
        <v>16.181818181818187</v>
      </c>
      <c r="J53" s="63">
        <v>178</v>
      </c>
      <c r="K53" s="63">
        <f t="shared" si="2"/>
        <v>178</v>
      </c>
      <c r="L53" s="62" t="str">
        <f t="shared" si="3"/>
        <v/>
      </c>
      <c r="M53" s="63"/>
    </row>
    <row r="54" spans="2:14" s="46" customFormat="1" ht="15">
      <c r="B54" s="534">
        <f t="shared" si="0"/>
        <v>51</v>
      </c>
      <c r="C54" s="56" t="s">
        <v>2262</v>
      </c>
      <c r="D54" s="56" t="s">
        <v>2337</v>
      </c>
      <c r="E54" s="56" t="s">
        <v>2338</v>
      </c>
      <c r="F54" s="58"/>
      <c r="G54" s="59">
        <v>45249</v>
      </c>
      <c r="H54" s="57" t="s">
        <v>129</v>
      </c>
      <c r="I54" s="62">
        <f t="shared" si="1"/>
        <v>30.454545454545496</v>
      </c>
      <c r="J54" s="63">
        <v>335</v>
      </c>
      <c r="K54" s="63">
        <f t="shared" si="2"/>
        <v>335</v>
      </c>
      <c r="L54" s="62" t="str">
        <f t="shared" si="3"/>
        <v/>
      </c>
      <c r="M54" s="63"/>
    </row>
    <row r="55" spans="2:14" s="46" customFormat="1" ht="15">
      <c r="B55" s="534">
        <f t="shared" si="0"/>
        <v>52</v>
      </c>
      <c r="C55" s="56" t="s">
        <v>2281</v>
      </c>
      <c r="D55" s="56" t="s">
        <v>2282</v>
      </c>
      <c r="E55" s="57" t="s">
        <v>2339</v>
      </c>
      <c r="F55" s="58"/>
      <c r="G55" s="59">
        <v>45249</v>
      </c>
      <c r="H55" s="57" t="s">
        <v>27</v>
      </c>
      <c r="I55" s="62">
        <f t="shared" si="1"/>
        <v>31.81818181818187</v>
      </c>
      <c r="J55" s="63">
        <v>350</v>
      </c>
      <c r="K55" s="63">
        <f t="shared" si="2"/>
        <v>350</v>
      </c>
      <c r="L55" s="62" t="str">
        <f t="shared" si="3"/>
        <v/>
      </c>
      <c r="M55" s="63"/>
    </row>
    <row r="56" spans="2:14" s="46" customFormat="1" ht="15">
      <c r="B56" s="534">
        <f t="shared" si="0"/>
        <v>53</v>
      </c>
      <c r="C56" s="56" t="s">
        <v>2281</v>
      </c>
      <c r="D56" s="56" t="s">
        <v>2282</v>
      </c>
      <c r="E56" s="57" t="s">
        <v>2340</v>
      </c>
      <c r="F56" s="58"/>
      <c r="G56" s="59">
        <v>45250</v>
      </c>
      <c r="H56" s="57" t="s">
        <v>27</v>
      </c>
      <c r="I56" s="62">
        <f t="shared" si="1"/>
        <v>270.90909090909099</v>
      </c>
      <c r="J56" s="63">
        <v>2980</v>
      </c>
      <c r="K56" s="63">
        <f t="shared" si="2"/>
        <v>2980</v>
      </c>
      <c r="L56" s="62" t="str">
        <f t="shared" si="3"/>
        <v/>
      </c>
      <c r="M56" s="63"/>
    </row>
    <row r="57" spans="2:14" s="46" customFormat="1" ht="15">
      <c r="B57" s="534">
        <f t="shared" si="0"/>
        <v>54</v>
      </c>
      <c r="C57" s="56" t="s">
        <v>2281</v>
      </c>
      <c r="D57" s="56" t="s">
        <v>2282</v>
      </c>
      <c r="E57" s="57" t="s">
        <v>2340</v>
      </c>
      <c r="F57" s="58"/>
      <c r="G57" s="59">
        <v>45250</v>
      </c>
      <c r="H57" s="57" t="s">
        <v>27</v>
      </c>
      <c r="I57" s="62">
        <f t="shared" si="1"/>
        <v>270.90909090909099</v>
      </c>
      <c r="J57" s="63">
        <v>2980</v>
      </c>
      <c r="K57" s="63">
        <f t="shared" si="2"/>
        <v>2980</v>
      </c>
      <c r="L57" s="62" t="str">
        <f t="shared" si="3"/>
        <v/>
      </c>
      <c r="M57" s="63"/>
    </row>
    <row r="58" spans="2:14" s="46" customFormat="1" ht="15">
      <c r="B58" s="534">
        <f t="shared" si="0"/>
        <v>55</v>
      </c>
      <c r="C58" s="56" t="s">
        <v>2281</v>
      </c>
      <c r="D58" s="56" t="s">
        <v>2282</v>
      </c>
      <c r="E58" s="57" t="s">
        <v>2341</v>
      </c>
      <c r="F58" s="58"/>
      <c r="G58" s="59">
        <v>45251</v>
      </c>
      <c r="H58" s="57" t="s">
        <v>27</v>
      </c>
      <c r="I58" s="62">
        <f t="shared" si="1"/>
        <v>118.09090909090924</v>
      </c>
      <c r="J58" s="63">
        <v>1299</v>
      </c>
      <c r="K58" s="63">
        <f t="shared" si="2"/>
        <v>1299</v>
      </c>
      <c r="L58" s="62" t="str">
        <f t="shared" si="3"/>
        <v/>
      </c>
      <c r="M58" s="63"/>
    </row>
    <row r="59" spans="2:14" s="46" customFormat="1" ht="15">
      <c r="B59" s="534">
        <f t="shared" si="0"/>
        <v>56</v>
      </c>
      <c r="C59" s="56" t="s">
        <v>2342</v>
      </c>
      <c r="D59" s="56" t="s">
        <v>2343</v>
      </c>
      <c r="E59" s="57" t="s">
        <v>2344</v>
      </c>
      <c r="F59" s="58"/>
      <c r="G59" s="59">
        <v>45252</v>
      </c>
      <c r="H59" s="57" t="s">
        <v>27</v>
      </c>
      <c r="I59" s="62">
        <f t="shared" si="1"/>
        <v>109.09090909090924</v>
      </c>
      <c r="J59" s="63">
        <v>1200</v>
      </c>
      <c r="K59" s="63">
        <f t="shared" si="2"/>
        <v>1200</v>
      </c>
      <c r="L59" s="62" t="str">
        <f t="shared" si="3"/>
        <v/>
      </c>
      <c r="M59" s="63"/>
    </row>
    <row r="60" spans="2:14" s="46" customFormat="1" ht="15">
      <c r="B60" s="534">
        <f t="shared" si="0"/>
        <v>57</v>
      </c>
      <c r="C60" s="56" t="s">
        <v>2262</v>
      </c>
      <c r="D60" s="56" t="s">
        <v>2283</v>
      </c>
      <c r="E60" s="57" t="s">
        <v>2320</v>
      </c>
      <c r="F60" s="58"/>
      <c r="G60" s="59">
        <v>45253</v>
      </c>
      <c r="H60" s="57" t="s">
        <v>45</v>
      </c>
      <c r="I60" s="62">
        <f t="shared" si="1"/>
        <v>20.000000000000028</v>
      </c>
      <c r="J60" s="63">
        <v>220</v>
      </c>
      <c r="K60" s="63">
        <f t="shared" si="2"/>
        <v>220</v>
      </c>
      <c r="L60" s="62" t="str">
        <f t="shared" si="3"/>
        <v/>
      </c>
      <c r="M60" s="63"/>
    </row>
    <row r="61" spans="2:14" s="46" customFormat="1" ht="15">
      <c r="B61" s="534">
        <f t="shared" si="0"/>
        <v>58</v>
      </c>
      <c r="C61" s="56" t="s">
        <v>2262</v>
      </c>
      <c r="D61" s="56" t="s">
        <v>2283</v>
      </c>
      <c r="E61" s="57" t="s">
        <v>2345</v>
      </c>
      <c r="F61" s="58"/>
      <c r="G61" s="59">
        <v>45253</v>
      </c>
      <c r="H61" s="57" t="s">
        <v>45</v>
      </c>
      <c r="I61" s="62">
        <f t="shared" si="1"/>
        <v>10.000000000000014</v>
      </c>
      <c r="J61" s="63">
        <v>110</v>
      </c>
      <c r="K61" s="63">
        <f t="shared" si="2"/>
        <v>110</v>
      </c>
      <c r="L61" s="62" t="str">
        <f t="shared" si="3"/>
        <v/>
      </c>
      <c r="M61" s="63"/>
    </row>
    <row r="62" spans="2:14" s="46" customFormat="1" ht="15">
      <c r="B62" s="534">
        <f t="shared" si="0"/>
        <v>59</v>
      </c>
      <c r="C62" s="56" t="s">
        <v>2262</v>
      </c>
      <c r="D62" s="56" t="s">
        <v>2346</v>
      </c>
      <c r="E62" s="57" t="s">
        <v>2347</v>
      </c>
      <c r="F62" s="58"/>
      <c r="G62" s="59">
        <v>45253</v>
      </c>
      <c r="H62" s="57" t="s">
        <v>45</v>
      </c>
      <c r="I62" s="62">
        <f t="shared" si="1"/>
        <v>10.000000000000014</v>
      </c>
      <c r="J62" s="63">
        <v>110</v>
      </c>
      <c r="K62" s="63">
        <f t="shared" si="2"/>
        <v>110</v>
      </c>
      <c r="L62" s="62" t="str">
        <f t="shared" si="3"/>
        <v/>
      </c>
      <c r="M62" s="63"/>
    </row>
    <row r="63" spans="2:14" s="46" customFormat="1" ht="15">
      <c r="B63" s="534">
        <f t="shared" si="0"/>
        <v>60</v>
      </c>
      <c r="C63" s="56" t="s">
        <v>2262</v>
      </c>
      <c r="D63" s="56" t="s">
        <v>2348</v>
      </c>
      <c r="E63" s="57" t="s">
        <v>2349</v>
      </c>
      <c r="F63" s="58"/>
      <c r="G63" s="59">
        <v>45253</v>
      </c>
      <c r="H63" s="57" t="s">
        <v>45</v>
      </c>
      <c r="I63" s="62">
        <f t="shared" si="1"/>
        <v>10.000000000000014</v>
      </c>
      <c r="J63" s="63">
        <v>110</v>
      </c>
      <c r="K63" s="63">
        <f t="shared" si="2"/>
        <v>110</v>
      </c>
      <c r="L63" s="62" t="str">
        <f t="shared" si="3"/>
        <v/>
      </c>
      <c r="M63" s="63"/>
    </row>
    <row r="64" spans="2:14" s="46" customFormat="1" ht="15">
      <c r="B64" s="534">
        <f t="shared" si="0"/>
        <v>61</v>
      </c>
      <c r="C64" s="56" t="s">
        <v>2262</v>
      </c>
      <c r="D64" s="56" t="s">
        <v>2350</v>
      </c>
      <c r="E64" s="57" t="s">
        <v>2351</v>
      </c>
      <c r="F64" s="58"/>
      <c r="G64" s="59">
        <v>45253</v>
      </c>
      <c r="H64" s="57" t="s">
        <v>45</v>
      </c>
      <c r="I64" s="62">
        <f t="shared" si="1"/>
        <v>10.000000000000014</v>
      </c>
      <c r="J64" s="63">
        <v>110</v>
      </c>
      <c r="K64" s="63">
        <f t="shared" si="2"/>
        <v>0</v>
      </c>
      <c r="L64" s="62" t="str">
        <f t="shared" si="3"/>
        <v/>
      </c>
      <c r="M64" s="63"/>
      <c r="N64" s="66" t="s">
        <v>24</v>
      </c>
    </row>
    <row r="65" spans="2:13" s="46" customFormat="1" ht="15">
      <c r="B65" s="534">
        <f t="shared" si="0"/>
        <v>62</v>
      </c>
      <c r="C65" s="56" t="s">
        <v>2262</v>
      </c>
      <c r="D65" s="56" t="s">
        <v>2352</v>
      </c>
      <c r="E65" s="57" t="s">
        <v>2353</v>
      </c>
      <c r="F65" s="58"/>
      <c r="G65" s="59">
        <v>45253</v>
      </c>
      <c r="H65" s="57" t="s">
        <v>45</v>
      </c>
      <c r="I65" s="62">
        <f t="shared" si="1"/>
        <v>10.000000000000014</v>
      </c>
      <c r="J65" s="63">
        <v>110</v>
      </c>
      <c r="K65" s="63">
        <f t="shared" si="2"/>
        <v>110</v>
      </c>
      <c r="L65" s="62" t="str">
        <f t="shared" si="3"/>
        <v/>
      </c>
      <c r="M65" s="63"/>
    </row>
    <row r="66" spans="2:13" s="46" customFormat="1" ht="15">
      <c r="B66" s="534">
        <f t="shared" si="0"/>
        <v>63</v>
      </c>
      <c r="C66" s="56" t="s">
        <v>2262</v>
      </c>
      <c r="D66" s="56" t="s">
        <v>2354</v>
      </c>
      <c r="E66" s="57" t="s">
        <v>2355</v>
      </c>
      <c r="F66" s="58"/>
      <c r="G66" s="59">
        <v>45253</v>
      </c>
      <c r="H66" s="57" t="s">
        <v>45</v>
      </c>
      <c r="I66" s="62">
        <f t="shared" si="1"/>
        <v>10.000000000000014</v>
      </c>
      <c r="J66" s="63">
        <v>110</v>
      </c>
      <c r="K66" s="63">
        <f t="shared" si="2"/>
        <v>110</v>
      </c>
      <c r="L66" s="62" t="str">
        <f t="shared" si="3"/>
        <v/>
      </c>
      <c r="M66" s="63"/>
    </row>
    <row r="67" spans="2:13" s="46" customFormat="1" ht="15">
      <c r="B67" s="534">
        <f t="shared" si="0"/>
        <v>64</v>
      </c>
      <c r="C67" s="56" t="s">
        <v>2262</v>
      </c>
      <c r="D67" s="56" t="s">
        <v>2356</v>
      </c>
      <c r="E67" s="57" t="s">
        <v>2357</v>
      </c>
      <c r="F67" s="58" t="s">
        <v>2271</v>
      </c>
      <c r="G67" s="59">
        <v>45253</v>
      </c>
      <c r="H67" s="57" t="s">
        <v>45</v>
      </c>
      <c r="I67" s="62">
        <f t="shared" si="1"/>
        <v>20.000000000000028</v>
      </c>
      <c r="J67" s="63">
        <v>220</v>
      </c>
      <c r="K67" s="63">
        <f t="shared" si="2"/>
        <v>220</v>
      </c>
      <c r="L67" s="62" t="str">
        <f t="shared" si="3"/>
        <v/>
      </c>
      <c r="M67" s="63"/>
    </row>
    <row r="68" spans="2:13" s="46" customFormat="1" ht="15">
      <c r="B68" s="534">
        <f t="shared" ref="B68:B131" si="4">ROW()-3</f>
        <v>65</v>
      </c>
      <c r="C68" s="56" t="s">
        <v>2262</v>
      </c>
      <c r="D68" s="56" t="s">
        <v>2266</v>
      </c>
      <c r="E68" s="57" t="s">
        <v>2358</v>
      </c>
      <c r="F68" s="58"/>
      <c r="G68" s="59">
        <v>45253</v>
      </c>
      <c r="H68" s="57" t="s">
        <v>45</v>
      </c>
      <c r="I68" s="62">
        <f t="shared" ref="I68:I131" si="5">IF(J68&lt;&gt;"",J68-J68/1.1,"")</f>
        <v>10.000000000000014</v>
      </c>
      <c r="J68" s="63">
        <v>110</v>
      </c>
      <c r="K68" s="63">
        <f t="shared" ref="K68:K131" si="6">IF(N68="",J68,0)</f>
        <v>110</v>
      </c>
      <c r="L68" s="62" t="str">
        <f t="shared" ref="L68:L131" si="7">IF(M68&lt;&gt;"",M68-M68/1.1,"")</f>
        <v/>
      </c>
      <c r="M68" s="63"/>
    </row>
    <row r="69" spans="2:13" s="46" customFormat="1" ht="15">
      <c r="B69" s="534">
        <f t="shared" si="4"/>
        <v>66</v>
      </c>
      <c r="C69" s="56" t="s">
        <v>2262</v>
      </c>
      <c r="D69" s="56" t="s">
        <v>2359</v>
      </c>
      <c r="E69" s="57" t="s">
        <v>2360</v>
      </c>
      <c r="F69" s="58"/>
      <c r="G69" s="59">
        <v>45254</v>
      </c>
      <c r="H69" s="57" t="s">
        <v>2307</v>
      </c>
      <c r="I69" s="62">
        <f t="shared" si="5"/>
        <v>668.18181818181893</v>
      </c>
      <c r="J69" s="63">
        <v>7350</v>
      </c>
      <c r="K69" s="63">
        <f t="shared" si="6"/>
        <v>7350</v>
      </c>
      <c r="L69" s="62" t="str">
        <f t="shared" si="7"/>
        <v/>
      </c>
      <c r="M69" s="63"/>
    </row>
    <row r="70" spans="2:13" s="46" customFormat="1" ht="15">
      <c r="B70" s="534">
        <f t="shared" si="4"/>
        <v>67</v>
      </c>
      <c r="C70" s="56" t="s">
        <v>2262</v>
      </c>
      <c r="D70" s="56" t="s">
        <v>2361</v>
      </c>
      <c r="E70" s="57" t="s">
        <v>2362</v>
      </c>
      <c r="F70" s="58"/>
      <c r="G70" s="59">
        <v>45254</v>
      </c>
      <c r="H70" s="57" t="s">
        <v>2307</v>
      </c>
      <c r="I70" s="62">
        <f t="shared" si="5"/>
        <v>208.90909090909099</v>
      </c>
      <c r="J70" s="63">
        <v>2298</v>
      </c>
      <c r="K70" s="63">
        <f t="shared" si="6"/>
        <v>2298</v>
      </c>
      <c r="L70" s="62" t="str">
        <f t="shared" si="7"/>
        <v/>
      </c>
      <c r="M70" s="63"/>
    </row>
    <row r="71" spans="2:13" s="46" customFormat="1" ht="15">
      <c r="B71" s="534">
        <f t="shared" si="4"/>
        <v>68</v>
      </c>
      <c r="C71" s="56" t="s">
        <v>2262</v>
      </c>
      <c r="D71" s="56" t="s">
        <v>2305</v>
      </c>
      <c r="E71" s="57" t="s">
        <v>2363</v>
      </c>
      <c r="F71" s="58" t="s">
        <v>2271</v>
      </c>
      <c r="G71" s="59">
        <v>45254</v>
      </c>
      <c r="H71" s="57" t="s">
        <v>2307</v>
      </c>
      <c r="I71" s="62">
        <f t="shared" si="5"/>
        <v>523.45454545454595</v>
      </c>
      <c r="J71" s="63">
        <v>5758</v>
      </c>
      <c r="K71" s="63">
        <f t="shared" si="6"/>
        <v>5758</v>
      </c>
      <c r="L71" s="62" t="str">
        <f t="shared" si="7"/>
        <v/>
      </c>
      <c r="M71" s="63"/>
    </row>
    <row r="72" spans="2:13" s="46" customFormat="1" ht="15">
      <c r="B72" s="534">
        <f t="shared" si="4"/>
        <v>69</v>
      </c>
      <c r="C72" s="56" t="s">
        <v>2262</v>
      </c>
      <c r="D72" s="56" t="s">
        <v>2364</v>
      </c>
      <c r="E72" s="57" t="s">
        <v>2365</v>
      </c>
      <c r="F72" s="58"/>
      <c r="G72" s="59">
        <v>45254</v>
      </c>
      <c r="H72" s="57" t="s">
        <v>2307</v>
      </c>
      <c r="I72" s="62">
        <f t="shared" si="5"/>
        <v>292.09090909090946</v>
      </c>
      <c r="J72" s="63">
        <v>3213</v>
      </c>
      <c r="K72" s="63">
        <f t="shared" si="6"/>
        <v>3213</v>
      </c>
      <c r="L72" s="62" t="str">
        <f t="shared" si="7"/>
        <v/>
      </c>
      <c r="M72" s="63"/>
    </row>
    <row r="73" spans="2:13" s="46" customFormat="1" ht="15">
      <c r="B73" s="534">
        <f t="shared" si="4"/>
        <v>70</v>
      </c>
      <c r="C73" s="56" t="s">
        <v>2262</v>
      </c>
      <c r="D73" s="56" t="s">
        <v>2366</v>
      </c>
      <c r="E73" s="57" t="s">
        <v>2367</v>
      </c>
      <c r="F73" s="58"/>
      <c r="G73" s="59">
        <v>45254</v>
      </c>
      <c r="H73" s="57" t="s">
        <v>2307</v>
      </c>
      <c r="I73" s="62">
        <f t="shared" si="5"/>
        <v>252.72727272727298</v>
      </c>
      <c r="J73" s="63">
        <v>2780</v>
      </c>
      <c r="K73" s="63">
        <f t="shared" si="6"/>
        <v>2780</v>
      </c>
      <c r="L73" s="62" t="str">
        <f t="shared" si="7"/>
        <v/>
      </c>
      <c r="M73" s="63"/>
    </row>
    <row r="74" spans="2:13" s="46" customFormat="1" ht="15">
      <c r="B74" s="534">
        <f t="shared" si="4"/>
        <v>71</v>
      </c>
      <c r="C74" s="56" t="s">
        <v>2262</v>
      </c>
      <c r="D74" s="56" t="s">
        <v>2368</v>
      </c>
      <c r="E74" s="57" t="s">
        <v>2369</v>
      </c>
      <c r="F74" s="58"/>
      <c r="G74" s="59">
        <v>45254</v>
      </c>
      <c r="H74" s="57" t="s">
        <v>2307</v>
      </c>
      <c r="I74" s="62">
        <f t="shared" si="5"/>
        <v>209</v>
      </c>
      <c r="J74" s="63">
        <v>2299</v>
      </c>
      <c r="K74" s="63">
        <f t="shared" si="6"/>
        <v>2299</v>
      </c>
      <c r="L74" s="62" t="str">
        <f t="shared" si="7"/>
        <v/>
      </c>
      <c r="M74" s="63"/>
    </row>
    <row r="75" spans="2:13" s="46" customFormat="1" ht="15">
      <c r="B75" s="534">
        <f t="shared" si="4"/>
        <v>72</v>
      </c>
      <c r="C75" s="56" t="s">
        <v>2262</v>
      </c>
      <c r="D75" s="56" t="s">
        <v>2370</v>
      </c>
      <c r="E75" s="57" t="s">
        <v>2371</v>
      </c>
      <c r="F75" s="58"/>
      <c r="G75" s="59">
        <v>45255</v>
      </c>
      <c r="H75" s="57" t="s">
        <v>129</v>
      </c>
      <c r="I75" s="62">
        <f t="shared" si="5"/>
        <v>12.727272727272734</v>
      </c>
      <c r="J75" s="63">
        <v>140</v>
      </c>
      <c r="K75" s="63">
        <f t="shared" si="6"/>
        <v>140</v>
      </c>
      <c r="L75" s="62" t="str">
        <f t="shared" si="7"/>
        <v/>
      </c>
      <c r="M75" s="63"/>
    </row>
    <row r="76" spans="2:13" s="46" customFormat="1" ht="15">
      <c r="B76" s="534">
        <f t="shared" si="4"/>
        <v>73</v>
      </c>
      <c r="C76" s="56" t="s">
        <v>2262</v>
      </c>
      <c r="D76" s="56" t="s">
        <v>2334</v>
      </c>
      <c r="E76" s="57" t="s">
        <v>2372</v>
      </c>
      <c r="F76" s="58"/>
      <c r="G76" s="59">
        <v>45255</v>
      </c>
      <c r="H76" s="57" t="s">
        <v>129</v>
      </c>
      <c r="I76" s="62">
        <f t="shared" si="5"/>
        <v>10.727272727272734</v>
      </c>
      <c r="J76" s="63">
        <v>118</v>
      </c>
      <c r="K76" s="63">
        <f t="shared" si="6"/>
        <v>118</v>
      </c>
      <c r="L76" s="62" t="str">
        <f t="shared" si="7"/>
        <v/>
      </c>
      <c r="M76" s="63"/>
    </row>
    <row r="77" spans="2:13" s="46" customFormat="1" ht="15">
      <c r="B77" s="534">
        <f t="shared" si="4"/>
        <v>74</v>
      </c>
      <c r="C77" s="56" t="s">
        <v>2262</v>
      </c>
      <c r="D77" s="56" t="s">
        <v>2373</v>
      </c>
      <c r="E77" s="57" t="s">
        <v>2374</v>
      </c>
      <c r="F77" s="58"/>
      <c r="G77" s="59">
        <v>45255</v>
      </c>
      <c r="H77" s="57" t="s">
        <v>129</v>
      </c>
      <c r="I77" s="62">
        <f t="shared" si="5"/>
        <v>39.727272727272748</v>
      </c>
      <c r="J77" s="63">
        <v>437</v>
      </c>
      <c r="K77" s="63">
        <f t="shared" si="6"/>
        <v>437</v>
      </c>
      <c r="L77" s="62" t="str">
        <f t="shared" si="7"/>
        <v/>
      </c>
      <c r="M77" s="63"/>
    </row>
    <row r="78" spans="2:13" s="46" customFormat="1" ht="15">
      <c r="B78" s="534">
        <f t="shared" si="4"/>
        <v>75</v>
      </c>
      <c r="C78" s="56" t="s">
        <v>2262</v>
      </c>
      <c r="D78" s="56" t="s">
        <v>2373</v>
      </c>
      <c r="E78" s="57" t="s">
        <v>2375</v>
      </c>
      <c r="F78" s="58" t="s">
        <v>2271</v>
      </c>
      <c r="G78" s="59">
        <v>45255</v>
      </c>
      <c r="H78" s="57" t="s">
        <v>129</v>
      </c>
      <c r="I78" s="62">
        <f t="shared" si="5"/>
        <v>39.636363636363683</v>
      </c>
      <c r="J78" s="63">
        <v>436</v>
      </c>
      <c r="K78" s="63">
        <f t="shared" si="6"/>
        <v>436</v>
      </c>
      <c r="L78" s="62" t="str">
        <f t="shared" si="7"/>
        <v/>
      </c>
      <c r="M78" s="63"/>
    </row>
    <row r="79" spans="2:13" s="46" customFormat="1" ht="15">
      <c r="B79" s="534">
        <f t="shared" si="4"/>
        <v>76</v>
      </c>
      <c r="C79" s="56" t="s">
        <v>2268</v>
      </c>
      <c r="D79" s="56" t="s">
        <v>2269</v>
      </c>
      <c r="E79" s="57" t="s">
        <v>2376</v>
      </c>
      <c r="F79" s="58" t="s">
        <v>2377</v>
      </c>
      <c r="G79" s="59">
        <v>45255</v>
      </c>
      <c r="H79" s="57" t="s">
        <v>129</v>
      </c>
      <c r="I79" s="62">
        <f t="shared" si="5"/>
        <v>41.81818181818187</v>
      </c>
      <c r="J79" s="63">
        <v>460</v>
      </c>
      <c r="K79" s="63">
        <f t="shared" si="6"/>
        <v>460</v>
      </c>
      <c r="L79" s="62" t="str">
        <f t="shared" si="7"/>
        <v/>
      </c>
      <c r="M79" s="63"/>
    </row>
    <row r="80" spans="2:13" s="46" customFormat="1" ht="15">
      <c r="B80" s="534">
        <f t="shared" si="4"/>
        <v>77</v>
      </c>
      <c r="C80" s="56" t="s">
        <v>2262</v>
      </c>
      <c r="D80" s="56" t="s">
        <v>2315</v>
      </c>
      <c r="E80" s="57" t="s">
        <v>2378</v>
      </c>
      <c r="F80" s="58" t="s">
        <v>2271</v>
      </c>
      <c r="G80" s="59">
        <v>45255</v>
      </c>
      <c r="H80" s="57" t="s">
        <v>129</v>
      </c>
      <c r="I80" s="62">
        <f t="shared" si="5"/>
        <v>45.454545454545496</v>
      </c>
      <c r="J80" s="63">
        <v>500</v>
      </c>
      <c r="K80" s="63">
        <f t="shared" si="6"/>
        <v>500</v>
      </c>
      <c r="L80" s="62" t="str">
        <f t="shared" si="7"/>
        <v/>
      </c>
      <c r="M80" s="63"/>
    </row>
    <row r="81" spans="2:13" s="46" customFormat="1" ht="15">
      <c r="B81" s="534">
        <f t="shared" si="4"/>
        <v>78</v>
      </c>
      <c r="C81" s="56" t="s">
        <v>2262</v>
      </c>
      <c r="D81" s="56" t="s">
        <v>2379</v>
      </c>
      <c r="E81" s="57" t="s">
        <v>2380</v>
      </c>
      <c r="F81" s="58"/>
      <c r="G81" s="59">
        <v>45255</v>
      </c>
      <c r="H81" s="57" t="s">
        <v>2265</v>
      </c>
      <c r="I81" s="62">
        <f t="shared" si="5"/>
        <v>10.000000000000014</v>
      </c>
      <c r="J81" s="63">
        <v>110</v>
      </c>
      <c r="K81" s="63">
        <f t="shared" si="6"/>
        <v>110</v>
      </c>
      <c r="L81" s="62" t="str">
        <f t="shared" si="7"/>
        <v/>
      </c>
      <c r="M81" s="63"/>
    </row>
    <row r="82" spans="2:13" s="46" customFormat="1" ht="15">
      <c r="B82" s="534">
        <f t="shared" si="4"/>
        <v>79</v>
      </c>
      <c r="C82" s="56" t="s">
        <v>2262</v>
      </c>
      <c r="D82" s="56" t="s">
        <v>2381</v>
      </c>
      <c r="E82" s="57" t="s">
        <v>2382</v>
      </c>
      <c r="F82" s="58" t="s">
        <v>2271</v>
      </c>
      <c r="G82" s="59">
        <v>45255</v>
      </c>
      <c r="H82" s="57" t="s">
        <v>2265</v>
      </c>
      <c r="I82" s="62">
        <f t="shared" si="5"/>
        <v>20.000000000000028</v>
      </c>
      <c r="J82" s="63">
        <v>220</v>
      </c>
      <c r="K82" s="63">
        <f t="shared" si="6"/>
        <v>220</v>
      </c>
      <c r="L82" s="62" t="str">
        <f t="shared" si="7"/>
        <v/>
      </c>
      <c r="M82" s="63"/>
    </row>
    <row r="83" spans="2:13" s="46" customFormat="1" ht="15">
      <c r="B83" s="534">
        <f t="shared" si="4"/>
        <v>80</v>
      </c>
      <c r="C83" s="56" t="s">
        <v>2262</v>
      </c>
      <c r="D83" s="56" t="s">
        <v>2383</v>
      </c>
      <c r="E83" s="57" t="s">
        <v>2384</v>
      </c>
      <c r="F83" s="58"/>
      <c r="G83" s="59">
        <v>45255</v>
      </c>
      <c r="H83" s="57" t="s">
        <v>2265</v>
      </c>
      <c r="I83" s="62">
        <f t="shared" si="5"/>
        <v>10.000000000000014</v>
      </c>
      <c r="J83" s="63">
        <v>110</v>
      </c>
      <c r="K83" s="63">
        <f t="shared" si="6"/>
        <v>110</v>
      </c>
      <c r="L83" s="62" t="str">
        <f t="shared" si="7"/>
        <v/>
      </c>
      <c r="M83" s="63"/>
    </row>
    <row r="84" spans="2:13" s="46" customFormat="1" ht="15">
      <c r="B84" s="534">
        <f t="shared" si="4"/>
        <v>81</v>
      </c>
      <c r="C84" s="56" t="s">
        <v>2262</v>
      </c>
      <c r="D84" s="56" t="s">
        <v>2385</v>
      </c>
      <c r="E84" s="57" t="s">
        <v>2386</v>
      </c>
      <c r="F84" s="58"/>
      <c r="G84" s="59">
        <v>45255</v>
      </c>
      <c r="H84" s="57" t="s">
        <v>2265</v>
      </c>
      <c r="I84" s="62">
        <f t="shared" si="5"/>
        <v>10.000000000000014</v>
      </c>
      <c r="J84" s="63">
        <v>110</v>
      </c>
      <c r="K84" s="63">
        <f t="shared" si="6"/>
        <v>110</v>
      </c>
      <c r="L84" s="62" t="str">
        <f t="shared" si="7"/>
        <v/>
      </c>
      <c r="M84" s="63"/>
    </row>
    <row r="85" spans="2:13" s="46" customFormat="1" ht="15">
      <c r="B85" s="534">
        <f t="shared" si="4"/>
        <v>82</v>
      </c>
      <c r="C85" s="56" t="s">
        <v>2262</v>
      </c>
      <c r="D85" s="56" t="s">
        <v>2354</v>
      </c>
      <c r="E85" s="57" t="s">
        <v>2387</v>
      </c>
      <c r="F85" s="58"/>
      <c r="G85" s="59">
        <v>45255</v>
      </c>
      <c r="H85" s="57" t="s">
        <v>2265</v>
      </c>
      <c r="I85" s="62">
        <f t="shared" si="5"/>
        <v>20.000000000000028</v>
      </c>
      <c r="J85" s="63">
        <v>220</v>
      </c>
      <c r="K85" s="63">
        <f t="shared" si="6"/>
        <v>220</v>
      </c>
      <c r="L85" s="62" t="str">
        <f t="shared" si="7"/>
        <v/>
      </c>
      <c r="M85" s="63"/>
    </row>
    <row r="86" spans="2:13" s="46" customFormat="1" ht="15">
      <c r="B86" s="534">
        <f t="shared" si="4"/>
        <v>83</v>
      </c>
      <c r="C86" s="56" t="s">
        <v>2262</v>
      </c>
      <c r="D86" s="56" t="s">
        <v>2388</v>
      </c>
      <c r="E86" s="57" t="s">
        <v>2389</v>
      </c>
      <c r="F86" s="58"/>
      <c r="G86" s="59">
        <v>45255</v>
      </c>
      <c r="H86" s="57" t="s">
        <v>2265</v>
      </c>
      <c r="I86" s="62">
        <f t="shared" si="5"/>
        <v>10.000000000000014</v>
      </c>
      <c r="J86" s="63">
        <v>110</v>
      </c>
      <c r="K86" s="63">
        <f t="shared" si="6"/>
        <v>110</v>
      </c>
      <c r="L86" s="62" t="str">
        <f t="shared" si="7"/>
        <v/>
      </c>
      <c r="M86" s="63"/>
    </row>
    <row r="87" spans="2:13" s="46" customFormat="1" ht="15">
      <c r="B87" s="534">
        <f t="shared" si="4"/>
        <v>84</v>
      </c>
      <c r="C87" s="56" t="s">
        <v>2262</v>
      </c>
      <c r="D87" s="56" t="s">
        <v>2390</v>
      </c>
      <c r="E87" s="57" t="s">
        <v>2391</v>
      </c>
      <c r="F87" s="58"/>
      <c r="G87" s="59">
        <v>45255</v>
      </c>
      <c r="H87" s="57" t="s">
        <v>2265</v>
      </c>
      <c r="I87" s="62">
        <f t="shared" si="5"/>
        <v>10.000000000000014</v>
      </c>
      <c r="J87" s="63">
        <v>110</v>
      </c>
      <c r="K87" s="63">
        <f t="shared" si="6"/>
        <v>110</v>
      </c>
      <c r="L87" s="62" t="str">
        <f t="shared" si="7"/>
        <v/>
      </c>
      <c r="M87" s="63"/>
    </row>
    <row r="88" spans="2:13" s="46" customFormat="1" ht="15">
      <c r="B88" s="534">
        <f t="shared" si="4"/>
        <v>85</v>
      </c>
      <c r="C88" s="56" t="s">
        <v>2262</v>
      </c>
      <c r="D88" s="56" t="s">
        <v>2392</v>
      </c>
      <c r="E88" s="57" t="s">
        <v>2393</v>
      </c>
      <c r="F88" s="58"/>
      <c r="G88" s="59">
        <v>45255</v>
      </c>
      <c r="H88" s="57" t="s">
        <v>2265</v>
      </c>
      <c r="I88" s="62">
        <f t="shared" si="5"/>
        <v>10.000000000000014</v>
      </c>
      <c r="J88" s="63">
        <v>110</v>
      </c>
      <c r="K88" s="63">
        <f t="shared" si="6"/>
        <v>110</v>
      </c>
      <c r="L88" s="62" t="str">
        <f t="shared" si="7"/>
        <v/>
      </c>
      <c r="M88" s="63"/>
    </row>
    <row r="89" spans="2:13" s="46" customFormat="1" ht="15">
      <c r="B89" s="534">
        <f t="shared" si="4"/>
        <v>86</v>
      </c>
      <c r="C89" s="56" t="s">
        <v>2262</v>
      </c>
      <c r="D89" s="56" t="s">
        <v>2394</v>
      </c>
      <c r="E89" s="57" t="s">
        <v>2395</v>
      </c>
      <c r="F89" s="58"/>
      <c r="G89" s="59">
        <v>45255</v>
      </c>
      <c r="H89" s="57" t="s">
        <v>2265</v>
      </c>
      <c r="I89" s="62">
        <f t="shared" si="5"/>
        <v>10.000000000000014</v>
      </c>
      <c r="J89" s="63">
        <v>110</v>
      </c>
      <c r="K89" s="63">
        <f t="shared" si="6"/>
        <v>110</v>
      </c>
      <c r="L89" s="62" t="str">
        <f t="shared" si="7"/>
        <v/>
      </c>
      <c r="M89" s="63"/>
    </row>
    <row r="90" spans="2:13" s="46" customFormat="1" ht="15">
      <c r="B90" s="534">
        <f t="shared" si="4"/>
        <v>87</v>
      </c>
      <c r="C90" s="56" t="s">
        <v>2262</v>
      </c>
      <c r="D90" s="56" t="s">
        <v>2305</v>
      </c>
      <c r="E90" s="57" t="s">
        <v>2363</v>
      </c>
      <c r="F90" s="58" t="s">
        <v>2377</v>
      </c>
      <c r="G90" s="59">
        <v>45256</v>
      </c>
      <c r="H90" s="57" t="s">
        <v>2307</v>
      </c>
      <c r="I90" s="62">
        <f t="shared" si="5"/>
        <v>1046.9090909090919</v>
      </c>
      <c r="J90" s="63">
        <v>11516</v>
      </c>
      <c r="K90" s="63">
        <f t="shared" si="6"/>
        <v>11516</v>
      </c>
      <c r="L90" s="62" t="str">
        <f t="shared" si="7"/>
        <v/>
      </c>
      <c r="M90" s="63"/>
    </row>
    <row r="91" spans="2:13" s="46" customFormat="1" ht="15">
      <c r="B91" s="534">
        <f t="shared" si="4"/>
        <v>88</v>
      </c>
      <c r="C91" s="56" t="s">
        <v>2281</v>
      </c>
      <c r="D91" s="56" t="s">
        <v>2282</v>
      </c>
      <c r="E91" s="57" t="s">
        <v>716</v>
      </c>
      <c r="F91" s="58"/>
      <c r="G91" s="59">
        <v>45257</v>
      </c>
      <c r="H91" s="57" t="s">
        <v>27</v>
      </c>
      <c r="I91" s="62">
        <f t="shared" si="5"/>
        <v>27.272727272727309</v>
      </c>
      <c r="J91" s="63">
        <v>300</v>
      </c>
      <c r="K91" s="63">
        <f t="shared" si="6"/>
        <v>300</v>
      </c>
      <c r="L91" s="62" t="str">
        <f t="shared" si="7"/>
        <v/>
      </c>
      <c r="M91" s="63"/>
    </row>
    <row r="92" spans="2:13" s="46" customFormat="1" ht="15">
      <c r="B92" s="534">
        <f t="shared" si="4"/>
        <v>89</v>
      </c>
      <c r="C92" s="56" t="s">
        <v>2262</v>
      </c>
      <c r="D92" s="56" t="s">
        <v>2364</v>
      </c>
      <c r="E92" s="57" t="s">
        <v>2396</v>
      </c>
      <c r="F92" s="58" t="s">
        <v>2304</v>
      </c>
      <c r="G92" s="59">
        <v>45260</v>
      </c>
      <c r="H92" s="57" t="s">
        <v>2307</v>
      </c>
      <c r="I92" s="62">
        <f t="shared" si="5"/>
        <v>136.63636363636374</v>
      </c>
      <c r="J92" s="63">
        <v>1503</v>
      </c>
      <c r="K92" s="63">
        <f t="shared" si="6"/>
        <v>1503</v>
      </c>
      <c r="L92" s="62" t="str">
        <f t="shared" si="7"/>
        <v/>
      </c>
      <c r="M92" s="63"/>
    </row>
    <row r="93" spans="2:13" s="46" customFormat="1" ht="15">
      <c r="B93" s="534">
        <f t="shared" si="4"/>
        <v>90</v>
      </c>
      <c r="C93" s="56" t="s">
        <v>2262</v>
      </c>
      <c r="D93" s="56" t="s">
        <v>2397</v>
      </c>
      <c r="E93" s="57" t="s">
        <v>2398</v>
      </c>
      <c r="F93" s="64"/>
      <c r="G93" s="59">
        <v>45260</v>
      </c>
      <c r="H93" s="57" t="s">
        <v>49</v>
      </c>
      <c r="I93" s="62">
        <f t="shared" si="5"/>
        <v>10.000000000000014</v>
      </c>
      <c r="J93" s="63">
        <v>110</v>
      </c>
      <c r="K93" s="63">
        <f t="shared" si="6"/>
        <v>110</v>
      </c>
      <c r="L93" s="62" t="str">
        <f t="shared" si="7"/>
        <v/>
      </c>
      <c r="M93" s="63"/>
    </row>
    <row r="94" spans="2:13" s="46" customFormat="1" ht="15">
      <c r="B94" s="534">
        <f t="shared" si="4"/>
        <v>91</v>
      </c>
      <c r="C94" s="56" t="s">
        <v>2262</v>
      </c>
      <c r="D94" s="56" t="s">
        <v>2263</v>
      </c>
      <c r="E94" s="57" t="s">
        <v>2399</v>
      </c>
      <c r="F94" s="58"/>
      <c r="G94" s="59">
        <v>45260</v>
      </c>
      <c r="H94" s="57" t="s">
        <v>45</v>
      </c>
      <c r="I94" s="62">
        <f t="shared" si="5"/>
        <v>10.000000000000014</v>
      </c>
      <c r="J94" s="63">
        <v>110</v>
      </c>
      <c r="K94" s="63">
        <f t="shared" si="6"/>
        <v>110</v>
      </c>
      <c r="L94" s="62" t="str">
        <f t="shared" si="7"/>
        <v/>
      </c>
      <c r="M94" s="63"/>
    </row>
    <row r="95" spans="2:13" s="46" customFormat="1" ht="15">
      <c r="B95" s="534">
        <f t="shared" si="4"/>
        <v>92</v>
      </c>
      <c r="C95" s="56" t="s">
        <v>2262</v>
      </c>
      <c r="D95" s="56" t="s">
        <v>2400</v>
      </c>
      <c r="E95" s="57" t="s">
        <v>2401</v>
      </c>
      <c r="F95" s="58"/>
      <c r="G95" s="59">
        <v>45260</v>
      </c>
      <c r="H95" s="57" t="s">
        <v>45</v>
      </c>
      <c r="I95" s="62">
        <f t="shared" si="5"/>
        <v>10.000000000000014</v>
      </c>
      <c r="J95" s="63">
        <v>110</v>
      </c>
      <c r="K95" s="63">
        <f t="shared" si="6"/>
        <v>110</v>
      </c>
      <c r="L95" s="62" t="str">
        <f t="shared" si="7"/>
        <v/>
      </c>
      <c r="M95" s="63"/>
    </row>
    <row r="96" spans="2:13" s="46" customFormat="1" ht="15">
      <c r="B96" s="534">
        <f t="shared" si="4"/>
        <v>93</v>
      </c>
      <c r="C96" s="56" t="s">
        <v>2262</v>
      </c>
      <c r="D96" s="56" t="s">
        <v>2402</v>
      </c>
      <c r="E96" s="57" t="s">
        <v>2403</v>
      </c>
      <c r="F96" s="58"/>
      <c r="G96" s="59">
        <v>45260</v>
      </c>
      <c r="H96" s="57" t="s">
        <v>45</v>
      </c>
      <c r="I96" s="62">
        <f t="shared" si="5"/>
        <v>10.000000000000014</v>
      </c>
      <c r="J96" s="63">
        <v>110</v>
      </c>
      <c r="K96" s="63">
        <f t="shared" si="6"/>
        <v>110</v>
      </c>
      <c r="L96" s="62" t="str">
        <f t="shared" si="7"/>
        <v/>
      </c>
      <c r="M96" s="63"/>
    </row>
    <row r="97" spans="2:13" s="46" customFormat="1" ht="15">
      <c r="B97" s="534">
        <f t="shared" si="4"/>
        <v>94</v>
      </c>
      <c r="C97" s="56" t="s">
        <v>2262</v>
      </c>
      <c r="D97" s="56" t="s">
        <v>2404</v>
      </c>
      <c r="E97" s="57" t="s">
        <v>2405</v>
      </c>
      <c r="F97" s="58" t="s">
        <v>2271</v>
      </c>
      <c r="G97" s="59">
        <v>45260</v>
      </c>
      <c r="H97" s="57" t="s">
        <v>45</v>
      </c>
      <c r="I97" s="62">
        <f t="shared" si="5"/>
        <v>20.000000000000028</v>
      </c>
      <c r="J97" s="63">
        <v>220</v>
      </c>
      <c r="K97" s="63">
        <f t="shared" si="6"/>
        <v>220</v>
      </c>
      <c r="L97" s="62" t="str">
        <f t="shared" si="7"/>
        <v/>
      </c>
      <c r="M97" s="63"/>
    </row>
    <row r="98" spans="2:13" s="46" customFormat="1" ht="15">
      <c r="B98" s="534">
        <f t="shared" si="4"/>
        <v>95</v>
      </c>
      <c r="C98" s="56" t="s">
        <v>2262</v>
      </c>
      <c r="D98" s="56" t="s">
        <v>2406</v>
      </c>
      <c r="E98" s="57" t="s">
        <v>2407</v>
      </c>
      <c r="F98" s="58"/>
      <c r="G98" s="59">
        <v>45260</v>
      </c>
      <c r="H98" s="57" t="s">
        <v>45</v>
      </c>
      <c r="I98" s="62">
        <f t="shared" si="5"/>
        <v>20.000000000000028</v>
      </c>
      <c r="J98" s="63">
        <v>220</v>
      </c>
      <c r="K98" s="63">
        <f t="shared" si="6"/>
        <v>220</v>
      </c>
      <c r="L98" s="62" t="str">
        <f t="shared" si="7"/>
        <v/>
      </c>
      <c r="M98" s="63"/>
    </row>
    <row r="99" spans="2:13" s="46" customFormat="1" ht="15">
      <c r="B99" s="534">
        <f t="shared" si="4"/>
        <v>96</v>
      </c>
      <c r="C99" s="56" t="s">
        <v>2262</v>
      </c>
      <c r="D99" s="56" t="s">
        <v>2408</v>
      </c>
      <c r="E99" s="57" t="s">
        <v>2409</v>
      </c>
      <c r="F99" s="58" t="s">
        <v>2271</v>
      </c>
      <c r="G99" s="59">
        <v>45262</v>
      </c>
      <c r="H99" s="57" t="s">
        <v>49</v>
      </c>
      <c r="I99" s="62">
        <f t="shared" si="5"/>
        <v>20.000000000000028</v>
      </c>
      <c r="J99" s="63">
        <v>220</v>
      </c>
      <c r="K99" s="63">
        <f t="shared" si="6"/>
        <v>220</v>
      </c>
      <c r="L99" s="62" t="str">
        <f t="shared" si="7"/>
        <v/>
      </c>
      <c r="M99" s="63"/>
    </row>
    <row r="100" spans="2:13" s="46" customFormat="1" ht="15">
      <c r="B100" s="534">
        <f t="shared" si="4"/>
        <v>97</v>
      </c>
      <c r="C100" s="56" t="s">
        <v>2262</v>
      </c>
      <c r="D100" s="56" t="s">
        <v>2394</v>
      </c>
      <c r="E100" s="57" t="s">
        <v>2410</v>
      </c>
      <c r="F100" s="58" t="s">
        <v>2304</v>
      </c>
      <c r="G100" s="59">
        <v>45262</v>
      </c>
      <c r="H100" s="57" t="s">
        <v>49</v>
      </c>
      <c r="I100" s="62">
        <f t="shared" si="5"/>
        <v>30</v>
      </c>
      <c r="J100" s="63">
        <v>330</v>
      </c>
      <c r="K100" s="63">
        <f t="shared" si="6"/>
        <v>330</v>
      </c>
      <c r="L100" s="62" t="str">
        <f t="shared" si="7"/>
        <v/>
      </c>
      <c r="M100" s="63"/>
    </row>
    <row r="101" spans="2:13" s="46" customFormat="1" ht="15">
      <c r="B101" s="534">
        <f t="shared" si="4"/>
        <v>98</v>
      </c>
      <c r="C101" s="56" t="s">
        <v>2262</v>
      </c>
      <c r="D101" s="56" t="s">
        <v>2411</v>
      </c>
      <c r="E101" s="57" t="s">
        <v>2412</v>
      </c>
      <c r="F101" s="58" t="s">
        <v>2377</v>
      </c>
      <c r="G101" s="59">
        <v>45262</v>
      </c>
      <c r="H101" s="57" t="s">
        <v>49</v>
      </c>
      <c r="I101" s="62">
        <f t="shared" si="5"/>
        <v>40.000000000000057</v>
      </c>
      <c r="J101" s="63">
        <v>440</v>
      </c>
      <c r="K101" s="63">
        <f t="shared" si="6"/>
        <v>440</v>
      </c>
      <c r="L101" s="62" t="str">
        <f t="shared" si="7"/>
        <v/>
      </c>
      <c r="M101" s="63"/>
    </row>
    <row r="102" spans="2:13" s="46" customFormat="1" ht="15">
      <c r="B102" s="534">
        <f t="shared" si="4"/>
        <v>99</v>
      </c>
      <c r="C102" s="56" t="s">
        <v>2262</v>
      </c>
      <c r="D102" s="56" t="s">
        <v>2315</v>
      </c>
      <c r="E102" s="57" t="s">
        <v>2378</v>
      </c>
      <c r="F102" s="58" t="s">
        <v>2377</v>
      </c>
      <c r="G102" s="59">
        <v>45262</v>
      </c>
      <c r="H102" s="57" t="s">
        <v>129</v>
      </c>
      <c r="I102" s="62">
        <f t="shared" si="5"/>
        <v>90.909090909090992</v>
      </c>
      <c r="J102" s="63">
        <v>1000</v>
      </c>
      <c r="K102" s="63">
        <f t="shared" si="6"/>
        <v>1000</v>
      </c>
      <c r="L102" s="62" t="str">
        <f t="shared" si="7"/>
        <v/>
      </c>
      <c r="M102" s="63"/>
    </row>
    <row r="103" spans="2:13" s="46" customFormat="1" ht="15">
      <c r="B103" s="534">
        <f t="shared" si="4"/>
        <v>100</v>
      </c>
      <c r="C103" s="56" t="s">
        <v>2262</v>
      </c>
      <c r="D103" s="56" t="s">
        <v>2364</v>
      </c>
      <c r="E103" s="57" t="s">
        <v>2413</v>
      </c>
      <c r="F103" s="58" t="s">
        <v>2271</v>
      </c>
      <c r="G103" s="59">
        <v>45262</v>
      </c>
      <c r="H103" s="57" t="s">
        <v>129</v>
      </c>
      <c r="I103" s="62">
        <f t="shared" si="5"/>
        <v>49.454545454545496</v>
      </c>
      <c r="J103" s="63">
        <v>544</v>
      </c>
      <c r="K103" s="63">
        <f t="shared" si="6"/>
        <v>544</v>
      </c>
      <c r="L103" s="62" t="str">
        <f t="shared" si="7"/>
        <v/>
      </c>
      <c r="M103" s="63"/>
    </row>
    <row r="104" spans="2:13" s="46" customFormat="1" ht="15">
      <c r="B104" s="534">
        <f t="shared" si="4"/>
        <v>101</v>
      </c>
      <c r="C104" s="56" t="s">
        <v>2262</v>
      </c>
      <c r="D104" s="56" t="s">
        <v>2315</v>
      </c>
      <c r="E104" s="57" t="s">
        <v>2414</v>
      </c>
      <c r="F104" s="58"/>
      <c r="G104" s="59">
        <v>45262</v>
      </c>
      <c r="H104" s="57" t="s">
        <v>129</v>
      </c>
      <c r="I104" s="62">
        <f t="shared" si="5"/>
        <v>22.727272727272748</v>
      </c>
      <c r="J104" s="63">
        <v>250</v>
      </c>
      <c r="K104" s="63">
        <f t="shared" si="6"/>
        <v>250</v>
      </c>
      <c r="L104" s="62" t="str">
        <f t="shared" si="7"/>
        <v/>
      </c>
      <c r="M104" s="63"/>
    </row>
    <row r="105" spans="2:13" s="46" customFormat="1" ht="15">
      <c r="B105" s="534">
        <f t="shared" si="4"/>
        <v>102</v>
      </c>
      <c r="C105" s="56" t="s">
        <v>2262</v>
      </c>
      <c r="D105" s="56" t="s">
        <v>2315</v>
      </c>
      <c r="E105" s="57" t="s">
        <v>2415</v>
      </c>
      <c r="F105" s="58"/>
      <c r="G105" s="59">
        <v>45262</v>
      </c>
      <c r="H105" s="57" t="s">
        <v>129</v>
      </c>
      <c r="I105" s="62">
        <f t="shared" si="5"/>
        <v>22.727272727272748</v>
      </c>
      <c r="J105" s="63">
        <v>250</v>
      </c>
      <c r="K105" s="63">
        <f t="shared" si="6"/>
        <v>250</v>
      </c>
      <c r="L105" s="62" t="str">
        <f t="shared" si="7"/>
        <v/>
      </c>
      <c r="M105" s="63"/>
    </row>
    <row r="106" spans="2:13" s="46" customFormat="1" ht="15">
      <c r="B106" s="534">
        <f t="shared" si="4"/>
        <v>103</v>
      </c>
      <c r="C106" s="56" t="s">
        <v>2281</v>
      </c>
      <c r="D106" s="56" t="s">
        <v>2282</v>
      </c>
      <c r="E106" s="57" t="s">
        <v>2416</v>
      </c>
      <c r="F106" s="58"/>
      <c r="G106" s="59">
        <v>45263</v>
      </c>
      <c r="H106" s="57" t="s">
        <v>27</v>
      </c>
      <c r="I106" s="62">
        <f t="shared" si="5"/>
        <v>30.272727272727309</v>
      </c>
      <c r="J106" s="63">
        <v>333</v>
      </c>
      <c r="K106" s="63">
        <f t="shared" si="6"/>
        <v>333</v>
      </c>
      <c r="L106" s="62" t="str">
        <f t="shared" si="7"/>
        <v/>
      </c>
      <c r="M106" s="63"/>
    </row>
    <row r="107" spans="2:13" s="46" customFormat="1" ht="15">
      <c r="B107" s="534">
        <f t="shared" si="4"/>
        <v>104</v>
      </c>
      <c r="C107" s="56" t="s">
        <v>2281</v>
      </c>
      <c r="D107" s="56" t="s">
        <v>2282</v>
      </c>
      <c r="E107" s="57" t="s">
        <v>2417</v>
      </c>
      <c r="F107" s="58"/>
      <c r="G107" s="59">
        <v>45263</v>
      </c>
      <c r="H107" s="57" t="s">
        <v>27</v>
      </c>
      <c r="I107" s="62">
        <f t="shared" si="5"/>
        <v>90.909090909090992</v>
      </c>
      <c r="J107" s="63">
        <v>1000</v>
      </c>
      <c r="K107" s="63">
        <f t="shared" si="6"/>
        <v>1000</v>
      </c>
      <c r="L107" s="62" t="str">
        <f t="shared" si="7"/>
        <v/>
      </c>
      <c r="M107" s="63"/>
    </row>
    <row r="108" spans="2:13" s="46" customFormat="1" ht="15">
      <c r="B108" s="534">
        <f t="shared" si="4"/>
        <v>105</v>
      </c>
      <c r="C108" s="56" t="s">
        <v>2281</v>
      </c>
      <c r="D108" s="56" t="s">
        <v>2282</v>
      </c>
      <c r="E108" s="57" t="s">
        <v>2418</v>
      </c>
      <c r="F108" s="58"/>
      <c r="G108" s="59">
        <v>45264</v>
      </c>
      <c r="H108" s="57" t="s">
        <v>27</v>
      </c>
      <c r="I108" s="62">
        <f t="shared" si="5"/>
        <v>125.4545454545455</v>
      </c>
      <c r="J108" s="63">
        <v>1380</v>
      </c>
      <c r="K108" s="63">
        <f t="shared" si="6"/>
        <v>1380</v>
      </c>
      <c r="L108" s="62" t="str">
        <f t="shared" si="7"/>
        <v/>
      </c>
      <c r="M108" s="63"/>
    </row>
    <row r="109" spans="2:13" s="46" customFormat="1" ht="15">
      <c r="B109" s="534">
        <f t="shared" si="4"/>
        <v>106</v>
      </c>
      <c r="C109" s="56" t="s">
        <v>2281</v>
      </c>
      <c r="D109" s="56" t="s">
        <v>2282</v>
      </c>
      <c r="E109" s="57" t="s">
        <v>2419</v>
      </c>
      <c r="F109" s="58"/>
      <c r="G109" s="59">
        <v>45266</v>
      </c>
      <c r="H109" s="57" t="s">
        <v>27</v>
      </c>
      <c r="I109" s="62">
        <f t="shared" si="5"/>
        <v>159.00000000000023</v>
      </c>
      <c r="J109" s="63">
        <v>1749</v>
      </c>
      <c r="K109" s="63">
        <f t="shared" si="6"/>
        <v>1749</v>
      </c>
      <c r="L109" s="62" t="str">
        <f t="shared" si="7"/>
        <v/>
      </c>
      <c r="M109" s="63"/>
    </row>
    <row r="110" spans="2:13" s="46" customFormat="1" ht="15">
      <c r="B110" s="534">
        <f t="shared" si="4"/>
        <v>107</v>
      </c>
      <c r="C110" s="56" t="s">
        <v>2268</v>
      </c>
      <c r="D110" s="56" t="s">
        <v>2269</v>
      </c>
      <c r="E110" s="57" t="s">
        <v>2376</v>
      </c>
      <c r="F110" s="58" t="s">
        <v>2271</v>
      </c>
      <c r="G110" s="59">
        <v>45269</v>
      </c>
      <c r="H110" s="57" t="s">
        <v>129</v>
      </c>
      <c r="I110" s="62">
        <f t="shared" si="5"/>
        <v>20.909090909090935</v>
      </c>
      <c r="J110" s="63">
        <v>230</v>
      </c>
      <c r="K110" s="63">
        <f t="shared" si="6"/>
        <v>230</v>
      </c>
      <c r="L110" s="62" t="str">
        <f t="shared" si="7"/>
        <v/>
      </c>
      <c r="M110" s="63"/>
    </row>
    <row r="111" spans="2:13" s="46" customFormat="1" ht="15">
      <c r="B111" s="534">
        <f t="shared" si="4"/>
        <v>108</v>
      </c>
      <c r="C111" s="56" t="s">
        <v>2262</v>
      </c>
      <c r="D111" s="56" t="s">
        <v>2266</v>
      </c>
      <c r="E111" s="57" t="s">
        <v>2420</v>
      </c>
      <c r="F111" s="58" t="s">
        <v>2271</v>
      </c>
      <c r="G111" s="59">
        <v>45269</v>
      </c>
      <c r="H111" s="57" t="s">
        <v>129</v>
      </c>
      <c r="I111" s="62">
        <f t="shared" si="5"/>
        <v>39.454545454545496</v>
      </c>
      <c r="J111" s="63">
        <v>434</v>
      </c>
      <c r="K111" s="63">
        <f t="shared" si="6"/>
        <v>434</v>
      </c>
      <c r="L111" s="62" t="str">
        <f t="shared" si="7"/>
        <v/>
      </c>
      <c r="M111" s="63"/>
    </row>
    <row r="112" spans="2:13" s="46" customFormat="1" ht="15">
      <c r="B112" s="534">
        <f t="shared" si="4"/>
        <v>109</v>
      </c>
      <c r="C112" s="56" t="s">
        <v>2262</v>
      </c>
      <c r="D112" s="56" t="s">
        <v>2266</v>
      </c>
      <c r="E112" s="57" t="s">
        <v>2314</v>
      </c>
      <c r="F112" s="58"/>
      <c r="G112" s="59">
        <v>45269</v>
      </c>
      <c r="H112" s="57" t="s">
        <v>129</v>
      </c>
      <c r="I112" s="62">
        <f t="shared" si="5"/>
        <v>17.727272727272748</v>
      </c>
      <c r="J112" s="63">
        <v>195</v>
      </c>
      <c r="K112" s="63">
        <f t="shared" si="6"/>
        <v>195</v>
      </c>
      <c r="L112" s="62" t="str">
        <f t="shared" si="7"/>
        <v/>
      </c>
      <c r="M112" s="63"/>
    </row>
    <row r="113" spans="2:13" s="46" customFormat="1" ht="15">
      <c r="B113" s="534">
        <f t="shared" si="4"/>
        <v>110</v>
      </c>
      <c r="C113" s="56" t="s">
        <v>2262</v>
      </c>
      <c r="D113" s="56" t="s">
        <v>2266</v>
      </c>
      <c r="E113" s="57" t="s">
        <v>2314</v>
      </c>
      <c r="F113" s="58"/>
      <c r="G113" s="59">
        <v>45269</v>
      </c>
      <c r="H113" s="57" t="s">
        <v>129</v>
      </c>
      <c r="I113" s="62">
        <f t="shared" si="5"/>
        <v>22.727272727272748</v>
      </c>
      <c r="J113" s="63">
        <v>250</v>
      </c>
      <c r="K113" s="63">
        <f t="shared" si="6"/>
        <v>250</v>
      </c>
      <c r="L113" s="62" t="str">
        <f t="shared" si="7"/>
        <v/>
      </c>
      <c r="M113" s="63"/>
    </row>
    <row r="114" spans="2:13" s="46" customFormat="1" ht="15">
      <c r="B114" s="534">
        <f t="shared" si="4"/>
        <v>111</v>
      </c>
      <c r="C114" s="56" t="s">
        <v>2273</v>
      </c>
      <c r="D114" s="56" t="s">
        <v>2274</v>
      </c>
      <c r="E114" s="57" t="s">
        <v>2421</v>
      </c>
      <c r="F114" s="58"/>
      <c r="G114" s="59">
        <v>45269</v>
      </c>
      <c r="H114" s="57" t="s">
        <v>129</v>
      </c>
      <c r="I114" s="62">
        <f t="shared" si="5"/>
        <v>128</v>
      </c>
      <c r="J114" s="63">
        <v>1408</v>
      </c>
      <c r="K114" s="63">
        <f t="shared" si="6"/>
        <v>1408</v>
      </c>
      <c r="L114" s="62" t="str">
        <f t="shared" si="7"/>
        <v/>
      </c>
      <c r="M114" s="63"/>
    </row>
    <row r="115" spans="2:13" s="46" customFormat="1" ht="15">
      <c r="B115" s="534">
        <f t="shared" si="4"/>
        <v>112</v>
      </c>
      <c r="C115" s="56" t="s">
        <v>2268</v>
      </c>
      <c r="D115" s="56" t="s">
        <v>2269</v>
      </c>
      <c r="E115" s="57" t="s">
        <v>2272</v>
      </c>
      <c r="F115" s="58" t="s">
        <v>2271</v>
      </c>
      <c r="G115" s="59">
        <v>45269</v>
      </c>
      <c r="H115" s="57" t="s">
        <v>129</v>
      </c>
      <c r="I115" s="62">
        <f t="shared" si="5"/>
        <v>21.454545454545467</v>
      </c>
      <c r="J115" s="63">
        <v>236</v>
      </c>
      <c r="K115" s="63">
        <f t="shared" si="6"/>
        <v>236</v>
      </c>
      <c r="L115" s="62" t="str">
        <f t="shared" si="7"/>
        <v/>
      </c>
      <c r="M115" s="63"/>
    </row>
    <row r="116" spans="2:13" s="46" customFormat="1" ht="15">
      <c r="B116" s="534">
        <f t="shared" si="4"/>
        <v>113</v>
      </c>
      <c r="C116" s="56" t="s">
        <v>2262</v>
      </c>
      <c r="D116" s="56" t="s">
        <v>2315</v>
      </c>
      <c r="E116" s="57" t="s">
        <v>2378</v>
      </c>
      <c r="F116" s="58" t="s">
        <v>2271</v>
      </c>
      <c r="G116" s="59">
        <v>45269</v>
      </c>
      <c r="H116" s="57" t="s">
        <v>129</v>
      </c>
      <c r="I116" s="62">
        <f t="shared" si="5"/>
        <v>45.454545454545496</v>
      </c>
      <c r="J116" s="63">
        <v>500</v>
      </c>
      <c r="K116" s="63">
        <f t="shared" si="6"/>
        <v>500</v>
      </c>
      <c r="L116" s="62" t="str">
        <f t="shared" si="7"/>
        <v/>
      </c>
      <c r="M116" s="63"/>
    </row>
    <row r="117" spans="2:13" s="46" customFormat="1" ht="15">
      <c r="B117" s="534">
        <f t="shared" si="4"/>
        <v>114</v>
      </c>
      <c r="C117" s="56" t="s">
        <v>2262</v>
      </c>
      <c r="D117" s="56" t="s">
        <v>2315</v>
      </c>
      <c r="E117" s="57" t="s">
        <v>2422</v>
      </c>
      <c r="F117" s="58"/>
      <c r="G117" s="59">
        <v>45269</v>
      </c>
      <c r="H117" s="57" t="s">
        <v>129</v>
      </c>
      <c r="I117" s="62">
        <f t="shared" si="5"/>
        <v>22.727272727272748</v>
      </c>
      <c r="J117" s="63">
        <v>250</v>
      </c>
      <c r="K117" s="63">
        <f t="shared" si="6"/>
        <v>250</v>
      </c>
      <c r="L117" s="62" t="str">
        <f t="shared" si="7"/>
        <v/>
      </c>
      <c r="M117" s="63"/>
    </row>
    <row r="118" spans="2:13" s="46" customFormat="1" ht="15">
      <c r="B118" s="534">
        <f t="shared" si="4"/>
        <v>115</v>
      </c>
      <c r="C118" s="56" t="s">
        <v>2262</v>
      </c>
      <c r="D118" s="56" t="s">
        <v>2315</v>
      </c>
      <c r="E118" s="57" t="s">
        <v>2414</v>
      </c>
      <c r="F118" s="58" t="s">
        <v>2271</v>
      </c>
      <c r="G118" s="59">
        <v>45269</v>
      </c>
      <c r="H118" s="57" t="s">
        <v>129</v>
      </c>
      <c r="I118" s="62">
        <f t="shared" si="5"/>
        <v>45.454545454545496</v>
      </c>
      <c r="J118" s="63">
        <v>500</v>
      </c>
      <c r="K118" s="63">
        <f t="shared" si="6"/>
        <v>500</v>
      </c>
      <c r="L118" s="62" t="str">
        <f t="shared" si="7"/>
        <v/>
      </c>
      <c r="M118" s="63"/>
    </row>
    <row r="119" spans="2:13" s="46" customFormat="1" ht="15">
      <c r="B119" s="534">
        <f t="shared" si="4"/>
        <v>116</v>
      </c>
      <c r="C119" s="56" t="s">
        <v>2262</v>
      </c>
      <c r="D119" s="56" t="s">
        <v>2315</v>
      </c>
      <c r="E119" s="57" t="s">
        <v>2415</v>
      </c>
      <c r="F119" s="58" t="s">
        <v>2377</v>
      </c>
      <c r="G119" s="59">
        <v>45269</v>
      </c>
      <c r="H119" s="57" t="s">
        <v>129</v>
      </c>
      <c r="I119" s="62">
        <f t="shared" si="5"/>
        <v>90.909090909090992</v>
      </c>
      <c r="J119" s="63">
        <v>1000</v>
      </c>
      <c r="K119" s="63">
        <f t="shared" si="6"/>
        <v>1000</v>
      </c>
      <c r="L119" s="62" t="str">
        <f t="shared" si="7"/>
        <v/>
      </c>
      <c r="M119" s="63"/>
    </row>
    <row r="120" spans="2:13" s="46" customFormat="1" ht="15">
      <c r="B120" s="534">
        <f t="shared" si="4"/>
        <v>117</v>
      </c>
      <c r="C120" s="56" t="s">
        <v>2268</v>
      </c>
      <c r="D120" s="56" t="s">
        <v>2318</v>
      </c>
      <c r="E120" s="57" t="s">
        <v>2319</v>
      </c>
      <c r="F120" s="58"/>
      <c r="G120" s="59">
        <v>45274</v>
      </c>
      <c r="H120" s="57" t="s">
        <v>2307</v>
      </c>
      <c r="I120" s="62">
        <f t="shared" si="5"/>
        <v>1345.5454545454559</v>
      </c>
      <c r="J120" s="63">
        <v>14801</v>
      </c>
      <c r="K120" s="63">
        <f t="shared" si="6"/>
        <v>14801</v>
      </c>
      <c r="L120" s="62" t="str">
        <f t="shared" si="7"/>
        <v/>
      </c>
      <c r="M120" s="63"/>
    </row>
    <row r="121" spans="2:13" s="46" customFormat="1" ht="15">
      <c r="B121" s="534">
        <f t="shared" si="4"/>
        <v>118</v>
      </c>
      <c r="C121" s="56" t="s">
        <v>2262</v>
      </c>
      <c r="D121" s="56" t="s">
        <v>2305</v>
      </c>
      <c r="E121" s="57" t="s">
        <v>2423</v>
      </c>
      <c r="F121" s="58" t="s">
        <v>2424</v>
      </c>
      <c r="G121" s="59">
        <v>45274</v>
      </c>
      <c r="H121" s="57" t="s">
        <v>2307</v>
      </c>
      <c r="I121" s="62">
        <f t="shared" si="5"/>
        <v>1681.363636363636</v>
      </c>
      <c r="J121" s="63">
        <v>18495</v>
      </c>
      <c r="K121" s="63">
        <f t="shared" si="6"/>
        <v>18495</v>
      </c>
      <c r="L121" s="62" t="str">
        <f t="shared" si="7"/>
        <v/>
      </c>
      <c r="M121" s="63"/>
    </row>
    <row r="122" spans="2:13" s="46" customFormat="1" ht="15">
      <c r="B122" s="534">
        <f t="shared" si="4"/>
        <v>119</v>
      </c>
      <c r="C122" s="56" t="s">
        <v>2262</v>
      </c>
      <c r="D122" s="56" t="s">
        <v>2276</v>
      </c>
      <c r="E122" s="57" t="s">
        <v>2425</v>
      </c>
      <c r="F122" s="58" t="s">
        <v>2304</v>
      </c>
      <c r="G122" s="59">
        <v>45274</v>
      </c>
      <c r="H122" s="57" t="s">
        <v>2307</v>
      </c>
      <c r="I122" s="62">
        <f t="shared" si="5"/>
        <v>110.72727272727275</v>
      </c>
      <c r="J122" s="63">
        <v>1218</v>
      </c>
      <c r="K122" s="63">
        <f t="shared" si="6"/>
        <v>1218</v>
      </c>
      <c r="L122" s="62" t="str">
        <f t="shared" si="7"/>
        <v/>
      </c>
      <c r="M122" s="63"/>
    </row>
    <row r="123" spans="2:13" s="46" customFormat="1" ht="15">
      <c r="B123" s="534">
        <f t="shared" si="4"/>
        <v>120</v>
      </c>
      <c r="C123" s="56" t="s">
        <v>2281</v>
      </c>
      <c r="D123" s="56" t="s">
        <v>2282</v>
      </c>
      <c r="E123" s="57" t="s">
        <v>2426</v>
      </c>
      <c r="F123" s="58"/>
      <c r="G123" s="59">
        <v>45275</v>
      </c>
      <c r="H123" s="57" t="s">
        <v>27</v>
      </c>
      <c r="I123" s="62">
        <f t="shared" si="5"/>
        <v>60.545454545454618</v>
      </c>
      <c r="J123" s="63">
        <v>666</v>
      </c>
      <c r="K123" s="63">
        <f t="shared" si="6"/>
        <v>666</v>
      </c>
      <c r="L123" s="62" t="str">
        <f t="shared" si="7"/>
        <v/>
      </c>
      <c r="M123" s="63"/>
    </row>
    <row r="124" spans="2:13" s="46" customFormat="1" ht="15">
      <c r="B124" s="534">
        <f t="shared" si="4"/>
        <v>121</v>
      </c>
      <c r="C124" s="56" t="s">
        <v>2262</v>
      </c>
      <c r="D124" s="56" t="s">
        <v>2356</v>
      </c>
      <c r="E124" s="57" t="s">
        <v>2427</v>
      </c>
      <c r="F124" s="58"/>
      <c r="G124" s="59">
        <v>45275</v>
      </c>
      <c r="H124" s="57" t="s">
        <v>45</v>
      </c>
      <c r="I124" s="62">
        <f t="shared" si="5"/>
        <v>10.000000000000014</v>
      </c>
      <c r="J124" s="63">
        <v>110</v>
      </c>
      <c r="K124" s="63">
        <f t="shared" si="6"/>
        <v>110</v>
      </c>
      <c r="L124" s="62" t="str">
        <f t="shared" si="7"/>
        <v/>
      </c>
      <c r="M124" s="63"/>
    </row>
    <row r="125" spans="2:13" s="46" customFormat="1" ht="15">
      <c r="B125" s="534">
        <f t="shared" si="4"/>
        <v>122</v>
      </c>
      <c r="C125" s="56" t="s">
        <v>2262</v>
      </c>
      <c r="D125" s="56" t="s">
        <v>2428</v>
      </c>
      <c r="E125" s="57" t="s">
        <v>2429</v>
      </c>
      <c r="F125" s="58" t="s">
        <v>2271</v>
      </c>
      <c r="G125" s="59">
        <v>45275</v>
      </c>
      <c r="H125" s="57" t="s">
        <v>45</v>
      </c>
      <c r="I125" s="62">
        <f t="shared" si="5"/>
        <v>20.000000000000028</v>
      </c>
      <c r="J125" s="63">
        <v>220</v>
      </c>
      <c r="K125" s="63">
        <f t="shared" si="6"/>
        <v>220</v>
      </c>
      <c r="L125" s="62" t="str">
        <f t="shared" si="7"/>
        <v/>
      </c>
      <c r="M125" s="63"/>
    </row>
    <row r="126" spans="2:13" s="46" customFormat="1" ht="15">
      <c r="B126" s="534">
        <f t="shared" si="4"/>
        <v>123</v>
      </c>
      <c r="C126" s="56" t="s">
        <v>2262</v>
      </c>
      <c r="D126" s="56" t="s">
        <v>2430</v>
      </c>
      <c r="E126" s="57" t="s">
        <v>2431</v>
      </c>
      <c r="F126" s="58"/>
      <c r="G126" s="59">
        <v>45275</v>
      </c>
      <c r="H126" s="57" t="s">
        <v>45</v>
      </c>
      <c r="I126" s="62">
        <f t="shared" si="5"/>
        <v>10.000000000000014</v>
      </c>
      <c r="J126" s="63">
        <v>110</v>
      </c>
      <c r="K126" s="63">
        <f t="shared" si="6"/>
        <v>110</v>
      </c>
      <c r="L126" s="62" t="str">
        <f t="shared" si="7"/>
        <v/>
      </c>
      <c r="M126" s="63"/>
    </row>
    <row r="127" spans="2:13" s="46" customFormat="1" ht="15">
      <c r="B127" s="534">
        <f t="shared" si="4"/>
        <v>124</v>
      </c>
      <c r="C127" s="56" t="s">
        <v>2262</v>
      </c>
      <c r="D127" s="56" t="s">
        <v>2432</v>
      </c>
      <c r="E127" s="57" t="s">
        <v>2433</v>
      </c>
      <c r="F127" s="58"/>
      <c r="G127" s="59">
        <v>45275</v>
      </c>
      <c r="H127" s="57" t="s">
        <v>45</v>
      </c>
      <c r="I127" s="62">
        <f t="shared" si="5"/>
        <v>10.000000000000014</v>
      </c>
      <c r="J127" s="63">
        <v>110</v>
      </c>
      <c r="K127" s="63">
        <f t="shared" si="6"/>
        <v>110</v>
      </c>
      <c r="L127" s="62" t="str">
        <f t="shared" si="7"/>
        <v/>
      </c>
      <c r="M127" s="63"/>
    </row>
    <row r="128" spans="2:13" s="46" customFormat="1" ht="15">
      <c r="B128" s="534">
        <f t="shared" si="4"/>
        <v>125</v>
      </c>
      <c r="C128" s="56" t="s">
        <v>2262</v>
      </c>
      <c r="D128" s="56" t="s">
        <v>2434</v>
      </c>
      <c r="E128" s="57" t="s">
        <v>2435</v>
      </c>
      <c r="F128" s="58" t="s">
        <v>2271</v>
      </c>
      <c r="G128" s="59">
        <v>45275</v>
      </c>
      <c r="H128" s="57" t="s">
        <v>45</v>
      </c>
      <c r="I128" s="62">
        <f t="shared" si="5"/>
        <v>20.000000000000028</v>
      </c>
      <c r="J128" s="63">
        <v>220</v>
      </c>
      <c r="K128" s="63">
        <f t="shared" si="6"/>
        <v>220</v>
      </c>
      <c r="L128" s="62" t="str">
        <f t="shared" si="7"/>
        <v/>
      </c>
      <c r="M128" s="63"/>
    </row>
    <row r="129" spans="2:13" s="46" customFormat="1" ht="15">
      <c r="B129" s="534">
        <f t="shared" si="4"/>
        <v>126</v>
      </c>
      <c r="C129" s="56" t="s">
        <v>2262</v>
      </c>
      <c r="D129" s="56" t="s">
        <v>2364</v>
      </c>
      <c r="E129" s="57" t="s">
        <v>2365</v>
      </c>
      <c r="F129" s="58"/>
      <c r="G129" s="59">
        <v>45277</v>
      </c>
      <c r="H129" s="57" t="s">
        <v>2307</v>
      </c>
      <c r="I129" s="62">
        <f t="shared" si="5"/>
        <v>343.63636363636397</v>
      </c>
      <c r="J129" s="63">
        <v>3780</v>
      </c>
      <c r="K129" s="63">
        <f t="shared" si="6"/>
        <v>3780</v>
      </c>
      <c r="L129" s="62" t="str">
        <f t="shared" si="7"/>
        <v/>
      </c>
      <c r="M129" s="63"/>
    </row>
    <row r="130" spans="2:13" s="46" customFormat="1" ht="15">
      <c r="B130" s="534">
        <f t="shared" si="4"/>
        <v>127</v>
      </c>
      <c r="C130" s="56" t="s">
        <v>2273</v>
      </c>
      <c r="D130" s="56" t="s">
        <v>2274</v>
      </c>
      <c r="E130" s="57" t="s">
        <v>2436</v>
      </c>
      <c r="F130" s="58"/>
      <c r="G130" s="59">
        <v>45284</v>
      </c>
      <c r="H130" s="57" t="s">
        <v>129</v>
      </c>
      <c r="I130" s="62">
        <f t="shared" si="5"/>
        <v>59.727272727272748</v>
      </c>
      <c r="J130" s="63">
        <v>657</v>
      </c>
      <c r="K130" s="63">
        <f t="shared" si="6"/>
        <v>657</v>
      </c>
      <c r="L130" s="62" t="str">
        <f t="shared" si="7"/>
        <v/>
      </c>
      <c r="M130" s="63"/>
    </row>
    <row r="131" spans="2:13" s="46" customFormat="1" ht="15">
      <c r="B131" s="534">
        <f t="shared" si="4"/>
        <v>128</v>
      </c>
      <c r="C131" s="56" t="s">
        <v>2262</v>
      </c>
      <c r="D131" s="56" t="s">
        <v>2404</v>
      </c>
      <c r="E131" s="57" t="s">
        <v>2437</v>
      </c>
      <c r="F131" s="58"/>
      <c r="G131" s="59">
        <v>45284</v>
      </c>
      <c r="H131" s="57" t="s">
        <v>129</v>
      </c>
      <c r="I131" s="62">
        <f t="shared" si="5"/>
        <v>138</v>
      </c>
      <c r="J131" s="63">
        <v>1518</v>
      </c>
      <c r="K131" s="63">
        <f t="shared" si="6"/>
        <v>1518</v>
      </c>
      <c r="L131" s="62" t="str">
        <f t="shared" si="7"/>
        <v/>
      </c>
      <c r="M131" s="63"/>
    </row>
    <row r="132" spans="2:13" s="46" customFormat="1" ht="15">
      <c r="B132" s="534">
        <f t="shared" ref="B132:B137" si="8">ROW()-3</f>
        <v>129</v>
      </c>
      <c r="C132" s="56" t="s">
        <v>2262</v>
      </c>
      <c r="D132" s="56" t="s">
        <v>2266</v>
      </c>
      <c r="E132" s="57" t="s">
        <v>2314</v>
      </c>
      <c r="F132" s="58" t="s">
        <v>2271</v>
      </c>
      <c r="G132" s="59">
        <v>45284</v>
      </c>
      <c r="H132" s="57" t="s">
        <v>129</v>
      </c>
      <c r="I132" s="62">
        <f t="shared" ref="I132:I137" si="9">IF(J132&lt;&gt;"",J132-J132/1.1,"")</f>
        <v>35.454545454545496</v>
      </c>
      <c r="J132" s="63">
        <v>390</v>
      </c>
      <c r="K132" s="63">
        <f t="shared" ref="K132:K137" si="10">IF(N132="",J132,0)</f>
        <v>390</v>
      </c>
      <c r="L132" s="62" t="str">
        <f t="shared" ref="L132:L137" si="11">IF(M132&lt;&gt;"",M132-M132/1.1,"")</f>
        <v/>
      </c>
      <c r="M132" s="63"/>
    </row>
    <row r="133" spans="2:13" s="46" customFormat="1" ht="15">
      <c r="B133" s="534">
        <f t="shared" si="8"/>
        <v>130</v>
      </c>
      <c r="C133" s="56" t="s">
        <v>2262</v>
      </c>
      <c r="D133" s="56" t="s">
        <v>2364</v>
      </c>
      <c r="E133" s="57" t="s">
        <v>2413</v>
      </c>
      <c r="F133" s="58" t="s">
        <v>2377</v>
      </c>
      <c r="G133" s="59">
        <v>45284</v>
      </c>
      <c r="H133" s="57" t="s">
        <v>129</v>
      </c>
      <c r="I133" s="62">
        <f t="shared" si="9"/>
        <v>98.909090909090992</v>
      </c>
      <c r="J133" s="63">
        <v>1088</v>
      </c>
      <c r="K133" s="63">
        <f t="shared" si="10"/>
        <v>1088</v>
      </c>
      <c r="L133" s="62" t="str">
        <f t="shared" si="11"/>
        <v/>
      </c>
      <c r="M133" s="63"/>
    </row>
    <row r="134" spans="2:13" s="46" customFormat="1" ht="15">
      <c r="B134" s="534">
        <f t="shared" si="8"/>
        <v>131</v>
      </c>
      <c r="C134" s="56" t="s">
        <v>2262</v>
      </c>
      <c r="D134" s="56" t="s">
        <v>2276</v>
      </c>
      <c r="E134" s="57" t="s">
        <v>2438</v>
      </c>
      <c r="F134" s="58"/>
      <c r="G134" s="59">
        <v>45284</v>
      </c>
      <c r="H134" s="57" t="s">
        <v>129</v>
      </c>
      <c r="I134" s="62">
        <f t="shared" si="9"/>
        <v>59.727272727272748</v>
      </c>
      <c r="J134" s="63">
        <v>657</v>
      </c>
      <c r="K134" s="63">
        <f t="shared" si="10"/>
        <v>657</v>
      </c>
      <c r="L134" s="62" t="str">
        <f t="shared" si="11"/>
        <v/>
      </c>
      <c r="M134" s="63"/>
    </row>
    <row r="135" spans="2:13" s="46" customFormat="1" ht="15">
      <c r="B135" s="534">
        <f t="shared" si="8"/>
        <v>132</v>
      </c>
      <c r="C135" s="56" t="s">
        <v>2262</v>
      </c>
      <c r="D135" s="56" t="s">
        <v>2276</v>
      </c>
      <c r="E135" s="57" t="s">
        <v>2439</v>
      </c>
      <c r="F135" s="58"/>
      <c r="G135" s="59">
        <v>45284</v>
      </c>
      <c r="H135" s="57" t="s">
        <v>129</v>
      </c>
      <c r="I135" s="62">
        <f t="shared" si="9"/>
        <v>59.727272727272748</v>
      </c>
      <c r="J135" s="63">
        <v>657</v>
      </c>
      <c r="K135" s="63">
        <f t="shared" si="10"/>
        <v>657</v>
      </c>
      <c r="L135" s="62" t="str">
        <f t="shared" si="11"/>
        <v/>
      </c>
      <c r="M135" s="63"/>
    </row>
    <row r="136" spans="2:13" s="46" customFormat="1" ht="15">
      <c r="B136" s="534">
        <f t="shared" si="8"/>
        <v>133</v>
      </c>
      <c r="C136" s="56" t="s">
        <v>2262</v>
      </c>
      <c r="D136" s="56" t="s">
        <v>2276</v>
      </c>
      <c r="E136" s="57" t="s">
        <v>2328</v>
      </c>
      <c r="F136" s="58"/>
      <c r="G136" s="59">
        <v>45284</v>
      </c>
      <c r="H136" s="57" t="s">
        <v>129</v>
      </c>
      <c r="I136" s="62">
        <f t="shared" si="9"/>
        <v>39.727272727272748</v>
      </c>
      <c r="J136" s="63">
        <v>437</v>
      </c>
      <c r="K136" s="63">
        <f t="shared" si="10"/>
        <v>437</v>
      </c>
      <c r="L136" s="62" t="str">
        <f t="shared" si="11"/>
        <v/>
      </c>
      <c r="M136" s="63"/>
    </row>
    <row r="137" spans="2:13" s="46" customFormat="1" ht="15">
      <c r="B137" s="534">
        <f t="shared" si="8"/>
        <v>134</v>
      </c>
      <c r="C137" s="56" t="s">
        <v>2281</v>
      </c>
      <c r="D137" s="56" t="s">
        <v>2282</v>
      </c>
      <c r="E137" s="57" t="s">
        <v>2440</v>
      </c>
      <c r="F137" s="58"/>
      <c r="G137" s="59">
        <v>45290</v>
      </c>
      <c r="H137" s="57" t="s">
        <v>27</v>
      </c>
      <c r="I137" s="62">
        <f t="shared" si="9"/>
        <v>1004.5454545454559</v>
      </c>
      <c r="J137" s="63">
        <v>11050</v>
      </c>
      <c r="K137" s="63">
        <f t="shared" si="10"/>
        <v>11050</v>
      </c>
      <c r="L137" s="62" t="str">
        <f t="shared" si="11"/>
        <v/>
      </c>
      <c r="M137" s="63"/>
    </row>
    <row r="138" spans="2:13" s="46" customFormat="1" ht="15">
      <c r="B138" s="534"/>
      <c r="C138" s="65" t="s">
        <v>2441</v>
      </c>
      <c r="D138" s="56"/>
      <c r="E138" s="57"/>
      <c r="F138" s="58"/>
      <c r="G138" s="59"/>
      <c r="H138" s="57"/>
      <c r="I138" s="62"/>
      <c r="J138" s="67">
        <f>SUM(J4:J137)</f>
        <v>168679</v>
      </c>
      <c r="K138" s="67">
        <f>SUM(K4:K137)</f>
        <v>168459</v>
      </c>
      <c r="L138" s="62"/>
      <c r="M138" s="68">
        <f>SUM(M4:M137)</f>
        <v>0</v>
      </c>
    </row>
    <row r="139" spans="2:13" s="46" customFormat="1" ht="15">
      <c r="B139" s="534"/>
      <c r="C139" s="66" t="s">
        <v>3367</v>
      </c>
      <c r="D139" s="66" t="s">
        <v>3367</v>
      </c>
      <c r="E139" s="66" t="s">
        <v>3367</v>
      </c>
      <c r="F139" s="66" t="s">
        <v>3367</v>
      </c>
      <c r="G139" s="66" t="s">
        <v>3367</v>
      </c>
      <c r="H139" s="66" t="s">
        <v>3367</v>
      </c>
      <c r="I139" s="66" t="s">
        <v>3367</v>
      </c>
      <c r="J139" s="66" t="s">
        <v>3367</v>
      </c>
      <c r="K139" s="66" t="s">
        <v>3367</v>
      </c>
      <c r="L139" s="66" t="s">
        <v>3367</v>
      </c>
      <c r="M139" s="66" t="s">
        <v>3367</v>
      </c>
    </row>
    <row r="140" spans="2:13" s="46" customFormat="1" ht="15">
      <c r="B140" s="534">
        <f t="shared" ref="B140:B203" si="12">ROW()-5</f>
        <v>135</v>
      </c>
      <c r="C140" s="56" t="s">
        <v>2442</v>
      </c>
      <c r="D140" s="56" t="s">
        <v>2443</v>
      </c>
      <c r="E140" s="57" t="s">
        <v>2444</v>
      </c>
      <c r="F140" s="58"/>
      <c r="G140" s="59">
        <v>45298</v>
      </c>
      <c r="H140" s="57" t="s">
        <v>2445</v>
      </c>
      <c r="I140" s="62">
        <f t="shared" ref="I140:I203" si="13">IF(J140&lt;&gt;"",J140-J140/1.1,"")</f>
        <v>243.63636363636397</v>
      </c>
      <c r="J140" s="63">
        <v>2680</v>
      </c>
      <c r="K140" s="63">
        <f t="shared" ref="K140:K203" si="14">IF(N140="",J140,0)</f>
        <v>2680</v>
      </c>
      <c r="L140" s="62" t="str">
        <f t="shared" ref="L140:L203" si="15">IF(M140&lt;&gt;"",M140-M140/1.1,"")</f>
        <v/>
      </c>
      <c r="M140" s="63"/>
    </row>
    <row r="141" spans="2:13" s="46" customFormat="1" ht="15">
      <c r="B141" s="534">
        <f t="shared" si="12"/>
        <v>136</v>
      </c>
      <c r="C141" s="56" t="s">
        <v>2281</v>
      </c>
      <c r="D141" s="56" t="s">
        <v>2282</v>
      </c>
      <c r="E141" s="57"/>
      <c r="F141" s="58"/>
      <c r="G141" s="59">
        <v>45298</v>
      </c>
      <c r="H141" s="57" t="s">
        <v>48</v>
      </c>
      <c r="I141" s="62">
        <f t="shared" si="13"/>
        <v>914.54545454545587</v>
      </c>
      <c r="J141" s="63">
        <v>10060</v>
      </c>
      <c r="K141" s="63">
        <f t="shared" si="14"/>
        <v>10060</v>
      </c>
      <c r="L141" s="62" t="str">
        <f t="shared" si="15"/>
        <v/>
      </c>
      <c r="M141" s="63"/>
    </row>
    <row r="142" spans="2:13" s="46" customFormat="1" ht="15">
      <c r="B142" s="534">
        <f t="shared" si="12"/>
        <v>137</v>
      </c>
      <c r="C142" s="56" t="s">
        <v>2281</v>
      </c>
      <c r="D142" s="56" t="s">
        <v>2282</v>
      </c>
      <c r="E142" s="57"/>
      <c r="F142" s="58"/>
      <c r="G142" s="59">
        <v>45298</v>
      </c>
      <c r="H142" s="57" t="s">
        <v>48</v>
      </c>
      <c r="I142" s="62">
        <f t="shared" si="13"/>
        <v>542.18181818181893</v>
      </c>
      <c r="J142" s="63">
        <v>5964</v>
      </c>
      <c r="K142" s="63">
        <f t="shared" si="14"/>
        <v>5964</v>
      </c>
      <c r="L142" s="62" t="str">
        <f t="shared" si="15"/>
        <v/>
      </c>
      <c r="M142" s="63"/>
    </row>
    <row r="143" spans="2:13" s="46" customFormat="1" ht="15">
      <c r="B143" s="534">
        <f t="shared" si="12"/>
        <v>138</v>
      </c>
      <c r="C143" s="56" t="s">
        <v>2442</v>
      </c>
      <c r="D143" s="56" t="s">
        <v>2443</v>
      </c>
      <c r="E143" s="57" t="s">
        <v>2446</v>
      </c>
      <c r="F143" s="58"/>
      <c r="G143" s="59">
        <v>45298</v>
      </c>
      <c r="H143" s="57" t="s">
        <v>2445</v>
      </c>
      <c r="I143" s="62">
        <f t="shared" si="13"/>
        <v>243.63636363636397</v>
      </c>
      <c r="J143" s="63">
        <v>2680</v>
      </c>
      <c r="K143" s="63">
        <f t="shared" si="14"/>
        <v>2680</v>
      </c>
      <c r="L143" s="62" t="str">
        <f t="shared" si="15"/>
        <v/>
      </c>
      <c r="M143" s="63"/>
    </row>
    <row r="144" spans="2:13" s="46" customFormat="1" ht="15">
      <c r="B144" s="534">
        <f t="shared" si="12"/>
        <v>139</v>
      </c>
      <c r="C144" s="56" t="s">
        <v>2262</v>
      </c>
      <c r="D144" s="56" t="s">
        <v>2276</v>
      </c>
      <c r="E144" s="57" t="s">
        <v>2447</v>
      </c>
      <c r="F144" s="58"/>
      <c r="G144" s="59">
        <v>45298</v>
      </c>
      <c r="H144" s="57" t="s">
        <v>133</v>
      </c>
      <c r="I144" s="62">
        <f t="shared" si="13"/>
        <v>52.545454545454618</v>
      </c>
      <c r="J144" s="63">
        <v>578</v>
      </c>
      <c r="K144" s="63">
        <f t="shared" si="14"/>
        <v>578</v>
      </c>
      <c r="L144" s="62" t="str">
        <f t="shared" si="15"/>
        <v/>
      </c>
      <c r="M144" s="63"/>
    </row>
    <row r="145" spans="2:13" s="46" customFormat="1" ht="15">
      <c r="B145" s="534">
        <f t="shared" si="12"/>
        <v>140</v>
      </c>
      <c r="C145" s="56" t="s">
        <v>2281</v>
      </c>
      <c r="D145" s="56" t="s">
        <v>2282</v>
      </c>
      <c r="E145" s="57" t="s">
        <v>2448</v>
      </c>
      <c r="F145" s="58"/>
      <c r="G145" s="59">
        <v>45300</v>
      </c>
      <c r="H145" s="57" t="s">
        <v>27</v>
      </c>
      <c r="I145" s="62">
        <f t="shared" si="13"/>
        <v>34.545454545454561</v>
      </c>
      <c r="J145" s="63">
        <v>380</v>
      </c>
      <c r="K145" s="63">
        <f t="shared" si="14"/>
        <v>380</v>
      </c>
      <c r="L145" s="62" t="str">
        <f t="shared" si="15"/>
        <v/>
      </c>
      <c r="M145" s="63"/>
    </row>
    <row r="146" spans="2:13" s="46" customFormat="1" ht="15">
      <c r="B146" s="534">
        <f t="shared" si="12"/>
        <v>141</v>
      </c>
      <c r="C146" s="56" t="s">
        <v>2281</v>
      </c>
      <c r="D146" s="56" t="s">
        <v>2282</v>
      </c>
      <c r="E146" s="57" t="s">
        <v>2449</v>
      </c>
      <c r="F146" s="58"/>
      <c r="G146" s="59">
        <v>45302</v>
      </c>
      <c r="H146" s="57" t="s">
        <v>27</v>
      </c>
      <c r="I146" s="62">
        <f t="shared" si="13"/>
        <v>112.09090909090924</v>
      </c>
      <c r="J146" s="63">
        <v>1233</v>
      </c>
      <c r="K146" s="63">
        <f t="shared" si="14"/>
        <v>1233</v>
      </c>
      <c r="L146" s="62" t="str">
        <f t="shared" si="15"/>
        <v/>
      </c>
      <c r="M146" s="63"/>
    </row>
    <row r="147" spans="2:13" s="46" customFormat="1" ht="15">
      <c r="B147" s="534">
        <f t="shared" si="12"/>
        <v>142</v>
      </c>
      <c r="C147" s="56" t="s">
        <v>2281</v>
      </c>
      <c r="D147" s="56" t="s">
        <v>2282</v>
      </c>
      <c r="E147" s="57" t="s">
        <v>2450</v>
      </c>
      <c r="F147" s="58"/>
      <c r="G147" s="59">
        <v>45303</v>
      </c>
      <c r="H147" s="57" t="s">
        <v>27</v>
      </c>
      <c r="I147" s="62">
        <f t="shared" si="13"/>
        <v>27.272727272727309</v>
      </c>
      <c r="J147" s="63">
        <v>300</v>
      </c>
      <c r="K147" s="63">
        <f t="shared" si="14"/>
        <v>300</v>
      </c>
      <c r="L147" s="62" t="str">
        <f t="shared" si="15"/>
        <v/>
      </c>
      <c r="M147" s="63"/>
    </row>
    <row r="148" spans="2:13" s="46" customFormat="1" ht="15">
      <c r="B148" s="534">
        <f t="shared" si="12"/>
        <v>143</v>
      </c>
      <c r="C148" s="56" t="s">
        <v>2273</v>
      </c>
      <c r="D148" s="56" t="s">
        <v>2274</v>
      </c>
      <c r="E148" s="57" t="s">
        <v>2451</v>
      </c>
      <c r="F148" s="58"/>
      <c r="G148" s="59">
        <v>45304</v>
      </c>
      <c r="H148" s="57" t="s">
        <v>129</v>
      </c>
      <c r="I148" s="62">
        <f t="shared" si="13"/>
        <v>24.727272727272748</v>
      </c>
      <c r="J148" s="63">
        <v>272</v>
      </c>
      <c r="K148" s="63">
        <f t="shared" si="14"/>
        <v>272</v>
      </c>
      <c r="L148" s="62" t="str">
        <f t="shared" si="15"/>
        <v/>
      </c>
      <c r="M148" s="63"/>
    </row>
    <row r="149" spans="2:13" s="46" customFormat="1" ht="15">
      <c r="B149" s="534">
        <f t="shared" si="12"/>
        <v>144</v>
      </c>
      <c r="C149" s="56" t="s">
        <v>2273</v>
      </c>
      <c r="D149" s="56" t="s">
        <v>2274</v>
      </c>
      <c r="E149" s="57" t="s">
        <v>2452</v>
      </c>
      <c r="F149" s="58"/>
      <c r="G149" s="59">
        <v>45304</v>
      </c>
      <c r="H149" s="57" t="s">
        <v>129</v>
      </c>
      <c r="I149" s="62">
        <f t="shared" si="13"/>
        <v>32.727272727272748</v>
      </c>
      <c r="J149" s="63">
        <v>360</v>
      </c>
      <c r="K149" s="63">
        <f t="shared" si="14"/>
        <v>360</v>
      </c>
      <c r="L149" s="62" t="str">
        <f t="shared" si="15"/>
        <v/>
      </c>
      <c r="M149" s="63"/>
    </row>
    <row r="150" spans="2:13" s="46" customFormat="1" ht="15">
      <c r="B150" s="534">
        <f t="shared" si="12"/>
        <v>145</v>
      </c>
      <c r="C150" s="56" t="s">
        <v>2273</v>
      </c>
      <c r="D150" s="56" t="s">
        <v>2274</v>
      </c>
      <c r="E150" s="57" t="s">
        <v>2453</v>
      </c>
      <c r="F150" s="58"/>
      <c r="G150" s="59">
        <v>45304</v>
      </c>
      <c r="H150" s="57" t="s">
        <v>129</v>
      </c>
      <c r="I150" s="62">
        <f t="shared" si="13"/>
        <v>11.727272727272734</v>
      </c>
      <c r="J150" s="63">
        <v>129</v>
      </c>
      <c r="K150" s="63">
        <f t="shared" si="14"/>
        <v>129</v>
      </c>
      <c r="L150" s="62" t="str">
        <f t="shared" si="15"/>
        <v/>
      </c>
      <c r="M150" s="63"/>
    </row>
    <row r="151" spans="2:13" s="46" customFormat="1" ht="15">
      <c r="B151" s="534">
        <f t="shared" si="12"/>
        <v>146</v>
      </c>
      <c r="C151" s="56" t="s">
        <v>2281</v>
      </c>
      <c r="D151" s="56" t="s">
        <v>2282</v>
      </c>
      <c r="E151" s="57" t="s">
        <v>2454</v>
      </c>
      <c r="F151" s="58"/>
      <c r="G151" s="59">
        <v>45304</v>
      </c>
      <c r="H151" s="57" t="s">
        <v>27</v>
      </c>
      <c r="I151" s="62">
        <f t="shared" si="13"/>
        <v>72.63636363636374</v>
      </c>
      <c r="J151" s="63">
        <v>799</v>
      </c>
      <c r="K151" s="63">
        <f t="shared" si="14"/>
        <v>799</v>
      </c>
      <c r="L151" s="62" t="str">
        <f t="shared" si="15"/>
        <v/>
      </c>
      <c r="M151" s="63"/>
    </row>
    <row r="152" spans="2:13" s="46" customFormat="1" ht="15">
      <c r="B152" s="534">
        <f t="shared" si="12"/>
        <v>147</v>
      </c>
      <c r="C152" s="56" t="s">
        <v>2262</v>
      </c>
      <c r="D152" s="56" t="s">
        <v>2455</v>
      </c>
      <c r="E152" s="57" t="s">
        <v>2456</v>
      </c>
      <c r="F152" s="58"/>
      <c r="G152" s="59">
        <v>45304</v>
      </c>
      <c r="H152" s="57" t="s">
        <v>2307</v>
      </c>
      <c r="I152" s="62">
        <f t="shared" si="13"/>
        <v>299.90909090909099</v>
      </c>
      <c r="J152" s="63">
        <v>3299</v>
      </c>
      <c r="K152" s="63">
        <f t="shared" si="14"/>
        <v>3299</v>
      </c>
      <c r="L152" s="62" t="str">
        <f t="shared" si="15"/>
        <v/>
      </c>
      <c r="M152" s="63"/>
    </row>
    <row r="153" spans="2:13" s="46" customFormat="1" ht="15">
      <c r="B153" s="534">
        <f t="shared" si="12"/>
        <v>148</v>
      </c>
      <c r="C153" s="56" t="s">
        <v>2262</v>
      </c>
      <c r="D153" s="56" t="s">
        <v>2457</v>
      </c>
      <c r="E153" s="57" t="s">
        <v>2458</v>
      </c>
      <c r="F153" s="58"/>
      <c r="G153" s="59">
        <v>45304</v>
      </c>
      <c r="H153" s="57" t="s">
        <v>2265</v>
      </c>
      <c r="I153" s="62">
        <f t="shared" si="13"/>
        <v>40.000000000000057</v>
      </c>
      <c r="J153" s="63">
        <v>440</v>
      </c>
      <c r="K153" s="63">
        <f t="shared" si="14"/>
        <v>440</v>
      </c>
      <c r="L153" s="62" t="str">
        <f t="shared" si="15"/>
        <v/>
      </c>
      <c r="M153" s="63"/>
    </row>
    <row r="154" spans="2:13" s="46" customFormat="1" ht="15">
      <c r="B154" s="534">
        <f t="shared" si="12"/>
        <v>149</v>
      </c>
      <c r="C154" s="56" t="s">
        <v>2262</v>
      </c>
      <c r="D154" s="56" t="s">
        <v>2459</v>
      </c>
      <c r="E154" s="57" t="s">
        <v>2460</v>
      </c>
      <c r="F154" s="58" t="s">
        <v>2461</v>
      </c>
      <c r="G154" s="59">
        <v>45304</v>
      </c>
      <c r="H154" s="57" t="s">
        <v>2265</v>
      </c>
      <c r="I154" s="62">
        <f t="shared" si="13"/>
        <v>80.000000000000114</v>
      </c>
      <c r="J154" s="63">
        <v>880</v>
      </c>
      <c r="K154" s="63">
        <f t="shared" si="14"/>
        <v>880</v>
      </c>
      <c r="L154" s="62" t="str">
        <f t="shared" si="15"/>
        <v/>
      </c>
      <c r="M154" s="63"/>
    </row>
    <row r="155" spans="2:13" s="46" customFormat="1" ht="15">
      <c r="B155" s="534">
        <f t="shared" si="12"/>
        <v>150</v>
      </c>
      <c r="C155" s="56" t="s">
        <v>2262</v>
      </c>
      <c r="D155" s="56" t="s">
        <v>2462</v>
      </c>
      <c r="E155" s="57" t="s">
        <v>2463</v>
      </c>
      <c r="F155" s="58"/>
      <c r="G155" s="59">
        <v>45304</v>
      </c>
      <c r="H155" s="57" t="s">
        <v>2265</v>
      </c>
      <c r="I155" s="62">
        <f t="shared" si="13"/>
        <v>10.000000000000014</v>
      </c>
      <c r="J155" s="63">
        <v>110</v>
      </c>
      <c r="K155" s="63">
        <f t="shared" si="14"/>
        <v>110</v>
      </c>
      <c r="L155" s="62" t="str">
        <f t="shared" si="15"/>
        <v/>
      </c>
      <c r="M155" s="63"/>
    </row>
    <row r="156" spans="2:13" s="46" customFormat="1" ht="15">
      <c r="B156" s="534">
        <f t="shared" si="12"/>
        <v>151</v>
      </c>
      <c r="C156" s="56" t="s">
        <v>2262</v>
      </c>
      <c r="D156" s="56" t="s">
        <v>2283</v>
      </c>
      <c r="E156" s="57" t="s">
        <v>2464</v>
      </c>
      <c r="F156" s="58" t="s">
        <v>2271</v>
      </c>
      <c r="G156" s="59">
        <v>45304</v>
      </c>
      <c r="H156" s="57" t="s">
        <v>2265</v>
      </c>
      <c r="I156" s="62">
        <f t="shared" si="13"/>
        <v>20.000000000000028</v>
      </c>
      <c r="J156" s="63">
        <v>220</v>
      </c>
      <c r="K156" s="63">
        <f t="shared" si="14"/>
        <v>220</v>
      </c>
      <c r="L156" s="62" t="str">
        <f t="shared" si="15"/>
        <v/>
      </c>
      <c r="M156" s="63"/>
    </row>
    <row r="157" spans="2:13" s="46" customFormat="1" ht="15">
      <c r="B157" s="534">
        <f t="shared" si="12"/>
        <v>152</v>
      </c>
      <c r="C157" s="56" t="s">
        <v>2262</v>
      </c>
      <c r="D157" s="56" t="s">
        <v>2381</v>
      </c>
      <c r="E157" s="57" t="s">
        <v>2465</v>
      </c>
      <c r="F157" s="58"/>
      <c r="G157" s="59">
        <v>45304</v>
      </c>
      <c r="H157" s="57" t="s">
        <v>2265</v>
      </c>
      <c r="I157" s="62">
        <f t="shared" si="13"/>
        <v>20.000000000000028</v>
      </c>
      <c r="J157" s="63">
        <v>220</v>
      </c>
      <c r="K157" s="63">
        <f t="shared" si="14"/>
        <v>220</v>
      </c>
      <c r="L157" s="62" t="str">
        <f t="shared" si="15"/>
        <v/>
      </c>
      <c r="M157" s="63"/>
    </row>
    <row r="158" spans="2:13" s="46" customFormat="1" ht="15">
      <c r="B158" s="534">
        <f t="shared" si="12"/>
        <v>153</v>
      </c>
      <c r="C158" s="56" t="s">
        <v>2262</v>
      </c>
      <c r="D158" s="56" t="s">
        <v>2457</v>
      </c>
      <c r="E158" s="57" t="s">
        <v>2466</v>
      </c>
      <c r="F158" s="58" t="s">
        <v>2271</v>
      </c>
      <c r="G158" s="59">
        <v>45304</v>
      </c>
      <c r="H158" s="57" t="s">
        <v>45</v>
      </c>
      <c r="I158" s="62">
        <f t="shared" si="13"/>
        <v>20.000000000000028</v>
      </c>
      <c r="J158" s="63">
        <v>220</v>
      </c>
      <c r="K158" s="63">
        <f t="shared" si="14"/>
        <v>220</v>
      </c>
      <c r="L158" s="62" t="str">
        <f t="shared" si="15"/>
        <v/>
      </c>
      <c r="M158" s="63"/>
    </row>
    <row r="159" spans="2:13" s="46" customFormat="1" ht="15">
      <c r="B159" s="534">
        <f t="shared" si="12"/>
        <v>154</v>
      </c>
      <c r="C159" s="56" t="s">
        <v>2262</v>
      </c>
      <c r="D159" s="56" t="s">
        <v>2467</v>
      </c>
      <c r="E159" s="57" t="s">
        <v>2468</v>
      </c>
      <c r="F159" s="58" t="s">
        <v>2271</v>
      </c>
      <c r="G159" s="59">
        <v>45304</v>
      </c>
      <c r="H159" s="57" t="s">
        <v>45</v>
      </c>
      <c r="I159" s="62">
        <f t="shared" si="13"/>
        <v>40.000000000000057</v>
      </c>
      <c r="J159" s="63">
        <v>440</v>
      </c>
      <c r="K159" s="63">
        <f t="shared" si="14"/>
        <v>440</v>
      </c>
      <c r="L159" s="62" t="str">
        <f t="shared" si="15"/>
        <v/>
      </c>
      <c r="M159" s="63"/>
    </row>
    <row r="160" spans="2:13" s="46" customFormat="1" ht="15">
      <c r="B160" s="534">
        <f t="shared" si="12"/>
        <v>155</v>
      </c>
      <c r="C160" s="56" t="s">
        <v>2262</v>
      </c>
      <c r="D160" s="56" t="s">
        <v>2469</v>
      </c>
      <c r="E160" s="57" t="s">
        <v>2470</v>
      </c>
      <c r="F160" s="58"/>
      <c r="G160" s="59">
        <v>45304</v>
      </c>
      <c r="H160" s="57" t="s">
        <v>45</v>
      </c>
      <c r="I160" s="62">
        <f t="shared" si="13"/>
        <v>10.000000000000014</v>
      </c>
      <c r="J160" s="63">
        <v>110</v>
      </c>
      <c r="K160" s="63">
        <f t="shared" si="14"/>
        <v>110</v>
      </c>
      <c r="L160" s="62" t="str">
        <f t="shared" si="15"/>
        <v/>
      </c>
      <c r="M160" s="63"/>
    </row>
    <row r="161" spans="2:13" s="46" customFormat="1" ht="15">
      <c r="B161" s="534">
        <f t="shared" si="12"/>
        <v>156</v>
      </c>
      <c r="C161" s="56" t="s">
        <v>2262</v>
      </c>
      <c r="D161" s="56" t="s">
        <v>2428</v>
      </c>
      <c r="E161" s="57" t="s">
        <v>2429</v>
      </c>
      <c r="F161" s="58"/>
      <c r="G161" s="59">
        <v>45304</v>
      </c>
      <c r="H161" s="57" t="s">
        <v>45</v>
      </c>
      <c r="I161" s="62">
        <f t="shared" si="13"/>
        <v>10.000000000000014</v>
      </c>
      <c r="J161" s="63">
        <v>110</v>
      </c>
      <c r="K161" s="63">
        <f t="shared" si="14"/>
        <v>110</v>
      </c>
      <c r="L161" s="62" t="str">
        <f t="shared" si="15"/>
        <v/>
      </c>
      <c r="M161" s="63"/>
    </row>
    <row r="162" spans="2:13" s="46" customFormat="1" ht="15">
      <c r="B162" s="534">
        <f t="shared" si="12"/>
        <v>157</v>
      </c>
      <c r="C162" s="56" t="s">
        <v>2262</v>
      </c>
      <c r="D162" s="56" t="s">
        <v>2471</v>
      </c>
      <c r="E162" s="57" t="s">
        <v>2472</v>
      </c>
      <c r="F162" s="58"/>
      <c r="G162" s="59">
        <v>45304</v>
      </c>
      <c r="H162" s="57" t="s">
        <v>45</v>
      </c>
      <c r="I162" s="62">
        <f t="shared" si="13"/>
        <v>10.000000000000014</v>
      </c>
      <c r="J162" s="63">
        <v>110</v>
      </c>
      <c r="K162" s="63">
        <f t="shared" si="14"/>
        <v>110</v>
      </c>
      <c r="L162" s="62" t="str">
        <f t="shared" si="15"/>
        <v/>
      </c>
      <c r="M162" s="63"/>
    </row>
    <row r="163" spans="2:13" s="46" customFormat="1" ht="15">
      <c r="B163" s="534">
        <f t="shared" si="12"/>
        <v>158</v>
      </c>
      <c r="C163" s="56" t="s">
        <v>2262</v>
      </c>
      <c r="D163" s="56" t="s">
        <v>2394</v>
      </c>
      <c r="E163" s="57" t="s">
        <v>2473</v>
      </c>
      <c r="F163" s="58"/>
      <c r="G163" s="59">
        <v>45304</v>
      </c>
      <c r="H163" s="57" t="s">
        <v>2265</v>
      </c>
      <c r="I163" s="62">
        <f t="shared" si="13"/>
        <v>10.000000000000014</v>
      </c>
      <c r="J163" s="63">
        <v>110</v>
      </c>
      <c r="K163" s="63">
        <f t="shared" si="14"/>
        <v>110</v>
      </c>
      <c r="L163" s="62" t="str">
        <f t="shared" si="15"/>
        <v/>
      </c>
      <c r="M163" s="63"/>
    </row>
    <row r="164" spans="2:13" s="46" customFormat="1" ht="15">
      <c r="B164" s="534">
        <f t="shared" si="12"/>
        <v>159</v>
      </c>
      <c r="C164" s="56" t="s">
        <v>2262</v>
      </c>
      <c r="D164" s="56" t="s">
        <v>2346</v>
      </c>
      <c r="E164" s="57" t="s">
        <v>2474</v>
      </c>
      <c r="F164" s="58"/>
      <c r="G164" s="59">
        <v>45304</v>
      </c>
      <c r="H164" s="57" t="s">
        <v>2265</v>
      </c>
      <c r="I164" s="62">
        <f t="shared" si="13"/>
        <v>10.000000000000014</v>
      </c>
      <c r="J164" s="63">
        <v>110</v>
      </c>
      <c r="K164" s="63">
        <f t="shared" si="14"/>
        <v>110</v>
      </c>
      <c r="L164" s="62" t="str">
        <f t="shared" si="15"/>
        <v/>
      </c>
      <c r="M164" s="63"/>
    </row>
    <row r="165" spans="2:13" s="46" customFormat="1" ht="15">
      <c r="B165" s="534">
        <f t="shared" si="12"/>
        <v>160</v>
      </c>
      <c r="C165" s="56" t="s">
        <v>2281</v>
      </c>
      <c r="D165" s="56" t="s">
        <v>2282</v>
      </c>
      <c r="E165" s="57" t="s">
        <v>730</v>
      </c>
      <c r="F165" s="58"/>
      <c r="G165" s="59">
        <v>45305</v>
      </c>
      <c r="H165" s="57" t="s">
        <v>27</v>
      </c>
      <c r="I165" s="62">
        <f t="shared" si="13"/>
        <v>52.727272727272748</v>
      </c>
      <c r="J165" s="63">
        <v>580</v>
      </c>
      <c r="K165" s="63">
        <f t="shared" si="14"/>
        <v>580</v>
      </c>
      <c r="L165" s="62" t="str">
        <f t="shared" si="15"/>
        <v/>
      </c>
      <c r="M165" s="63"/>
    </row>
    <row r="166" spans="2:13" s="46" customFormat="1" ht="15">
      <c r="B166" s="534">
        <f t="shared" si="12"/>
        <v>161</v>
      </c>
      <c r="C166" s="56" t="s">
        <v>2262</v>
      </c>
      <c r="D166" s="56" t="s">
        <v>2276</v>
      </c>
      <c r="E166" s="57" t="s">
        <v>2475</v>
      </c>
      <c r="F166" s="58" t="s">
        <v>2304</v>
      </c>
      <c r="G166" s="59">
        <v>45311</v>
      </c>
      <c r="H166" s="57" t="s">
        <v>2307</v>
      </c>
      <c r="I166" s="62">
        <f t="shared" si="13"/>
        <v>188.18181818181824</v>
      </c>
      <c r="J166" s="63">
        <v>2070</v>
      </c>
      <c r="K166" s="63">
        <f t="shared" si="14"/>
        <v>2070</v>
      </c>
      <c r="L166" s="62" t="str">
        <f t="shared" si="15"/>
        <v/>
      </c>
      <c r="M166" s="63"/>
    </row>
    <row r="167" spans="2:13" s="46" customFormat="1" ht="15">
      <c r="B167" s="534">
        <f t="shared" si="12"/>
        <v>162</v>
      </c>
      <c r="C167" s="56" t="s">
        <v>2281</v>
      </c>
      <c r="D167" s="56" t="s">
        <v>2282</v>
      </c>
      <c r="E167" s="57" t="s">
        <v>2476</v>
      </c>
      <c r="F167" s="58"/>
      <c r="G167" s="59">
        <v>45315</v>
      </c>
      <c r="H167" s="57" t="s">
        <v>27</v>
      </c>
      <c r="I167" s="62">
        <f t="shared" si="13"/>
        <v>59.090909090909122</v>
      </c>
      <c r="J167" s="63">
        <v>650</v>
      </c>
      <c r="K167" s="63">
        <f t="shared" si="14"/>
        <v>650</v>
      </c>
      <c r="L167" s="62" t="str">
        <f t="shared" si="15"/>
        <v/>
      </c>
      <c r="M167" s="63"/>
    </row>
    <row r="168" spans="2:13" s="46" customFormat="1" ht="15">
      <c r="B168" s="534">
        <f t="shared" si="12"/>
        <v>163</v>
      </c>
      <c r="C168" s="56" t="s">
        <v>2281</v>
      </c>
      <c r="D168" s="56" t="s">
        <v>2282</v>
      </c>
      <c r="E168" s="57" t="s">
        <v>2477</v>
      </c>
      <c r="F168" s="58"/>
      <c r="G168" s="59">
        <v>45317</v>
      </c>
      <c r="H168" s="57" t="s">
        <v>27</v>
      </c>
      <c r="I168" s="62">
        <f t="shared" si="13"/>
        <v>340.90909090909099</v>
      </c>
      <c r="J168" s="63">
        <v>3750</v>
      </c>
      <c r="K168" s="63">
        <f t="shared" si="14"/>
        <v>3750</v>
      </c>
      <c r="L168" s="62" t="str">
        <f t="shared" si="15"/>
        <v/>
      </c>
      <c r="M168" s="63"/>
    </row>
    <row r="169" spans="2:13" s="46" customFormat="1" ht="15">
      <c r="B169" s="534">
        <f t="shared" si="12"/>
        <v>164</v>
      </c>
      <c r="C169" s="56" t="s">
        <v>2281</v>
      </c>
      <c r="D169" s="56" t="s">
        <v>2282</v>
      </c>
      <c r="E169" s="57"/>
      <c r="F169" s="58"/>
      <c r="G169" s="59">
        <v>45318</v>
      </c>
      <c r="H169" s="57" t="s">
        <v>129</v>
      </c>
      <c r="I169" s="62">
        <f t="shared" si="13"/>
        <v>39.727272727272748</v>
      </c>
      <c r="J169" s="63">
        <v>437</v>
      </c>
      <c r="K169" s="63">
        <f t="shared" si="14"/>
        <v>437</v>
      </c>
      <c r="L169" s="62" t="str">
        <f t="shared" si="15"/>
        <v/>
      </c>
      <c r="M169" s="63"/>
    </row>
    <row r="170" spans="2:13" s="46" customFormat="1" ht="15">
      <c r="B170" s="534">
        <f t="shared" si="12"/>
        <v>165</v>
      </c>
      <c r="C170" s="56" t="s">
        <v>2281</v>
      </c>
      <c r="D170" s="56" t="s">
        <v>2282</v>
      </c>
      <c r="E170" s="57" t="s">
        <v>2478</v>
      </c>
      <c r="F170" s="58" t="s">
        <v>2304</v>
      </c>
      <c r="G170" s="59">
        <v>45318</v>
      </c>
      <c r="H170" s="57" t="s">
        <v>129</v>
      </c>
      <c r="I170" s="62">
        <f t="shared" si="13"/>
        <v>119.18181818181824</v>
      </c>
      <c r="J170" s="63">
        <v>1311</v>
      </c>
      <c r="K170" s="63">
        <f t="shared" si="14"/>
        <v>1311</v>
      </c>
      <c r="L170" s="62" t="str">
        <f t="shared" si="15"/>
        <v/>
      </c>
      <c r="M170" s="63"/>
    </row>
    <row r="171" spans="2:13" s="46" customFormat="1" ht="15">
      <c r="B171" s="534">
        <f t="shared" si="12"/>
        <v>166</v>
      </c>
      <c r="C171" s="56" t="s">
        <v>2262</v>
      </c>
      <c r="D171" s="56" t="s">
        <v>2479</v>
      </c>
      <c r="E171" s="57" t="s">
        <v>2480</v>
      </c>
      <c r="F171" s="58"/>
      <c r="G171" s="59">
        <v>45318</v>
      </c>
      <c r="H171" s="57" t="s">
        <v>129</v>
      </c>
      <c r="I171" s="62">
        <f t="shared" si="13"/>
        <v>89.727272727272748</v>
      </c>
      <c r="J171" s="63">
        <v>987</v>
      </c>
      <c r="K171" s="63">
        <f t="shared" si="14"/>
        <v>987</v>
      </c>
      <c r="L171" s="62" t="str">
        <f t="shared" si="15"/>
        <v/>
      </c>
      <c r="M171" s="63"/>
    </row>
    <row r="172" spans="2:13" s="46" customFormat="1" ht="15">
      <c r="B172" s="534">
        <f t="shared" si="12"/>
        <v>167</v>
      </c>
      <c r="C172" s="56" t="s">
        <v>2262</v>
      </c>
      <c r="D172" s="56" t="s">
        <v>2481</v>
      </c>
      <c r="E172" s="57" t="s">
        <v>2482</v>
      </c>
      <c r="F172" s="58"/>
      <c r="G172" s="59">
        <v>45318</v>
      </c>
      <c r="H172" s="57" t="s">
        <v>129</v>
      </c>
      <c r="I172" s="62">
        <f t="shared" si="13"/>
        <v>148.00000000000023</v>
      </c>
      <c r="J172" s="63">
        <v>1628</v>
      </c>
      <c r="K172" s="63">
        <f t="shared" si="14"/>
        <v>1628</v>
      </c>
      <c r="L172" s="62" t="str">
        <f t="shared" si="15"/>
        <v/>
      </c>
      <c r="M172" s="63"/>
    </row>
    <row r="173" spans="2:13" s="46" customFormat="1" ht="15">
      <c r="B173" s="534">
        <f t="shared" si="12"/>
        <v>168</v>
      </c>
      <c r="C173" s="56" t="s">
        <v>2273</v>
      </c>
      <c r="D173" s="56" t="s">
        <v>2274</v>
      </c>
      <c r="E173" s="57" t="s">
        <v>2483</v>
      </c>
      <c r="F173" s="58"/>
      <c r="G173" s="59">
        <v>45318</v>
      </c>
      <c r="H173" s="57" t="s">
        <v>129</v>
      </c>
      <c r="I173" s="62">
        <f t="shared" si="13"/>
        <v>69.727272727272748</v>
      </c>
      <c r="J173" s="63">
        <v>767</v>
      </c>
      <c r="K173" s="63">
        <f t="shared" si="14"/>
        <v>767</v>
      </c>
      <c r="L173" s="62" t="str">
        <f t="shared" si="15"/>
        <v/>
      </c>
      <c r="M173" s="63"/>
    </row>
    <row r="174" spans="2:13" s="46" customFormat="1" ht="15">
      <c r="B174" s="534">
        <f t="shared" si="12"/>
        <v>169</v>
      </c>
      <c r="C174" s="56" t="s">
        <v>2262</v>
      </c>
      <c r="D174" s="56" t="s">
        <v>2484</v>
      </c>
      <c r="E174" s="57" t="s">
        <v>2485</v>
      </c>
      <c r="F174" s="64"/>
      <c r="G174" s="59">
        <v>45318</v>
      </c>
      <c r="H174" s="57" t="s">
        <v>2486</v>
      </c>
      <c r="I174" s="62">
        <f t="shared" si="13"/>
        <v>10.000000000000014</v>
      </c>
      <c r="J174" s="63">
        <v>110</v>
      </c>
      <c r="K174" s="63">
        <f t="shared" si="14"/>
        <v>110</v>
      </c>
      <c r="L174" s="62" t="str">
        <f t="shared" si="15"/>
        <v/>
      </c>
      <c r="M174" s="63"/>
    </row>
    <row r="175" spans="2:13" s="46" customFormat="1" ht="15">
      <c r="B175" s="534">
        <f t="shared" si="12"/>
        <v>170</v>
      </c>
      <c r="C175" s="56" t="s">
        <v>2262</v>
      </c>
      <c r="D175" s="56" t="s">
        <v>2487</v>
      </c>
      <c r="E175" s="57" t="s">
        <v>2488</v>
      </c>
      <c r="F175" s="64"/>
      <c r="G175" s="59">
        <v>45318</v>
      </c>
      <c r="H175" s="57" t="s">
        <v>2486</v>
      </c>
      <c r="I175" s="62">
        <f t="shared" si="13"/>
        <v>10.000000000000014</v>
      </c>
      <c r="J175" s="63">
        <v>110</v>
      </c>
      <c r="K175" s="63">
        <f t="shared" si="14"/>
        <v>110</v>
      </c>
      <c r="L175" s="62" t="str">
        <f t="shared" si="15"/>
        <v/>
      </c>
      <c r="M175" s="63"/>
    </row>
    <row r="176" spans="2:13" s="46" customFormat="1" ht="15">
      <c r="B176" s="534">
        <f t="shared" si="12"/>
        <v>171</v>
      </c>
      <c r="C176" s="56" t="s">
        <v>2281</v>
      </c>
      <c r="D176" s="56" t="s">
        <v>2282</v>
      </c>
      <c r="E176" s="57"/>
      <c r="F176" s="58"/>
      <c r="G176" s="59">
        <v>45319</v>
      </c>
      <c r="H176" s="57" t="s">
        <v>2297</v>
      </c>
      <c r="I176" s="62">
        <f t="shared" si="13"/>
        <v>409.09090909090946</v>
      </c>
      <c r="J176" s="63">
        <v>4500</v>
      </c>
      <c r="K176" s="63">
        <f t="shared" si="14"/>
        <v>4500</v>
      </c>
      <c r="L176" s="62" t="str">
        <f t="shared" si="15"/>
        <v/>
      </c>
      <c r="M176" s="63"/>
    </row>
    <row r="177" spans="2:13" s="46" customFormat="1" ht="15">
      <c r="B177" s="534">
        <f t="shared" si="12"/>
        <v>172</v>
      </c>
      <c r="C177" s="56" t="s">
        <v>2281</v>
      </c>
      <c r="D177" s="56" t="s">
        <v>2282</v>
      </c>
      <c r="E177" s="57" t="s">
        <v>2489</v>
      </c>
      <c r="F177" s="58" t="s">
        <v>2271</v>
      </c>
      <c r="G177" s="59">
        <v>45319</v>
      </c>
      <c r="H177" s="57" t="s">
        <v>129</v>
      </c>
      <c r="I177" s="62">
        <f t="shared" si="13"/>
        <v>99.454545454545496</v>
      </c>
      <c r="J177" s="63">
        <v>1094</v>
      </c>
      <c r="K177" s="63">
        <f t="shared" si="14"/>
        <v>1094</v>
      </c>
      <c r="L177" s="62" t="str">
        <f t="shared" si="15"/>
        <v/>
      </c>
      <c r="M177" s="63"/>
    </row>
    <row r="178" spans="2:13" s="46" customFormat="1" ht="15">
      <c r="B178" s="534">
        <f t="shared" si="12"/>
        <v>173</v>
      </c>
      <c r="C178" s="56" t="s">
        <v>2281</v>
      </c>
      <c r="D178" s="56" t="s">
        <v>2282</v>
      </c>
      <c r="E178" s="57" t="s">
        <v>2478</v>
      </c>
      <c r="F178" s="58" t="s">
        <v>2304</v>
      </c>
      <c r="G178" s="59">
        <v>45319</v>
      </c>
      <c r="H178" s="57" t="s">
        <v>129</v>
      </c>
      <c r="I178" s="62">
        <f t="shared" si="13"/>
        <v>119.18181818181824</v>
      </c>
      <c r="J178" s="63">
        <v>1311</v>
      </c>
      <c r="K178" s="63">
        <f t="shared" si="14"/>
        <v>1311</v>
      </c>
      <c r="L178" s="62" t="str">
        <f t="shared" si="15"/>
        <v/>
      </c>
      <c r="M178" s="63"/>
    </row>
    <row r="179" spans="2:13" s="46" customFormat="1" ht="15">
      <c r="B179" s="534">
        <f t="shared" si="12"/>
        <v>174</v>
      </c>
      <c r="C179" s="56" t="s">
        <v>2262</v>
      </c>
      <c r="D179" s="56" t="s">
        <v>2373</v>
      </c>
      <c r="E179" s="57" t="s">
        <v>2374</v>
      </c>
      <c r="F179" s="58"/>
      <c r="G179" s="59">
        <v>45319</v>
      </c>
      <c r="H179" s="57" t="s">
        <v>129</v>
      </c>
      <c r="I179" s="62">
        <f t="shared" si="13"/>
        <v>39.727272727272748</v>
      </c>
      <c r="J179" s="63">
        <v>437</v>
      </c>
      <c r="K179" s="63">
        <f t="shared" si="14"/>
        <v>437</v>
      </c>
      <c r="L179" s="62" t="str">
        <f t="shared" si="15"/>
        <v/>
      </c>
      <c r="M179" s="63"/>
    </row>
    <row r="180" spans="2:13" s="46" customFormat="1" ht="15">
      <c r="B180" s="534">
        <f t="shared" si="12"/>
        <v>175</v>
      </c>
      <c r="C180" s="56" t="s">
        <v>2268</v>
      </c>
      <c r="D180" s="56" t="s">
        <v>2269</v>
      </c>
      <c r="E180" s="57" t="s">
        <v>2376</v>
      </c>
      <c r="F180" s="58" t="s">
        <v>2377</v>
      </c>
      <c r="G180" s="59">
        <v>45319</v>
      </c>
      <c r="H180" s="57" t="s">
        <v>129</v>
      </c>
      <c r="I180" s="62">
        <f t="shared" si="13"/>
        <v>41.81818181818187</v>
      </c>
      <c r="J180" s="63">
        <v>460</v>
      </c>
      <c r="K180" s="63">
        <f t="shared" si="14"/>
        <v>460</v>
      </c>
      <c r="L180" s="62" t="str">
        <f t="shared" si="15"/>
        <v/>
      </c>
      <c r="M180" s="63"/>
    </row>
    <row r="181" spans="2:13" s="46" customFormat="1" ht="15">
      <c r="B181" s="534">
        <f t="shared" si="12"/>
        <v>176</v>
      </c>
      <c r="C181" s="56" t="s">
        <v>2262</v>
      </c>
      <c r="D181" s="56" t="s">
        <v>2352</v>
      </c>
      <c r="E181" s="57" t="s">
        <v>2353</v>
      </c>
      <c r="F181" s="58"/>
      <c r="G181" s="59">
        <v>45319</v>
      </c>
      <c r="H181" s="57" t="s">
        <v>2265</v>
      </c>
      <c r="I181" s="62">
        <f t="shared" si="13"/>
        <v>10.000000000000014</v>
      </c>
      <c r="J181" s="63">
        <v>110</v>
      </c>
      <c r="K181" s="63">
        <f t="shared" si="14"/>
        <v>110</v>
      </c>
      <c r="L181" s="62" t="str">
        <f t="shared" si="15"/>
        <v/>
      </c>
      <c r="M181" s="63"/>
    </row>
    <row r="182" spans="2:13" s="46" customFormat="1" ht="15">
      <c r="B182" s="534">
        <f t="shared" si="12"/>
        <v>177</v>
      </c>
      <c r="C182" s="56" t="s">
        <v>2262</v>
      </c>
      <c r="D182" s="56" t="s">
        <v>2490</v>
      </c>
      <c r="E182" s="57" t="s">
        <v>2491</v>
      </c>
      <c r="F182" s="58"/>
      <c r="G182" s="59">
        <v>45319</v>
      </c>
      <c r="H182" s="57" t="s">
        <v>2265</v>
      </c>
      <c r="I182" s="62">
        <f t="shared" si="13"/>
        <v>10.000000000000014</v>
      </c>
      <c r="J182" s="63">
        <v>110</v>
      </c>
      <c r="K182" s="63">
        <f t="shared" si="14"/>
        <v>110</v>
      </c>
      <c r="L182" s="62" t="str">
        <f t="shared" si="15"/>
        <v/>
      </c>
      <c r="M182" s="63"/>
    </row>
    <row r="183" spans="2:13" s="46" customFormat="1" ht="15">
      <c r="B183" s="534">
        <f t="shared" si="12"/>
        <v>178</v>
      </c>
      <c r="C183" s="56" t="s">
        <v>2262</v>
      </c>
      <c r="D183" s="56" t="s">
        <v>2283</v>
      </c>
      <c r="E183" s="57" t="s">
        <v>2492</v>
      </c>
      <c r="F183" s="58"/>
      <c r="G183" s="59">
        <v>45319</v>
      </c>
      <c r="H183" s="57" t="s">
        <v>2265</v>
      </c>
      <c r="I183" s="62">
        <f t="shared" si="13"/>
        <v>20.000000000000028</v>
      </c>
      <c r="J183" s="63">
        <v>220</v>
      </c>
      <c r="K183" s="63">
        <f t="shared" si="14"/>
        <v>220</v>
      </c>
      <c r="L183" s="62" t="str">
        <f t="shared" si="15"/>
        <v/>
      </c>
      <c r="M183" s="63"/>
    </row>
    <row r="184" spans="2:13" s="46" customFormat="1" ht="15">
      <c r="B184" s="534">
        <f t="shared" si="12"/>
        <v>179</v>
      </c>
      <c r="C184" s="56" t="s">
        <v>2262</v>
      </c>
      <c r="D184" s="56" t="s">
        <v>2493</v>
      </c>
      <c r="E184" s="57" t="s">
        <v>2494</v>
      </c>
      <c r="F184" s="58"/>
      <c r="G184" s="59">
        <v>45319</v>
      </c>
      <c r="H184" s="57" t="s">
        <v>2265</v>
      </c>
      <c r="I184" s="62">
        <f t="shared" si="13"/>
        <v>10.000000000000014</v>
      </c>
      <c r="J184" s="63">
        <v>110</v>
      </c>
      <c r="K184" s="63">
        <f t="shared" si="14"/>
        <v>110</v>
      </c>
      <c r="L184" s="62" t="str">
        <f t="shared" si="15"/>
        <v/>
      </c>
      <c r="M184" s="63"/>
    </row>
    <row r="185" spans="2:13" s="46" customFormat="1" ht="15">
      <c r="B185" s="534">
        <f t="shared" si="12"/>
        <v>180</v>
      </c>
      <c r="C185" s="56" t="s">
        <v>2262</v>
      </c>
      <c r="D185" s="56" t="s">
        <v>2495</v>
      </c>
      <c r="E185" s="57" t="s">
        <v>2496</v>
      </c>
      <c r="F185" s="58"/>
      <c r="G185" s="59">
        <v>45323</v>
      </c>
      <c r="H185" s="57" t="s">
        <v>2307</v>
      </c>
      <c r="I185" s="62">
        <f t="shared" si="13"/>
        <v>48.909090909090935</v>
      </c>
      <c r="J185" s="63">
        <v>538</v>
      </c>
      <c r="K185" s="63">
        <f t="shared" si="14"/>
        <v>538</v>
      </c>
      <c r="L185" s="62" t="str">
        <f t="shared" si="15"/>
        <v/>
      </c>
      <c r="M185" s="63"/>
    </row>
    <row r="186" spans="2:13" s="46" customFormat="1" ht="15">
      <c r="B186" s="534">
        <f t="shared" si="12"/>
        <v>181</v>
      </c>
      <c r="C186" s="56" t="s">
        <v>2262</v>
      </c>
      <c r="D186" s="56" t="s">
        <v>2497</v>
      </c>
      <c r="E186" s="57" t="s">
        <v>2498</v>
      </c>
      <c r="F186" s="58"/>
      <c r="G186" s="59">
        <v>45324</v>
      </c>
      <c r="H186" s="57" t="s">
        <v>2307</v>
      </c>
      <c r="I186" s="62">
        <f t="shared" si="13"/>
        <v>817.27272727272793</v>
      </c>
      <c r="J186" s="63">
        <v>8990</v>
      </c>
      <c r="K186" s="63">
        <f t="shared" si="14"/>
        <v>8990</v>
      </c>
      <c r="L186" s="62" t="str">
        <f t="shared" si="15"/>
        <v/>
      </c>
      <c r="M186" s="63"/>
    </row>
    <row r="187" spans="2:13" s="46" customFormat="1" ht="15">
      <c r="B187" s="534">
        <f t="shared" si="12"/>
        <v>182</v>
      </c>
      <c r="C187" s="56" t="s">
        <v>2262</v>
      </c>
      <c r="D187" s="56" t="s">
        <v>2499</v>
      </c>
      <c r="E187" s="57" t="s">
        <v>2500</v>
      </c>
      <c r="F187" s="58"/>
      <c r="G187" s="59">
        <v>45324</v>
      </c>
      <c r="H187" s="57" t="s">
        <v>2307</v>
      </c>
      <c r="I187" s="62">
        <f t="shared" si="13"/>
        <v>332.72727272727298</v>
      </c>
      <c r="J187" s="63">
        <v>3660</v>
      </c>
      <c r="K187" s="63">
        <f t="shared" si="14"/>
        <v>3660</v>
      </c>
      <c r="L187" s="62" t="str">
        <f t="shared" si="15"/>
        <v/>
      </c>
      <c r="M187" s="63"/>
    </row>
    <row r="188" spans="2:13" s="46" customFormat="1" ht="15">
      <c r="B188" s="534">
        <f t="shared" si="12"/>
        <v>183</v>
      </c>
      <c r="C188" s="56" t="s">
        <v>2262</v>
      </c>
      <c r="D188" s="56" t="s">
        <v>2501</v>
      </c>
      <c r="E188" s="57" t="s">
        <v>2502</v>
      </c>
      <c r="F188" s="58"/>
      <c r="G188" s="59">
        <v>45324</v>
      </c>
      <c r="H188" s="57" t="s">
        <v>2307</v>
      </c>
      <c r="I188" s="62">
        <f t="shared" si="13"/>
        <v>216.36363636363649</v>
      </c>
      <c r="J188" s="63">
        <v>2380</v>
      </c>
      <c r="K188" s="63">
        <f t="shared" si="14"/>
        <v>2380</v>
      </c>
      <c r="L188" s="62" t="str">
        <f t="shared" si="15"/>
        <v/>
      </c>
      <c r="M188" s="63"/>
    </row>
    <row r="189" spans="2:13" s="46" customFormat="1" ht="15">
      <c r="B189" s="534">
        <f t="shared" si="12"/>
        <v>184</v>
      </c>
      <c r="C189" s="56" t="s">
        <v>2262</v>
      </c>
      <c r="D189" s="56" t="s">
        <v>2276</v>
      </c>
      <c r="E189" s="57" t="s">
        <v>2447</v>
      </c>
      <c r="F189" s="58"/>
      <c r="G189" s="59">
        <v>45327</v>
      </c>
      <c r="H189" s="57" t="s">
        <v>133</v>
      </c>
      <c r="I189" s="62">
        <f t="shared" si="13"/>
        <v>52.545454545454618</v>
      </c>
      <c r="J189" s="63">
        <v>578</v>
      </c>
      <c r="K189" s="63">
        <f t="shared" si="14"/>
        <v>578</v>
      </c>
      <c r="L189" s="62" t="str">
        <f t="shared" si="15"/>
        <v/>
      </c>
      <c r="M189" s="63"/>
    </row>
    <row r="190" spans="2:13" s="46" customFormat="1" ht="15">
      <c r="B190" s="534">
        <f t="shared" si="12"/>
        <v>185</v>
      </c>
      <c r="C190" s="56" t="s">
        <v>2281</v>
      </c>
      <c r="D190" s="56" t="s">
        <v>2282</v>
      </c>
      <c r="E190" s="57"/>
      <c r="F190" s="58"/>
      <c r="G190" s="59">
        <v>45332</v>
      </c>
      <c r="H190" s="57" t="s">
        <v>2297</v>
      </c>
      <c r="I190" s="62">
        <f t="shared" si="13"/>
        <v>209.09090909090946</v>
      </c>
      <c r="J190" s="63">
        <v>2300</v>
      </c>
      <c r="K190" s="63">
        <f t="shared" si="14"/>
        <v>2300</v>
      </c>
      <c r="L190" s="62" t="str">
        <f t="shared" si="15"/>
        <v/>
      </c>
      <c r="M190" s="63"/>
    </row>
    <row r="191" spans="2:13" s="46" customFormat="1" ht="15">
      <c r="B191" s="534">
        <f t="shared" si="12"/>
        <v>186</v>
      </c>
      <c r="C191" s="56" t="s">
        <v>2262</v>
      </c>
      <c r="D191" s="56" t="s">
        <v>2276</v>
      </c>
      <c r="E191" s="57" t="s">
        <v>2328</v>
      </c>
      <c r="F191" s="58"/>
      <c r="G191" s="59">
        <v>45332</v>
      </c>
      <c r="H191" s="57" t="s">
        <v>129</v>
      </c>
      <c r="I191" s="62">
        <f t="shared" si="13"/>
        <v>39.727272727272748</v>
      </c>
      <c r="J191" s="63">
        <v>437</v>
      </c>
      <c r="K191" s="63">
        <f t="shared" si="14"/>
        <v>437</v>
      </c>
      <c r="L191" s="62" t="str">
        <f t="shared" si="15"/>
        <v/>
      </c>
      <c r="M191" s="63"/>
    </row>
    <row r="192" spans="2:13" s="46" customFormat="1" ht="15">
      <c r="B192" s="534">
        <f t="shared" si="12"/>
        <v>187</v>
      </c>
      <c r="C192" s="56" t="s">
        <v>2262</v>
      </c>
      <c r="D192" s="56" t="s">
        <v>2459</v>
      </c>
      <c r="E192" s="57" t="s">
        <v>2460</v>
      </c>
      <c r="F192" s="58" t="s">
        <v>2503</v>
      </c>
      <c r="G192" s="59">
        <v>45332</v>
      </c>
      <c r="H192" s="57" t="s">
        <v>2265</v>
      </c>
      <c r="I192" s="62">
        <f t="shared" si="13"/>
        <v>190.00000000000023</v>
      </c>
      <c r="J192" s="63">
        <v>2090</v>
      </c>
      <c r="K192" s="63">
        <f t="shared" si="14"/>
        <v>2090</v>
      </c>
      <c r="L192" s="62" t="str">
        <f t="shared" si="15"/>
        <v/>
      </c>
      <c r="M192" s="63"/>
    </row>
    <row r="193" spans="2:14" s="46" customFormat="1" ht="15">
      <c r="B193" s="534">
        <f t="shared" si="12"/>
        <v>188</v>
      </c>
      <c r="C193" s="56" t="s">
        <v>2262</v>
      </c>
      <c r="D193" s="56" t="s">
        <v>2504</v>
      </c>
      <c r="E193" s="57" t="s">
        <v>2505</v>
      </c>
      <c r="F193" s="58"/>
      <c r="G193" s="59">
        <v>45332</v>
      </c>
      <c r="H193" s="57" t="s">
        <v>45</v>
      </c>
      <c r="I193" s="62">
        <f t="shared" si="13"/>
        <v>10.000000000000014</v>
      </c>
      <c r="J193" s="63">
        <v>110</v>
      </c>
      <c r="K193" s="63">
        <f t="shared" si="14"/>
        <v>110</v>
      </c>
      <c r="L193" s="62" t="str">
        <f t="shared" si="15"/>
        <v/>
      </c>
      <c r="M193" s="63"/>
    </row>
    <row r="194" spans="2:14" s="46" customFormat="1" ht="15">
      <c r="B194" s="534">
        <f t="shared" si="12"/>
        <v>189</v>
      </c>
      <c r="C194" s="56" t="s">
        <v>2262</v>
      </c>
      <c r="D194" s="56" t="s">
        <v>2459</v>
      </c>
      <c r="E194" s="57" t="s">
        <v>2506</v>
      </c>
      <c r="F194" s="58" t="s">
        <v>2271</v>
      </c>
      <c r="G194" s="59">
        <v>45332</v>
      </c>
      <c r="H194" s="57" t="s">
        <v>45</v>
      </c>
      <c r="I194" s="62">
        <f t="shared" si="13"/>
        <v>20.000000000000028</v>
      </c>
      <c r="J194" s="63">
        <v>220</v>
      </c>
      <c r="K194" s="63">
        <f t="shared" si="14"/>
        <v>220</v>
      </c>
      <c r="L194" s="62" t="str">
        <f t="shared" si="15"/>
        <v/>
      </c>
      <c r="M194" s="63"/>
    </row>
    <row r="195" spans="2:14" s="46" customFormat="1" ht="15">
      <c r="B195" s="534">
        <f t="shared" si="12"/>
        <v>190</v>
      </c>
      <c r="C195" s="56" t="s">
        <v>2262</v>
      </c>
      <c r="D195" s="56" t="s">
        <v>2507</v>
      </c>
      <c r="E195" s="57" t="s">
        <v>2508</v>
      </c>
      <c r="F195" s="58"/>
      <c r="G195" s="59">
        <v>45332</v>
      </c>
      <c r="H195" s="57" t="s">
        <v>45</v>
      </c>
      <c r="I195" s="62">
        <f t="shared" si="13"/>
        <v>10.000000000000014</v>
      </c>
      <c r="J195" s="63">
        <v>110</v>
      </c>
      <c r="K195" s="63">
        <f t="shared" si="14"/>
        <v>110</v>
      </c>
      <c r="L195" s="62" t="str">
        <f t="shared" si="15"/>
        <v/>
      </c>
      <c r="M195" s="63"/>
    </row>
    <row r="196" spans="2:14" s="46" customFormat="1" ht="15">
      <c r="B196" s="534">
        <f t="shared" si="12"/>
        <v>191</v>
      </c>
      <c r="C196" s="56" t="s">
        <v>2262</v>
      </c>
      <c r="D196" s="56" t="s">
        <v>2509</v>
      </c>
      <c r="E196" s="57" t="s">
        <v>2510</v>
      </c>
      <c r="F196" s="58" t="s">
        <v>2271</v>
      </c>
      <c r="G196" s="59">
        <v>45332</v>
      </c>
      <c r="H196" s="57" t="s">
        <v>45</v>
      </c>
      <c r="I196" s="62">
        <f t="shared" si="13"/>
        <v>20.000000000000028</v>
      </c>
      <c r="J196" s="63">
        <v>220</v>
      </c>
      <c r="K196" s="63">
        <f t="shared" si="14"/>
        <v>0</v>
      </c>
      <c r="L196" s="62" t="str">
        <f t="shared" si="15"/>
        <v/>
      </c>
      <c r="M196" s="63"/>
      <c r="N196" s="66" t="s">
        <v>24</v>
      </c>
    </row>
    <row r="197" spans="2:14" s="46" customFormat="1" ht="15">
      <c r="B197" s="534">
        <f t="shared" si="12"/>
        <v>192</v>
      </c>
      <c r="C197" s="56" t="s">
        <v>2262</v>
      </c>
      <c r="D197" s="56" t="s">
        <v>2487</v>
      </c>
      <c r="E197" s="57" t="s">
        <v>2511</v>
      </c>
      <c r="F197" s="58"/>
      <c r="G197" s="59">
        <v>45332</v>
      </c>
      <c r="H197" s="57" t="s">
        <v>45</v>
      </c>
      <c r="I197" s="62">
        <f t="shared" si="13"/>
        <v>10.000000000000014</v>
      </c>
      <c r="J197" s="63">
        <v>110</v>
      </c>
      <c r="K197" s="63">
        <f t="shared" si="14"/>
        <v>110</v>
      </c>
      <c r="L197" s="62" t="str">
        <f t="shared" si="15"/>
        <v/>
      </c>
      <c r="M197" s="63"/>
    </row>
    <row r="198" spans="2:14" s="46" customFormat="1" ht="15">
      <c r="B198" s="534">
        <f t="shared" si="12"/>
        <v>193</v>
      </c>
      <c r="C198" s="56" t="s">
        <v>2262</v>
      </c>
      <c r="D198" s="56" t="s">
        <v>2512</v>
      </c>
      <c r="E198" s="57" t="s">
        <v>2513</v>
      </c>
      <c r="F198" s="58"/>
      <c r="G198" s="59">
        <v>45333</v>
      </c>
      <c r="H198" s="57" t="s">
        <v>45</v>
      </c>
      <c r="I198" s="62">
        <f t="shared" si="13"/>
        <v>10.000000000000014</v>
      </c>
      <c r="J198" s="63">
        <v>110</v>
      </c>
      <c r="K198" s="63">
        <f t="shared" si="14"/>
        <v>110</v>
      </c>
      <c r="L198" s="62" t="str">
        <f t="shared" si="15"/>
        <v/>
      </c>
      <c r="M198" s="63"/>
    </row>
    <row r="199" spans="2:14" s="46" customFormat="1" ht="15">
      <c r="B199" s="534">
        <f t="shared" si="12"/>
        <v>194</v>
      </c>
      <c r="C199" s="56" t="s">
        <v>2262</v>
      </c>
      <c r="D199" s="56" t="s">
        <v>2514</v>
      </c>
      <c r="E199" s="57" t="s">
        <v>2515</v>
      </c>
      <c r="F199" s="58"/>
      <c r="G199" s="59">
        <v>45333</v>
      </c>
      <c r="H199" s="57" t="s">
        <v>45</v>
      </c>
      <c r="I199" s="62">
        <f t="shared" si="13"/>
        <v>10.000000000000014</v>
      </c>
      <c r="J199" s="63">
        <v>110</v>
      </c>
      <c r="K199" s="63">
        <f t="shared" si="14"/>
        <v>110</v>
      </c>
      <c r="L199" s="62" t="str">
        <f t="shared" si="15"/>
        <v/>
      </c>
      <c r="M199" s="63"/>
    </row>
    <row r="200" spans="2:14" s="46" customFormat="1" ht="15">
      <c r="B200" s="534">
        <f t="shared" si="12"/>
        <v>195</v>
      </c>
      <c r="C200" s="56" t="s">
        <v>2262</v>
      </c>
      <c r="D200" s="56" t="s">
        <v>2516</v>
      </c>
      <c r="E200" s="57" t="s">
        <v>2517</v>
      </c>
      <c r="F200" s="58"/>
      <c r="G200" s="59">
        <v>45333</v>
      </c>
      <c r="H200" s="57" t="s">
        <v>45</v>
      </c>
      <c r="I200" s="62">
        <f t="shared" si="13"/>
        <v>10.000000000000014</v>
      </c>
      <c r="J200" s="63">
        <v>110</v>
      </c>
      <c r="K200" s="63">
        <f t="shared" si="14"/>
        <v>110</v>
      </c>
      <c r="L200" s="62" t="str">
        <f t="shared" si="15"/>
        <v/>
      </c>
      <c r="M200" s="63"/>
    </row>
    <row r="201" spans="2:14" s="46" customFormat="1" ht="15">
      <c r="B201" s="534">
        <f t="shared" si="12"/>
        <v>196</v>
      </c>
      <c r="C201" s="56" t="s">
        <v>2262</v>
      </c>
      <c r="D201" s="56" t="s">
        <v>2518</v>
      </c>
      <c r="E201" s="57" t="s">
        <v>2519</v>
      </c>
      <c r="F201" s="58"/>
      <c r="G201" s="59">
        <v>45333</v>
      </c>
      <c r="H201" s="57" t="s">
        <v>45</v>
      </c>
      <c r="I201" s="62">
        <f t="shared" si="13"/>
        <v>10.000000000000014</v>
      </c>
      <c r="J201" s="63">
        <v>110</v>
      </c>
      <c r="K201" s="63">
        <f t="shared" si="14"/>
        <v>110</v>
      </c>
      <c r="L201" s="62" t="str">
        <f t="shared" si="15"/>
        <v/>
      </c>
      <c r="M201" s="63"/>
    </row>
    <row r="202" spans="2:14" s="46" customFormat="1" ht="15">
      <c r="B202" s="534">
        <f t="shared" si="12"/>
        <v>197</v>
      </c>
      <c r="C202" s="56" t="s">
        <v>2281</v>
      </c>
      <c r="D202" s="56" t="s">
        <v>2282</v>
      </c>
      <c r="E202" s="57" t="s">
        <v>2520</v>
      </c>
      <c r="F202" s="58" t="s">
        <v>2521</v>
      </c>
      <c r="G202" s="59">
        <v>45333</v>
      </c>
      <c r="H202" s="57" t="s">
        <v>49</v>
      </c>
      <c r="I202" s="62">
        <f t="shared" si="13"/>
        <v>70</v>
      </c>
      <c r="J202" s="63">
        <v>770</v>
      </c>
      <c r="K202" s="63">
        <f t="shared" si="14"/>
        <v>770</v>
      </c>
      <c r="L202" s="62" t="str">
        <f t="shared" si="15"/>
        <v/>
      </c>
      <c r="M202" s="63"/>
    </row>
    <row r="203" spans="2:14" s="46" customFormat="1" ht="15">
      <c r="B203" s="534">
        <f t="shared" si="12"/>
        <v>198</v>
      </c>
      <c r="C203" s="56" t="s">
        <v>2262</v>
      </c>
      <c r="D203" s="56" t="s">
        <v>2522</v>
      </c>
      <c r="E203" s="57" t="s">
        <v>2523</v>
      </c>
      <c r="F203" s="58"/>
      <c r="G203" s="59">
        <v>45333</v>
      </c>
      <c r="H203" s="57" t="s">
        <v>49</v>
      </c>
      <c r="I203" s="62">
        <f t="shared" si="13"/>
        <v>10.000000000000014</v>
      </c>
      <c r="J203" s="63">
        <v>110</v>
      </c>
      <c r="K203" s="63">
        <f t="shared" si="14"/>
        <v>110</v>
      </c>
      <c r="L203" s="62" t="str">
        <f t="shared" si="15"/>
        <v/>
      </c>
      <c r="M203" s="63"/>
    </row>
    <row r="204" spans="2:14" s="46" customFormat="1" ht="15">
      <c r="B204" s="534">
        <f t="shared" ref="B204:B267" si="16">ROW()-5</f>
        <v>199</v>
      </c>
      <c r="C204" s="56" t="s">
        <v>2262</v>
      </c>
      <c r="D204" s="56" t="s">
        <v>2397</v>
      </c>
      <c r="E204" s="57" t="s">
        <v>2524</v>
      </c>
      <c r="F204" s="58"/>
      <c r="G204" s="59">
        <v>45333</v>
      </c>
      <c r="H204" s="57" t="s">
        <v>49</v>
      </c>
      <c r="I204" s="62">
        <f t="shared" ref="I204:I267" si="17">IF(J204&lt;&gt;"",J204-J204/1.1,"")</f>
        <v>10.000000000000014</v>
      </c>
      <c r="J204" s="63">
        <v>110</v>
      </c>
      <c r="K204" s="63">
        <f t="shared" ref="K204:K267" si="18">IF(N204="",J204,0)</f>
        <v>110</v>
      </c>
      <c r="L204" s="62" t="str">
        <f t="shared" ref="L204:L267" si="19">IF(M204&lt;&gt;"",M204-M204/1.1,"")</f>
        <v/>
      </c>
      <c r="M204" s="63"/>
    </row>
    <row r="205" spans="2:14" s="46" customFormat="1" ht="15">
      <c r="B205" s="534">
        <f t="shared" si="16"/>
        <v>200</v>
      </c>
      <c r="C205" s="56" t="s">
        <v>2262</v>
      </c>
      <c r="D205" s="56" t="s">
        <v>2295</v>
      </c>
      <c r="E205" s="57" t="s">
        <v>2525</v>
      </c>
      <c r="F205" s="58"/>
      <c r="G205" s="59">
        <v>45333</v>
      </c>
      <c r="H205" s="57" t="s">
        <v>129</v>
      </c>
      <c r="I205" s="62">
        <f t="shared" si="17"/>
        <v>17.727272727272748</v>
      </c>
      <c r="J205" s="63">
        <v>195</v>
      </c>
      <c r="K205" s="63">
        <f t="shared" si="18"/>
        <v>195</v>
      </c>
      <c r="L205" s="62" t="str">
        <f t="shared" si="19"/>
        <v/>
      </c>
      <c r="M205" s="63"/>
    </row>
    <row r="206" spans="2:14" s="46" customFormat="1" ht="15">
      <c r="B206" s="534">
        <f t="shared" si="16"/>
        <v>201</v>
      </c>
      <c r="C206" s="56" t="s">
        <v>2262</v>
      </c>
      <c r="D206" s="56" t="s">
        <v>2295</v>
      </c>
      <c r="E206" s="57" t="s">
        <v>2526</v>
      </c>
      <c r="F206" s="58"/>
      <c r="G206" s="59">
        <v>45333</v>
      </c>
      <c r="H206" s="57" t="s">
        <v>129</v>
      </c>
      <c r="I206" s="62">
        <f t="shared" si="17"/>
        <v>15.727272727272748</v>
      </c>
      <c r="J206" s="63">
        <v>173</v>
      </c>
      <c r="K206" s="63">
        <f t="shared" si="18"/>
        <v>173</v>
      </c>
      <c r="L206" s="62" t="str">
        <f t="shared" si="19"/>
        <v/>
      </c>
      <c r="M206" s="63"/>
    </row>
    <row r="207" spans="2:14" s="46" customFormat="1" ht="15">
      <c r="B207" s="534">
        <f t="shared" si="16"/>
        <v>202</v>
      </c>
      <c r="C207" s="56" t="s">
        <v>2262</v>
      </c>
      <c r="D207" s="56" t="s">
        <v>2527</v>
      </c>
      <c r="E207" s="57" t="s">
        <v>2528</v>
      </c>
      <c r="F207" s="58"/>
      <c r="G207" s="59">
        <v>45333</v>
      </c>
      <c r="H207" s="57" t="s">
        <v>129</v>
      </c>
      <c r="I207" s="62">
        <f t="shared" si="17"/>
        <v>10.727272727272734</v>
      </c>
      <c r="J207" s="63">
        <v>118</v>
      </c>
      <c r="K207" s="63">
        <f t="shared" si="18"/>
        <v>118</v>
      </c>
      <c r="L207" s="62" t="str">
        <f t="shared" si="19"/>
        <v/>
      </c>
      <c r="M207" s="63"/>
    </row>
    <row r="208" spans="2:14" s="46" customFormat="1" ht="15">
      <c r="B208" s="534">
        <f t="shared" si="16"/>
        <v>203</v>
      </c>
      <c r="C208" s="56" t="s">
        <v>2262</v>
      </c>
      <c r="D208" s="56" t="s">
        <v>2527</v>
      </c>
      <c r="E208" s="57" t="s">
        <v>2529</v>
      </c>
      <c r="F208" s="58"/>
      <c r="G208" s="59">
        <v>45333</v>
      </c>
      <c r="H208" s="57" t="s">
        <v>129</v>
      </c>
      <c r="I208" s="62">
        <f t="shared" si="17"/>
        <v>8.7272727272727337</v>
      </c>
      <c r="J208" s="63">
        <v>96</v>
      </c>
      <c r="K208" s="63">
        <f t="shared" si="18"/>
        <v>96</v>
      </c>
      <c r="L208" s="62" t="str">
        <f t="shared" si="19"/>
        <v/>
      </c>
      <c r="M208" s="63"/>
    </row>
    <row r="209" spans="2:14" s="46" customFormat="1" ht="15">
      <c r="B209" s="534">
        <f t="shared" si="16"/>
        <v>204</v>
      </c>
      <c r="C209" s="56" t="s">
        <v>2262</v>
      </c>
      <c r="D209" s="56" t="s">
        <v>2507</v>
      </c>
      <c r="E209" s="57" t="s">
        <v>2530</v>
      </c>
      <c r="F209" s="58"/>
      <c r="G209" s="59">
        <v>45333</v>
      </c>
      <c r="H209" s="57" t="s">
        <v>129</v>
      </c>
      <c r="I209" s="62">
        <f t="shared" si="17"/>
        <v>22.727272727272748</v>
      </c>
      <c r="J209" s="63">
        <v>250</v>
      </c>
      <c r="K209" s="63">
        <f t="shared" si="18"/>
        <v>250</v>
      </c>
      <c r="L209" s="62" t="str">
        <f t="shared" si="19"/>
        <v/>
      </c>
      <c r="M209" s="63"/>
    </row>
    <row r="210" spans="2:14" s="46" customFormat="1" ht="15">
      <c r="B210" s="534">
        <f t="shared" si="16"/>
        <v>205</v>
      </c>
      <c r="C210" s="56" t="s">
        <v>2281</v>
      </c>
      <c r="D210" s="56" t="s">
        <v>2282</v>
      </c>
      <c r="E210" s="57" t="s">
        <v>2489</v>
      </c>
      <c r="F210" s="64"/>
      <c r="G210" s="59">
        <v>45333</v>
      </c>
      <c r="H210" s="57" t="s">
        <v>129</v>
      </c>
      <c r="I210" s="62">
        <f t="shared" si="17"/>
        <v>49.727272727272748</v>
      </c>
      <c r="J210" s="63">
        <v>547</v>
      </c>
      <c r="K210" s="63">
        <f t="shared" si="18"/>
        <v>547</v>
      </c>
      <c r="L210" s="62" t="str">
        <f t="shared" si="19"/>
        <v/>
      </c>
      <c r="M210" s="63"/>
    </row>
    <row r="211" spans="2:14" s="46" customFormat="1" ht="15">
      <c r="B211" s="534">
        <f t="shared" si="16"/>
        <v>206</v>
      </c>
      <c r="C211" s="56" t="s">
        <v>2281</v>
      </c>
      <c r="D211" s="56" t="s">
        <v>2282</v>
      </c>
      <c r="E211" s="57" t="s">
        <v>2531</v>
      </c>
      <c r="F211" s="58"/>
      <c r="G211" s="59">
        <v>45333</v>
      </c>
      <c r="H211" s="57" t="s">
        <v>27</v>
      </c>
      <c r="I211" s="62">
        <f t="shared" si="17"/>
        <v>34.545454545454561</v>
      </c>
      <c r="J211" s="63">
        <v>380</v>
      </c>
      <c r="K211" s="63">
        <f t="shared" si="18"/>
        <v>380</v>
      </c>
      <c r="L211" s="62" t="str">
        <f t="shared" si="19"/>
        <v/>
      </c>
      <c r="M211" s="63"/>
    </row>
    <row r="212" spans="2:14" s="46" customFormat="1" ht="15">
      <c r="B212" s="534">
        <f t="shared" si="16"/>
        <v>207</v>
      </c>
      <c r="C212" s="56" t="s">
        <v>2281</v>
      </c>
      <c r="D212" s="56" t="s">
        <v>2282</v>
      </c>
      <c r="E212" s="57" t="s">
        <v>2532</v>
      </c>
      <c r="F212" s="58"/>
      <c r="G212" s="59">
        <v>45336</v>
      </c>
      <c r="H212" s="57" t="s">
        <v>27</v>
      </c>
      <c r="I212" s="62">
        <f t="shared" si="17"/>
        <v>545.45454545454595</v>
      </c>
      <c r="J212" s="63">
        <v>6000</v>
      </c>
      <c r="K212" s="63">
        <f t="shared" si="18"/>
        <v>6000</v>
      </c>
      <c r="L212" s="62" t="str">
        <f t="shared" si="19"/>
        <v/>
      </c>
      <c r="M212" s="63"/>
    </row>
    <row r="213" spans="2:14" s="46" customFormat="1" ht="15">
      <c r="B213" s="534">
        <f t="shared" si="16"/>
        <v>208</v>
      </c>
      <c r="C213" s="56" t="s">
        <v>2281</v>
      </c>
      <c r="D213" s="56" t="s">
        <v>2282</v>
      </c>
      <c r="E213" s="57" t="s">
        <v>2533</v>
      </c>
      <c r="F213" s="58"/>
      <c r="G213" s="59">
        <v>45337</v>
      </c>
      <c r="H213" s="57" t="s">
        <v>27</v>
      </c>
      <c r="I213" s="62">
        <f t="shared" si="17"/>
        <v>114.27272727272725</v>
      </c>
      <c r="J213" s="63">
        <v>1257</v>
      </c>
      <c r="K213" s="63">
        <f t="shared" si="18"/>
        <v>1257</v>
      </c>
      <c r="L213" s="62" t="str">
        <f t="shared" si="19"/>
        <v/>
      </c>
      <c r="M213" s="63"/>
    </row>
    <row r="214" spans="2:14" s="46" customFormat="1" ht="15">
      <c r="B214" s="534">
        <f t="shared" si="16"/>
        <v>209</v>
      </c>
      <c r="C214" s="56" t="s">
        <v>2442</v>
      </c>
      <c r="D214" s="56" t="s">
        <v>2534</v>
      </c>
      <c r="E214" s="57" t="s">
        <v>2535</v>
      </c>
      <c r="F214" s="58" t="s">
        <v>2536</v>
      </c>
      <c r="G214" s="59">
        <v>45338</v>
      </c>
      <c r="H214" s="57" t="s">
        <v>2537</v>
      </c>
      <c r="I214" s="62">
        <f t="shared" si="17"/>
        <v>272.72727272727298</v>
      </c>
      <c r="J214" s="63">
        <v>3000</v>
      </c>
      <c r="K214" s="63">
        <f t="shared" si="18"/>
        <v>0</v>
      </c>
      <c r="L214" s="62" t="str">
        <f t="shared" si="19"/>
        <v/>
      </c>
      <c r="M214" s="63"/>
      <c r="N214" s="66" t="s">
        <v>24</v>
      </c>
    </row>
    <row r="215" spans="2:14" s="46" customFormat="1" ht="15">
      <c r="B215" s="534">
        <f t="shared" si="16"/>
        <v>210</v>
      </c>
      <c r="C215" s="56" t="s">
        <v>2281</v>
      </c>
      <c r="D215" s="56" t="s">
        <v>2282</v>
      </c>
      <c r="E215" s="57" t="s">
        <v>2538</v>
      </c>
      <c r="F215" s="58"/>
      <c r="G215" s="59">
        <v>45338</v>
      </c>
      <c r="H215" s="57" t="s">
        <v>27</v>
      </c>
      <c r="I215" s="62">
        <f t="shared" si="17"/>
        <v>90.909090909090992</v>
      </c>
      <c r="J215" s="63">
        <v>1000</v>
      </c>
      <c r="K215" s="63">
        <f t="shared" si="18"/>
        <v>1000</v>
      </c>
      <c r="L215" s="62" t="str">
        <f t="shared" si="19"/>
        <v/>
      </c>
      <c r="M215" s="63"/>
    </row>
    <row r="216" spans="2:14" s="46" customFormat="1" ht="15">
      <c r="B216" s="534">
        <f t="shared" si="16"/>
        <v>211</v>
      </c>
      <c r="C216" s="56" t="s">
        <v>2281</v>
      </c>
      <c r="D216" s="56" t="s">
        <v>2282</v>
      </c>
      <c r="E216" s="57" t="s">
        <v>2538</v>
      </c>
      <c r="F216" s="58"/>
      <c r="G216" s="59">
        <v>45338</v>
      </c>
      <c r="H216" s="57" t="s">
        <v>27</v>
      </c>
      <c r="I216" s="62">
        <f t="shared" si="17"/>
        <v>90.909090909090992</v>
      </c>
      <c r="J216" s="63">
        <v>1000</v>
      </c>
      <c r="K216" s="63">
        <f t="shared" si="18"/>
        <v>1000</v>
      </c>
      <c r="L216" s="62" t="str">
        <f t="shared" si="19"/>
        <v/>
      </c>
      <c r="M216" s="63"/>
    </row>
    <row r="217" spans="2:14" s="46" customFormat="1" ht="15">
      <c r="B217" s="534">
        <f t="shared" si="16"/>
        <v>212</v>
      </c>
      <c r="C217" s="56" t="s">
        <v>2262</v>
      </c>
      <c r="D217" s="56" t="s">
        <v>2459</v>
      </c>
      <c r="E217" s="57" t="s">
        <v>2460</v>
      </c>
      <c r="F217" s="58"/>
      <c r="G217" s="59">
        <v>45339</v>
      </c>
      <c r="H217" s="57" t="s">
        <v>2265</v>
      </c>
      <c r="I217" s="62">
        <f t="shared" si="17"/>
        <v>10.000000000000014</v>
      </c>
      <c r="J217" s="63">
        <v>110</v>
      </c>
      <c r="K217" s="63">
        <f t="shared" si="18"/>
        <v>110</v>
      </c>
      <c r="L217" s="62" t="str">
        <f t="shared" si="19"/>
        <v/>
      </c>
      <c r="M217" s="63"/>
    </row>
    <row r="218" spans="2:14" s="46" customFormat="1" ht="15">
      <c r="B218" s="534">
        <f t="shared" si="16"/>
        <v>213</v>
      </c>
      <c r="C218" s="56" t="s">
        <v>2262</v>
      </c>
      <c r="D218" s="56" t="s">
        <v>2514</v>
      </c>
      <c r="E218" s="57" t="s">
        <v>2515</v>
      </c>
      <c r="F218" s="58" t="s">
        <v>2271</v>
      </c>
      <c r="G218" s="59">
        <v>45339</v>
      </c>
      <c r="H218" s="57" t="s">
        <v>45</v>
      </c>
      <c r="I218" s="62">
        <f t="shared" si="17"/>
        <v>20.000000000000028</v>
      </c>
      <c r="J218" s="63">
        <v>220</v>
      </c>
      <c r="K218" s="63">
        <f t="shared" si="18"/>
        <v>220</v>
      </c>
      <c r="L218" s="62" t="str">
        <f t="shared" si="19"/>
        <v/>
      </c>
      <c r="M218" s="63"/>
    </row>
    <row r="219" spans="2:14" s="46" customFormat="1" ht="15">
      <c r="B219" s="534">
        <f t="shared" si="16"/>
        <v>214</v>
      </c>
      <c r="C219" s="56" t="s">
        <v>2262</v>
      </c>
      <c r="D219" s="56" t="s">
        <v>2516</v>
      </c>
      <c r="E219" s="57" t="s">
        <v>2539</v>
      </c>
      <c r="F219" s="58"/>
      <c r="G219" s="59">
        <v>45345</v>
      </c>
      <c r="H219" s="57" t="s">
        <v>45</v>
      </c>
      <c r="I219" s="62">
        <f t="shared" si="17"/>
        <v>10.000000000000014</v>
      </c>
      <c r="J219" s="63">
        <v>110</v>
      </c>
      <c r="K219" s="63">
        <f t="shared" si="18"/>
        <v>110</v>
      </c>
      <c r="L219" s="62" t="str">
        <f t="shared" si="19"/>
        <v/>
      </c>
      <c r="M219" s="63"/>
    </row>
    <row r="220" spans="2:14" s="46" customFormat="1" ht="15">
      <c r="B220" s="534">
        <f t="shared" si="16"/>
        <v>215</v>
      </c>
      <c r="C220" s="56" t="s">
        <v>2262</v>
      </c>
      <c r="D220" s="56" t="s">
        <v>2540</v>
      </c>
      <c r="E220" s="57" t="s">
        <v>2541</v>
      </c>
      <c r="F220" s="58"/>
      <c r="G220" s="59">
        <v>45345</v>
      </c>
      <c r="H220" s="57" t="s">
        <v>45</v>
      </c>
      <c r="I220" s="62">
        <f t="shared" si="17"/>
        <v>10.000000000000014</v>
      </c>
      <c r="J220" s="63">
        <v>110</v>
      </c>
      <c r="K220" s="63">
        <f t="shared" si="18"/>
        <v>110</v>
      </c>
      <c r="L220" s="62" t="str">
        <f t="shared" si="19"/>
        <v/>
      </c>
      <c r="M220" s="63"/>
    </row>
    <row r="221" spans="2:14" s="46" customFormat="1" ht="15">
      <c r="B221" s="534">
        <f t="shared" si="16"/>
        <v>216</v>
      </c>
      <c r="C221" s="56" t="s">
        <v>2262</v>
      </c>
      <c r="D221" s="56" t="s">
        <v>2542</v>
      </c>
      <c r="E221" s="57" t="s">
        <v>2543</v>
      </c>
      <c r="F221" s="58"/>
      <c r="G221" s="59">
        <v>45345</v>
      </c>
      <c r="H221" s="57" t="s">
        <v>45</v>
      </c>
      <c r="I221" s="62">
        <f t="shared" si="17"/>
        <v>10.000000000000014</v>
      </c>
      <c r="J221" s="63">
        <v>110</v>
      </c>
      <c r="K221" s="63">
        <f t="shared" si="18"/>
        <v>110</v>
      </c>
      <c r="L221" s="62" t="str">
        <f t="shared" si="19"/>
        <v/>
      </c>
      <c r="M221" s="63"/>
    </row>
    <row r="222" spans="2:14" s="46" customFormat="1" ht="15">
      <c r="B222" s="534">
        <f t="shared" si="16"/>
        <v>217</v>
      </c>
      <c r="C222" s="56" t="s">
        <v>2262</v>
      </c>
      <c r="D222" s="56" t="s">
        <v>2276</v>
      </c>
      <c r="E222" s="57" t="s">
        <v>2544</v>
      </c>
      <c r="F222" s="58"/>
      <c r="G222" s="59">
        <v>45347</v>
      </c>
      <c r="H222" s="57" t="s">
        <v>129</v>
      </c>
      <c r="I222" s="62">
        <f t="shared" si="17"/>
        <v>44.727272727272748</v>
      </c>
      <c r="J222" s="63">
        <v>492</v>
      </c>
      <c r="K222" s="63">
        <f t="shared" si="18"/>
        <v>492</v>
      </c>
      <c r="L222" s="62" t="str">
        <f t="shared" si="19"/>
        <v/>
      </c>
      <c r="M222" s="63"/>
    </row>
    <row r="223" spans="2:14" s="46" customFormat="1" ht="15">
      <c r="B223" s="534">
        <f t="shared" si="16"/>
        <v>218</v>
      </c>
      <c r="C223" s="56" t="s">
        <v>2281</v>
      </c>
      <c r="D223" s="56" t="s">
        <v>2282</v>
      </c>
      <c r="E223" s="57" t="s">
        <v>2545</v>
      </c>
      <c r="F223" s="58"/>
      <c r="G223" s="59">
        <v>45347</v>
      </c>
      <c r="H223" s="57" t="s">
        <v>27</v>
      </c>
      <c r="I223" s="62">
        <f t="shared" si="17"/>
        <v>378.72727272727298</v>
      </c>
      <c r="J223" s="63">
        <v>4166</v>
      </c>
      <c r="K223" s="63">
        <f t="shared" si="18"/>
        <v>4166</v>
      </c>
      <c r="L223" s="62" t="str">
        <f t="shared" si="19"/>
        <v/>
      </c>
      <c r="M223" s="63"/>
    </row>
    <row r="224" spans="2:14" s="46" customFormat="1" ht="15">
      <c r="B224" s="534">
        <f t="shared" si="16"/>
        <v>219</v>
      </c>
      <c r="C224" s="56" t="s">
        <v>2262</v>
      </c>
      <c r="D224" s="56" t="s">
        <v>2512</v>
      </c>
      <c r="E224" s="57" t="s">
        <v>2546</v>
      </c>
      <c r="F224" s="58"/>
      <c r="G224" s="59">
        <v>45347</v>
      </c>
      <c r="H224" s="57" t="s">
        <v>45</v>
      </c>
      <c r="I224" s="62">
        <f t="shared" si="17"/>
        <v>10.000000000000014</v>
      </c>
      <c r="J224" s="63">
        <v>110</v>
      </c>
      <c r="K224" s="63">
        <f t="shared" si="18"/>
        <v>110</v>
      </c>
      <c r="L224" s="62" t="str">
        <f t="shared" si="19"/>
        <v/>
      </c>
      <c r="M224" s="63"/>
    </row>
    <row r="225" spans="2:13" s="46" customFormat="1" ht="15">
      <c r="B225" s="534">
        <f t="shared" si="16"/>
        <v>220</v>
      </c>
      <c r="C225" s="56" t="s">
        <v>2262</v>
      </c>
      <c r="D225" s="56" t="s">
        <v>2516</v>
      </c>
      <c r="E225" s="57" t="s">
        <v>2547</v>
      </c>
      <c r="F225" s="58"/>
      <c r="G225" s="59">
        <v>45347</v>
      </c>
      <c r="H225" s="57" t="s">
        <v>45</v>
      </c>
      <c r="I225" s="62">
        <f t="shared" si="17"/>
        <v>10.000000000000014</v>
      </c>
      <c r="J225" s="63">
        <v>110</v>
      </c>
      <c r="K225" s="63">
        <f t="shared" si="18"/>
        <v>110</v>
      </c>
      <c r="L225" s="62" t="str">
        <f t="shared" si="19"/>
        <v/>
      </c>
      <c r="M225" s="63"/>
    </row>
    <row r="226" spans="2:13" s="46" customFormat="1" ht="15">
      <c r="B226" s="534">
        <f t="shared" si="16"/>
        <v>221</v>
      </c>
      <c r="C226" s="56" t="s">
        <v>2262</v>
      </c>
      <c r="D226" s="56" t="s">
        <v>2542</v>
      </c>
      <c r="E226" s="57" t="s">
        <v>2548</v>
      </c>
      <c r="F226" s="58"/>
      <c r="G226" s="59">
        <v>45347</v>
      </c>
      <c r="H226" s="57" t="s">
        <v>45</v>
      </c>
      <c r="I226" s="62">
        <f t="shared" si="17"/>
        <v>10.000000000000014</v>
      </c>
      <c r="J226" s="63">
        <v>110</v>
      </c>
      <c r="K226" s="63">
        <f t="shared" si="18"/>
        <v>110</v>
      </c>
      <c r="L226" s="62" t="str">
        <f t="shared" si="19"/>
        <v/>
      </c>
      <c r="M226" s="63"/>
    </row>
    <row r="227" spans="2:13" s="46" customFormat="1" ht="15">
      <c r="B227" s="534">
        <f t="shared" si="16"/>
        <v>222</v>
      </c>
      <c r="C227" s="56" t="s">
        <v>2262</v>
      </c>
      <c r="D227" s="56" t="s">
        <v>2315</v>
      </c>
      <c r="E227" s="57" t="s">
        <v>2549</v>
      </c>
      <c r="F227" s="58"/>
      <c r="G227" s="59">
        <v>45350</v>
      </c>
      <c r="H227" s="57" t="s">
        <v>27</v>
      </c>
      <c r="I227" s="62">
        <f t="shared" si="17"/>
        <v>458.18181818181893</v>
      </c>
      <c r="J227" s="63">
        <v>5040</v>
      </c>
      <c r="K227" s="63">
        <f t="shared" si="18"/>
        <v>5040</v>
      </c>
      <c r="L227" s="62" t="str">
        <f t="shared" si="19"/>
        <v/>
      </c>
      <c r="M227" s="63"/>
    </row>
    <row r="228" spans="2:13" s="46" customFormat="1" ht="15">
      <c r="B228" s="534">
        <f t="shared" si="16"/>
        <v>223</v>
      </c>
      <c r="C228" s="56" t="s">
        <v>2268</v>
      </c>
      <c r="D228" s="56" t="s">
        <v>2550</v>
      </c>
      <c r="E228" s="57" t="s">
        <v>2551</v>
      </c>
      <c r="F228" s="58" t="s">
        <v>2271</v>
      </c>
      <c r="G228" s="59">
        <v>45353</v>
      </c>
      <c r="H228" s="57" t="s">
        <v>45</v>
      </c>
      <c r="I228" s="62">
        <f t="shared" si="17"/>
        <v>40.000000000000057</v>
      </c>
      <c r="J228" s="63">
        <v>440</v>
      </c>
      <c r="K228" s="63">
        <f t="shared" si="18"/>
        <v>440</v>
      </c>
      <c r="L228" s="62" t="str">
        <f t="shared" si="19"/>
        <v/>
      </c>
      <c r="M228" s="63"/>
    </row>
    <row r="229" spans="2:13" s="46" customFormat="1" ht="15">
      <c r="B229" s="534">
        <f t="shared" si="16"/>
        <v>224</v>
      </c>
      <c r="C229" s="56" t="s">
        <v>2262</v>
      </c>
      <c r="D229" s="56" t="s">
        <v>2527</v>
      </c>
      <c r="E229" s="57" t="s">
        <v>2552</v>
      </c>
      <c r="F229" s="58"/>
      <c r="G229" s="59">
        <v>45353</v>
      </c>
      <c r="H229" s="57" t="s">
        <v>45</v>
      </c>
      <c r="I229" s="62">
        <f t="shared" si="17"/>
        <v>10.000000000000014</v>
      </c>
      <c r="J229" s="63">
        <v>110</v>
      </c>
      <c r="K229" s="63">
        <f t="shared" si="18"/>
        <v>110</v>
      </c>
      <c r="L229" s="62" t="str">
        <f t="shared" si="19"/>
        <v/>
      </c>
      <c r="M229" s="63"/>
    </row>
    <row r="230" spans="2:13" s="46" customFormat="1" ht="15">
      <c r="B230" s="534">
        <f t="shared" si="16"/>
        <v>225</v>
      </c>
      <c r="C230" s="56" t="s">
        <v>2268</v>
      </c>
      <c r="D230" s="56" t="s">
        <v>2269</v>
      </c>
      <c r="E230" s="57" t="s">
        <v>2272</v>
      </c>
      <c r="F230" s="58" t="s">
        <v>2304</v>
      </c>
      <c r="G230" s="59">
        <v>45353</v>
      </c>
      <c r="H230" s="57" t="s">
        <v>129</v>
      </c>
      <c r="I230" s="62">
        <f t="shared" si="17"/>
        <v>32.181818181818187</v>
      </c>
      <c r="J230" s="63">
        <v>354</v>
      </c>
      <c r="K230" s="63">
        <f t="shared" si="18"/>
        <v>354</v>
      </c>
      <c r="L230" s="62" t="str">
        <f t="shared" si="19"/>
        <v/>
      </c>
      <c r="M230" s="63"/>
    </row>
    <row r="231" spans="2:13" s="46" customFormat="1" ht="15">
      <c r="B231" s="534">
        <f t="shared" si="16"/>
        <v>226</v>
      </c>
      <c r="C231" s="56" t="s">
        <v>2262</v>
      </c>
      <c r="D231" s="56" t="s">
        <v>2315</v>
      </c>
      <c r="E231" s="57" t="s">
        <v>2553</v>
      </c>
      <c r="F231" s="58" t="s">
        <v>2271</v>
      </c>
      <c r="G231" s="59">
        <v>45353</v>
      </c>
      <c r="H231" s="57" t="s">
        <v>129</v>
      </c>
      <c r="I231" s="62">
        <f t="shared" si="17"/>
        <v>25.454545454545467</v>
      </c>
      <c r="J231" s="63">
        <v>280</v>
      </c>
      <c r="K231" s="63">
        <f t="shared" si="18"/>
        <v>280</v>
      </c>
      <c r="L231" s="62" t="str">
        <f t="shared" si="19"/>
        <v/>
      </c>
      <c r="M231" s="63"/>
    </row>
    <row r="232" spans="2:13" s="46" customFormat="1" ht="15">
      <c r="B232" s="534">
        <f t="shared" si="16"/>
        <v>227</v>
      </c>
      <c r="C232" s="56" t="s">
        <v>2262</v>
      </c>
      <c r="D232" s="56" t="s">
        <v>2315</v>
      </c>
      <c r="E232" s="57" t="s">
        <v>2378</v>
      </c>
      <c r="F232" s="58" t="s">
        <v>2304</v>
      </c>
      <c r="G232" s="59">
        <v>45353</v>
      </c>
      <c r="H232" s="57" t="s">
        <v>129</v>
      </c>
      <c r="I232" s="62">
        <f t="shared" si="17"/>
        <v>68.181818181818244</v>
      </c>
      <c r="J232" s="63">
        <v>750</v>
      </c>
      <c r="K232" s="63">
        <f t="shared" si="18"/>
        <v>750</v>
      </c>
      <c r="L232" s="62" t="str">
        <f t="shared" si="19"/>
        <v/>
      </c>
      <c r="M232" s="63"/>
    </row>
    <row r="233" spans="2:13" s="46" customFormat="1" ht="15">
      <c r="B233" s="534">
        <f t="shared" si="16"/>
        <v>228</v>
      </c>
      <c r="C233" s="56" t="s">
        <v>2262</v>
      </c>
      <c r="D233" s="56" t="s">
        <v>2295</v>
      </c>
      <c r="E233" s="57" t="s">
        <v>2554</v>
      </c>
      <c r="F233" s="58"/>
      <c r="G233" s="59">
        <v>45353</v>
      </c>
      <c r="H233" s="57" t="s">
        <v>129</v>
      </c>
      <c r="I233" s="62">
        <f t="shared" si="17"/>
        <v>43.727272727272748</v>
      </c>
      <c r="J233" s="63">
        <v>481</v>
      </c>
      <c r="K233" s="63">
        <f t="shared" si="18"/>
        <v>481</v>
      </c>
      <c r="L233" s="62" t="str">
        <f t="shared" si="19"/>
        <v/>
      </c>
      <c r="M233" s="63"/>
    </row>
    <row r="234" spans="2:13" s="46" customFormat="1" ht="15">
      <c r="B234" s="534">
        <f t="shared" si="16"/>
        <v>229</v>
      </c>
      <c r="C234" s="56" t="s">
        <v>2262</v>
      </c>
      <c r="D234" s="56" t="s">
        <v>2527</v>
      </c>
      <c r="E234" s="57" t="s">
        <v>2555</v>
      </c>
      <c r="F234" s="58"/>
      <c r="G234" s="59">
        <v>45353</v>
      </c>
      <c r="H234" s="57" t="s">
        <v>129</v>
      </c>
      <c r="I234" s="62">
        <f t="shared" si="17"/>
        <v>16.727272727272748</v>
      </c>
      <c r="J234" s="63">
        <v>184</v>
      </c>
      <c r="K234" s="63">
        <f t="shared" si="18"/>
        <v>184</v>
      </c>
      <c r="L234" s="62" t="str">
        <f t="shared" si="19"/>
        <v/>
      </c>
      <c r="M234" s="63"/>
    </row>
    <row r="235" spans="2:13" s="46" customFormat="1" ht="15">
      <c r="B235" s="534">
        <f t="shared" si="16"/>
        <v>230</v>
      </c>
      <c r="C235" s="56" t="s">
        <v>2262</v>
      </c>
      <c r="D235" s="56" t="s">
        <v>2266</v>
      </c>
      <c r="E235" s="57" t="s">
        <v>2556</v>
      </c>
      <c r="F235" s="58" t="s">
        <v>2299</v>
      </c>
      <c r="G235" s="59">
        <v>45353</v>
      </c>
      <c r="H235" s="57" t="s">
        <v>135</v>
      </c>
      <c r="I235" s="62">
        <f t="shared" si="17"/>
        <v>36.090909090909122</v>
      </c>
      <c r="J235" s="63">
        <v>397</v>
      </c>
      <c r="K235" s="63">
        <f t="shared" si="18"/>
        <v>397</v>
      </c>
      <c r="L235" s="62" t="str">
        <f t="shared" si="19"/>
        <v/>
      </c>
      <c r="M235" s="63"/>
    </row>
    <row r="236" spans="2:13" s="46" customFormat="1" ht="15">
      <c r="B236" s="534">
        <f t="shared" si="16"/>
        <v>231</v>
      </c>
      <c r="C236" s="56" t="s">
        <v>2262</v>
      </c>
      <c r="D236" s="56" t="s">
        <v>2266</v>
      </c>
      <c r="E236" s="57" t="s">
        <v>2557</v>
      </c>
      <c r="F236" s="58" t="s">
        <v>2299</v>
      </c>
      <c r="G236" s="59">
        <v>45353</v>
      </c>
      <c r="H236" s="57" t="s">
        <v>135</v>
      </c>
      <c r="I236" s="62">
        <f t="shared" si="17"/>
        <v>27</v>
      </c>
      <c r="J236" s="63">
        <v>297</v>
      </c>
      <c r="K236" s="63">
        <f t="shared" si="18"/>
        <v>297</v>
      </c>
      <c r="L236" s="62" t="str">
        <f t="shared" si="19"/>
        <v/>
      </c>
      <c r="M236" s="63"/>
    </row>
    <row r="237" spans="2:13" s="46" customFormat="1" ht="15">
      <c r="B237" s="534">
        <f t="shared" si="16"/>
        <v>232</v>
      </c>
      <c r="C237" s="56" t="s">
        <v>2281</v>
      </c>
      <c r="D237" s="56" t="s">
        <v>2282</v>
      </c>
      <c r="E237" s="57" t="s">
        <v>2520</v>
      </c>
      <c r="F237" s="58" t="s">
        <v>2304</v>
      </c>
      <c r="G237" s="59">
        <v>45353</v>
      </c>
      <c r="H237" s="57" t="s">
        <v>49</v>
      </c>
      <c r="I237" s="62">
        <f t="shared" si="17"/>
        <v>30</v>
      </c>
      <c r="J237" s="63">
        <v>330</v>
      </c>
      <c r="K237" s="63">
        <f t="shared" si="18"/>
        <v>330</v>
      </c>
      <c r="L237" s="62" t="str">
        <f t="shared" si="19"/>
        <v/>
      </c>
      <c r="M237" s="63"/>
    </row>
    <row r="238" spans="2:13" s="46" customFormat="1" ht="15">
      <c r="B238" s="534">
        <f t="shared" si="16"/>
        <v>233</v>
      </c>
      <c r="C238" s="56" t="s">
        <v>2262</v>
      </c>
      <c r="D238" s="56" t="s">
        <v>2394</v>
      </c>
      <c r="E238" s="57" t="s">
        <v>2558</v>
      </c>
      <c r="F238" s="58"/>
      <c r="G238" s="59">
        <v>45353</v>
      </c>
      <c r="H238" s="57" t="s">
        <v>49</v>
      </c>
      <c r="I238" s="62">
        <f t="shared" si="17"/>
        <v>10.000000000000014</v>
      </c>
      <c r="J238" s="63">
        <v>110</v>
      </c>
      <c r="K238" s="63">
        <f t="shared" si="18"/>
        <v>110</v>
      </c>
      <c r="L238" s="62" t="str">
        <f t="shared" si="19"/>
        <v/>
      </c>
      <c r="M238" s="63"/>
    </row>
    <row r="239" spans="2:13" s="46" customFormat="1" ht="15">
      <c r="B239" s="534">
        <f t="shared" si="16"/>
        <v>234</v>
      </c>
      <c r="C239" s="56" t="s">
        <v>2281</v>
      </c>
      <c r="D239" s="56" t="s">
        <v>2282</v>
      </c>
      <c r="E239" s="57" t="s">
        <v>2559</v>
      </c>
      <c r="F239" s="58"/>
      <c r="G239" s="59">
        <v>45361</v>
      </c>
      <c r="H239" s="57" t="s">
        <v>27</v>
      </c>
      <c r="I239" s="62">
        <f t="shared" si="17"/>
        <v>890.9090909090919</v>
      </c>
      <c r="J239" s="63">
        <v>9800</v>
      </c>
      <c r="K239" s="63">
        <f t="shared" si="18"/>
        <v>9800</v>
      </c>
      <c r="L239" s="62" t="str">
        <f t="shared" si="19"/>
        <v/>
      </c>
      <c r="M239" s="63"/>
    </row>
    <row r="240" spans="2:13" s="46" customFormat="1" ht="15">
      <c r="B240" s="534">
        <f t="shared" si="16"/>
        <v>235</v>
      </c>
      <c r="C240" s="56" t="s">
        <v>2281</v>
      </c>
      <c r="D240" s="56" t="s">
        <v>2282</v>
      </c>
      <c r="E240" s="57" t="s">
        <v>259</v>
      </c>
      <c r="F240" s="58"/>
      <c r="G240" s="59">
        <v>45364</v>
      </c>
      <c r="H240" s="57" t="s">
        <v>27</v>
      </c>
      <c r="I240" s="62">
        <f t="shared" si="17"/>
        <v>63.545454545454618</v>
      </c>
      <c r="J240" s="63">
        <v>699</v>
      </c>
      <c r="K240" s="63">
        <f t="shared" si="18"/>
        <v>699</v>
      </c>
      <c r="L240" s="62" t="str">
        <f t="shared" si="19"/>
        <v/>
      </c>
      <c r="M240" s="63"/>
    </row>
    <row r="241" spans="2:14" s="46" customFormat="1" ht="15">
      <c r="B241" s="534">
        <f t="shared" si="16"/>
        <v>236</v>
      </c>
      <c r="C241" s="56" t="s">
        <v>2281</v>
      </c>
      <c r="D241" s="56" t="s">
        <v>2282</v>
      </c>
      <c r="E241" s="57" t="s">
        <v>2560</v>
      </c>
      <c r="F241" s="58"/>
      <c r="G241" s="59">
        <v>45365</v>
      </c>
      <c r="H241" s="57" t="s">
        <v>27</v>
      </c>
      <c r="I241" s="62">
        <f t="shared" si="17"/>
        <v>71.81818181818187</v>
      </c>
      <c r="J241" s="63">
        <v>790</v>
      </c>
      <c r="K241" s="63">
        <f t="shared" si="18"/>
        <v>790</v>
      </c>
      <c r="L241" s="62" t="str">
        <f t="shared" si="19"/>
        <v/>
      </c>
      <c r="M241" s="63"/>
    </row>
    <row r="242" spans="2:14" s="46" customFormat="1" ht="15">
      <c r="B242" s="534">
        <f t="shared" si="16"/>
        <v>237</v>
      </c>
      <c r="C242" s="56" t="s">
        <v>2281</v>
      </c>
      <c r="D242" s="56" t="s">
        <v>2282</v>
      </c>
      <c r="E242" s="57"/>
      <c r="F242" s="58"/>
      <c r="G242" s="59">
        <v>45367</v>
      </c>
      <c r="H242" s="57" t="s">
        <v>129</v>
      </c>
      <c r="I242" s="62">
        <f t="shared" si="17"/>
        <v>39.727272727272748</v>
      </c>
      <c r="J242" s="63">
        <v>437</v>
      </c>
      <c r="K242" s="63">
        <f t="shared" si="18"/>
        <v>437</v>
      </c>
      <c r="L242" s="62" t="str">
        <f t="shared" si="19"/>
        <v/>
      </c>
      <c r="M242" s="63"/>
    </row>
    <row r="243" spans="2:14" s="46" customFormat="1" ht="15">
      <c r="B243" s="534">
        <f t="shared" si="16"/>
        <v>238</v>
      </c>
      <c r="C243" s="56" t="s">
        <v>2281</v>
      </c>
      <c r="D243" s="56" t="s">
        <v>2282</v>
      </c>
      <c r="E243" s="57"/>
      <c r="F243" s="58" t="s">
        <v>2271</v>
      </c>
      <c r="G243" s="59">
        <v>45367</v>
      </c>
      <c r="H243" s="57" t="s">
        <v>129</v>
      </c>
      <c r="I243" s="62">
        <f t="shared" si="17"/>
        <v>49.454545454545496</v>
      </c>
      <c r="J243" s="63">
        <v>544</v>
      </c>
      <c r="K243" s="63">
        <f t="shared" si="18"/>
        <v>544</v>
      </c>
      <c r="L243" s="62" t="str">
        <f t="shared" si="19"/>
        <v/>
      </c>
      <c r="M243" s="63"/>
    </row>
    <row r="244" spans="2:14" s="46" customFormat="1" ht="15">
      <c r="B244" s="534">
        <f t="shared" si="16"/>
        <v>239</v>
      </c>
      <c r="C244" s="56" t="s">
        <v>2262</v>
      </c>
      <c r="D244" s="56" t="s">
        <v>2276</v>
      </c>
      <c r="E244" s="57" t="s">
        <v>2439</v>
      </c>
      <c r="F244" s="58"/>
      <c r="G244" s="59">
        <v>45367</v>
      </c>
      <c r="H244" s="57" t="s">
        <v>129</v>
      </c>
      <c r="I244" s="62">
        <f t="shared" si="17"/>
        <v>59.727272727272748</v>
      </c>
      <c r="J244" s="63">
        <v>657</v>
      </c>
      <c r="K244" s="63">
        <f t="shared" si="18"/>
        <v>657</v>
      </c>
      <c r="L244" s="62" t="str">
        <f t="shared" si="19"/>
        <v/>
      </c>
      <c r="M244" s="63"/>
    </row>
    <row r="245" spans="2:14" s="46" customFormat="1" ht="15">
      <c r="B245" s="534">
        <f t="shared" si="16"/>
        <v>240</v>
      </c>
      <c r="C245" s="56" t="s">
        <v>2262</v>
      </c>
      <c r="D245" s="56" t="s">
        <v>2561</v>
      </c>
      <c r="E245" s="57" t="s">
        <v>2562</v>
      </c>
      <c r="F245" s="58"/>
      <c r="G245" s="59">
        <v>45367</v>
      </c>
      <c r="H245" s="57" t="s">
        <v>129</v>
      </c>
      <c r="I245" s="62">
        <f t="shared" si="17"/>
        <v>3480</v>
      </c>
      <c r="J245" s="63">
        <v>38280</v>
      </c>
      <c r="K245" s="63">
        <f t="shared" si="18"/>
        <v>0</v>
      </c>
      <c r="L245" s="62" t="str">
        <f t="shared" si="19"/>
        <v/>
      </c>
      <c r="M245" s="63"/>
      <c r="N245" s="66" t="s">
        <v>24</v>
      </c>
    </row>
    <row r="246" spans="2:14" s="46" customFormat="1" ht="15">
      <c r="B246" s="534">
        <f t="shared" si="16"/>
        <v>241</v>
      </c>
      <c r="C246" s="56" t="s">
        <v>2262</v>
      </c>
      <c r="D246" s="56" t="s">
        <v>2561</v>
      </c>
      <c r="E246" s="57" t="s">
        <v>2563</v>
      </c>
      <c r="F246" s="58"/>
      <c r="G246" s="59">
        <v>45367</v>
      </c>
      <c r="H246" s="57" t="s">
        <v>129</v>
      </c>
      <c r="I246" s="62">
        <f t="shared" si="17"/>
        <v>181.81818181818198</v>
      </c>
      <c r="J246" s="63">
        <v>2000</v>
      </c>
      <c r="K246" s="63">
        <f t="shared" si="18"/>
        <v>0</v>
      </c>
      <c r="L246" s="62" t="str">
        <f t="shared" si="19"/>
        <v/>
      </c>
      <c r="M246" s="63"/>
      <c r="N246" s="66" t="s">
        <v>24</v>
      </c>
    </row>
    <row r="247" spans="2:14" s="46" customFormat="1" ht="15">
      <c r="B247" s="534">
        <f t="shared" si="16"/>
        <v>242</v>
      </c>
      <c r="C247" s="56" t="s">
        <v>2262</v>
      </c>
      <c r="D247" s="56" t="s">
        <v>2561</v>
      </c>
      <c r="E247" s="57" t="s">
        <v>2564</v>
      </c>
      <c r="F247" s="58"/>
      <c r="G247" s="59">
        <v>45367</v>
      </c>
      <c r="H247" s="57" t="s">
        <v>129</v>
      </c>
      <c r="I247" s="62">
        <f t="shared" si="17"/>
        <v>116.36363636363649</v>
      </c>
      <c r="J247" s="63">
        <v>1280</v>
      </c>
      <c r="K247" s="63">
        <f t="shared" si="18"/>
        <v>0</v>
      </c>
      <c r="L247" s="62" t="str">
        <f t="shared" si="19"/>
        <v/>
      </c>
      <c r="M247" s="63"/>
      <c r="N247" s="66" t="s">
        <v>24</v>
      </c>
    </row>
    <row r="248" spans="2:14" s="46" customFormat="1" ht="15">
      <c r="B248" s="534">
        <f t="shared" si="16"/>
        <v>243</v>
      </c>
      <c r="C248" s="56" t="s">
        <v>2262</v>
      </c>
      <c r="D248" s="56" t="s">
        <v>2561</v>
      </c>
      <c r="E248" s="57" t="s">
        <v>2565</v>
      </c>
      <c r="F248" s="58"/>
      <c r="G248" s="59">
        <v>45367</v>
      </c>
      <c r="H248" s="57" t="s">
        <v>129</v>
      </c>
      <c r="I248" s="62">
        <f t="shared" si="17"/>
        <v>65.454545454545496</v>
      </c>
      <c r="J248" s="63">
        <v>720</v>
      </c>
      <c r="K248" s="63">
        <f t="shared" si="18"/>
        <v>0</v>
      </c>
      <c r="L248" s="62" t="str">
        <f t="shared" si="19"/>
        <v/>
      </c>
      <c r="M248" s="63"/>
      <c r="N248" s="66" t="s">
        <v>24</v>
      </c>
    </row>
    <row r="249" spans="2:14" s="46" customFormat="1" ht="15">
      <c r="B249" s="534">
        <f t="shared" si="16"/>
        <v>244</v>
      </c>
      <c r="C249" s="56" t="s">
        <v>2262</v>
      </c>
      <c r="D249" s="56" t="s">
        <v>2561</v>
      </c>
      <c r="E249" s="57" t="s">
        <v>2566</v>
      </c>
      <c r="F249" s="58"/>
      <c r="G249" s="59">
        <v>45367</v>
      </c>
      <c r="H249" s="57" t="s">
        <v>129</v>
      </c>
      <c r="I249" s="62">
        <f t="shared" si="17"/>
        <v>181.81818181818198</v>
      </c>
      <c r="J249" s="63">
        <v>2000</v>
      </c>
      <c r="K249" s="63">
        <f t="shared" si="18"/>
        <v>0</v>
      </c>
      <c r="L249" s="62" t="str">
        <f t="shared" si="19"/>
        <v/>
      </c>
      <c r="M249" s="63"/>
      <c r="N249" s="66" t="s">
        <v>24</v>
      </c>
    </row>
    <row r="250" spans="2:14" s="46" customFormat="1" ht="15">
      <c r="B250" s="534">
        <f t="shared" si="16"/>
        <v>245</v>
      </c>
      <c r="C250" s="56" t="s">
        <v>2262</v>
      </c>
      <c r="D250" s="56" t="s">
        <v>2295</v>
      </c>
      <c r="E250" s="57" t="s">
        <v>2567</v>
      </c>
      <c r="F250" s="58"/>
      <c r="G250" s="59">
        <v>45367</v>
      </c>
      <c r="H250" s="57" t="s">
        <v>2265</v>
      </c>
      <c r="I250" s="62">
        <f t="shared" si="17"/>
        <v>20.000000000000028</v>
      </c>
      <c r="J250" s="63">
        <v>220</v>
      </c>
      <c r="K250" s="63">
        <f t="shared" si="18"/>
        <v>220</v>
      </c>
      <c r="L250" s="62" t="str">
        <f t="shared" si="19"/>
        <v/>
      </c>
      <c r="M250" s="63"/>
    </row>
    <row r="251" spans="2:14" s="46" customFormat="1" ht="15">
      <c r="B251" s="534">
        <f t="shared" si="16"/>
        <v>246</v>
      </c>
      <c r="C251" s="56" t="s">
        <v>2262</v>
      </c>
      <c r="D251" s="56" t="s">
        <v>2276</v>
      </c>
      <c r="E251" s="57" t="s">
        <v>2475</v>
      </c>
      <c r="F251" s="58" t="s">
        <v>2271</v>
      </c>
      <c r="G251" s="59">
        <v>45370</v>
      </c>
      <c r="H251" s="57" t="s">
        <v>2307</v>
      </c>
      <c r="I251" s="62">
        <f t="shared" si="17"/>
        <v>125.4545454545455</v>
      </c>
      <c r="J251" s="63">
        <v>1380</v>
      </c>
      <c r="K251" s="63">
        <f t="shared" si="18"/>
        <v>1380</v>
      </c>
      <c r="L251" s="62" t="str">
        <f t="shared" si="19"/>
        <v/>
      </c>
      <c r="M251" s="63"/>
    </row>
    <row r="252" spans="2:14" s="46" customFormat="1" ht="15">
      <c r="B252" s="534">
        <f t="shared" si="16"/>
        <v>247</v>
      </c>
      <c r="C252" s="56" t="s">
        <v>2262</v>
      </c>
      <c r="D252" s="56" t="s">
        <v>2276</v>
      </c>
      <c r="E252" s="57" t="s">
        <v>2568</v>
      </c>
      <c r="F252" s="58"/>
      <c r="G252" s="59">
        <v>45370</v>
      </c>
      <c r="H252" s="57" t="s">
        <v>2307</v>
      </c>
      <c r="I252" s="62">
        <f t="shared" si="17"/>
        <v>110.09090909090924</v>
      </c>
      <c r="J252" s="63">
        <v>1211</v>
      </c>
      <c r="K252" s="63">
        <f t="shared" si="18"/>
        <v>1211</v>
      </c>
      <c r="L252" s="62" t="str">
        <f t="shared" si="19"/>
        <v/>
      </c>
      <c r="M252" s="63"/>
    </row>
    <row r="253" spans="2:14" s="46" customFormat="1" ht="15">
      <c r="B253" s="534">
        <f t="shared" si="16"/>
        <v>248</v>
      </c>
      <c r="C253" s="56" t="s">
        <v>2262</v>
      </c>
      <c r="D253" s="56" t="s">
        <v>2276</v>
      </c>
      <c r="E253" s="57" t="s">
        <v>2569</v>
      </c>
      <c r="F253" s="58"/>
      <c r="G253" s="59">
        <v>45370</v>
      </c>
      <c r="H253" s="57" t="s">
        <v>2307</v>
      </c>
      <c r="I253" s="62">
        <f t="shared" si="17"/>
        <v>94.81818181818187</v>
      </c>
      <c r="J253" s="63">
        <v>1043</v>
      </c>
      <c r="K253" s="63">
        <f t="shared" si="18"/>
        <v>1043</v>
      </c>
      <c r="L253" s="62" t="str">
        <f t="shared" si="19"/>
        <v/>
      </c>
      <c r="M253" s="63"/>
    </row>
    <row r="254" spans="2:14" s="46" customFormat="1" ht="15">
      <c r="B254" s="534">
        <f t="shared" si="16"/>
        <v>249</v>
      </c>
      <c r="C254" s="56" t="s">
        <v>2281</v>
      </c>
      <c r="D254" s="56" t="s">
        <v>2282</v>
      </c>
      <c r="E254" s="57"/>
      <c r="F254" s="58"/>
      <c r="G254" s="59">
        <v>45371</v>
      </c>
      <c r="H254" s="57" t="s">
        <v>2297</v>
      </c>
      <c r="I254" s="62">
        <f t="shared" si="17"/>
        <v>259.09090909090946</v>
      </c>
      <c r="J254" s="63">
        <v>2850</v>
      </c>
      <c r="K254" s="63">
        <f t="shared" si="18"/>
        <v>2850</v>
      </c>
      <c r="L254" s="62" t="str">
        <f t="shared" si="19"/>
        <v/>
      </c>
      <c r="M254" s="63"/>
    </row>
    <row r="255" spans="2:14" s="46" customFormat="1" ht="15">
      <c r="B255" s="534">
        <f t="shared" si="16"/>
        <v>250</v>
      </c>
      <c r="C255" s="56" t="s">
        <v>2262</v>
      </c>
      <c r="D255" s="56" t="s">
        <v>2266</v>
      </c>
      <c r="E255" s="57" t="s">
        <v>2298</v>
      </c>
      <c r="F255" s="58" t="s">
        <v>2570</v>
      </c>
      <c r="G255" s="59">
        <v>45371</v>
      </c>
      <c r="H255" s="57" t="s">
        <v>2297</v>
      </c>
      <c r="I255" s="62">
        <f t="shared" si="17"/>
        <v>150.00000000000023</v>
      </c>
      <c r="J255" s="63">
        <v>1650</v>
      </c>
      <c r="K255" s="63">
        <f t="shared" si="18"/>
        <v>1650</v>
      </c>
      <c r="L255" s="62" t="str">
        <f t="shared" si="19"/>
        <v/>
      </c>
      <c r="M255" s="63"/>
    </row>
    <row r="256" spans="2:14" s="46" customFormat="1" ht="15">
      <c r="B256" s="534">
        <f t="shared" si="16"/>
        <v>251</v>
      </c>
      <c r="C256" s="56" t="s">
        <v>2281</v>
      </c>
      <c r="D256" s="56" t="s">
        <v>2282</v>
      </c>
      <c r="E256" s="57"/>
      <c r="F256" s="58"/>
      <c r="G256" s="59">
        <v>45371</v>
      </c>
      <c r="H256" s="57" t="s">
        <v>129</v>
      </c>
      <c r="I256" s="62">
        <f t="shared" si="17"/>
        <v>69.727272727272748</v>
      </c>
      <c r="J256" s="63">
        <v>767</v>
      </c>
      <c r="K256" s="63">
        <f t="shared" si="18"/>
        <v>767</v>
      </c>
      <c r="L256" s="62" t="str">
        <f t="shared" si="19"/>
        <v/>
      </c>
      <c r="M256" s="63"/>
    </row>
    <row r="257" spans="2:13" s="46" customFormat="1" ht="15">
      <c r="B257" s="534">
        <f t="shared" si="16"/>
        <v>252</v>
      </c>
      <c r="C257" s="56" t="s">
        <v>2281</v>
      </c>
      <c r="D257" s="56" t="s">
        <v>2282</v>
      </c>
      <c r="E257" s="57"/>
      <c r="F257" s="58"/>
      <c r="G257" s="59">
        <v>45371</v>
      </c>
      <c r="H257" s="57" t="s">
        <v>129</v>
      </c>
      <c r="I257" s="62">
        <f t="shared" si="17"/>
        <v>49.727272727272748</v>
      </c>
      <c r="J257" s="63">
        <v>547</v>
      </c>
      <c r="K257" s="63">
        <f t="shared" si="18"/>
        <v>547</v>
      </c>
      <c r="L257" s="62" t="str">
        <f t="shared" si="19"/>
        <v/>
      </c>
      <c r="M257" s="63"/>
    </row>
    <row r="258" spans="2:13" s="46" customFormat="1" ht="15">
      <c r="B258" s="534">
        <f t="shared" si="16"/>
        <v>253</v>
      </c>
      <c r="C258" s="56" t="s">
        <v>2262</v>
      </c>
      <c r="D258" s="56" t="s">
        <v>2459</v>
      </c>
      <c r="E258" s="57" t="s">
        <v>2571</v>
      </c>
      <c r="F258" s="58" t="s">
        <v>2304</v>
      </c>
      <c r="G258" s="59">
        <v>45371</v>
      </c>
      <c r="H258" s="57" t="s">
        <v>45</v>
      </c>
      <c r="I258" s="62">
        <f t="shared" si="17"/>
        <v>30</v>
      </c>
      <c r="J258" s="63">
        <v>330</v>
      </c>
      <c r="K258" s="63">
        <f t="shared" si="18"/>
        <v>330</v>
      </c>
      <c r="L258" s="62" t="str">
        <f t="shared" si="19"/>
        <v/>
      </c>
      <c r="M258" s="63"/>
    </row>
    <row r="259" spans="2:13" s="46" customFormat="1" ht="15">
      <c r="B259" s="534">
        <f t="shared" si="16"/>
        <v>254</v>
      </c>
      <c r="C259" s="56" t="s">
        <v>2281</v>
      </c>
      <c r="D259" s="56" t="s">
        <v>2282</v>
      </c>
      <c r="E259" s="57" t="s">
        <v>2572</v>
      </c>
      <c r="F259" s="58" t="s">
        <v>2304</v>
      </c>
      <c r="G259" s="59">
        <v>45371</v>
      </c>
      <c r="H259" s="57" t="s">
        <v>45</v>
      </c>
      <c r="I259" s="62">
        <f t="shared" si="17"/>
        <v>30</v>
      </c>
      <c r="J259" s="63">
        <v>330</v>
      </c>
      <c r="K259" s="63">
        <f t="shared" si="18"/>
        <v>330</v>
      </c>
      <c r="L259" s="62" t="str">
        <f t="shared" si="19"/>
        <v/>
      </c>
      <c r="M259" s="63"/>
    </row>
    <row r="260" spans="2:13" s="46" customFormat="1" ht="15">
      <c r="B260" s="534">
        <f t="shared" si="16"/>
        <v>255</v>
      </c>
      <c r="C260" s="56" t="s">
        <v>2262</v>
      </c>
      <c r="D260" s="56" t="s">
        <v>2346</v>
      </c>
      <c r="E260" s="57" t="s">
        <v>2573</v>
      </c>
      <c r="F260" s="58"/>
      <c r="G260" s="59">
        <v>45371</v>
      </c>
      <c r="H260" s="57" t="s">
        <v>45</v>
      </c>
      <c r="I260" s="62">
        <f t="shared" si="17"/>
        <v>10.000000000000014</v>
      </c>
      <c r="J260" s="63">
        <v>110</v>
      </c>
      <c r="K260" s="63">
        <f t="shared" si="18"/>
        <v>110</v>
      </c>
      <c r="L260" s="62" t="str">
        <f t="shared" si="19"/>
        <v/>
      </c>
      <c r="M260" s="63"/>
    </row>
    <row r="261" spans="2:13" s="46" customFormat="1" ht="15">
      <c r="B261" s="534">
        <f t="shared" si="16"/>
        <v>256</v>
      </c>
      <c r="C261" s="56" t="s">
        <v>2262</v>
      </c>
      <c r="D261" s="56" t="s">
        <v>2574</v>
      </c>
      <c r="E261" s="57" t="s">
        <v>2575</v>
      </c>
      <c r="F261" s="58"/>
      <c r="G261" s="59">
        <v>45371</v>
      </c>
      <c r="H261" s="57" t="s">
        <v>45</v>
      </c>
      <c r="I261" s="62">
        <f t="shared" si="17"/>
        <v>30</v>
      </c>
      <c r="J261" s="63">
        <v>330</v>
      </c>
      <c r="K261" s="63">
        <f t="shared" si="18"/>
        <v>330</v>
      </c>
      <c r="L261" s="62" t="str">
        <f t="shared" si="19"/>
        <v/>
      </c>
      <c r="M261" s="63"/>
    </row>
    <row r="262" spans="2:13" s="46" customFormat="1" ht="15">
      <c r="B262" s="534">
        <f t="shared" si="16"/>
        <v>257</v>
      </c>
      <c r="C262" s="56" t="s">
        <v>2262</v>
      </c>
      <c r="D262" s="56" t="s">
        <v>2392</v>
      </c>
      <c r="E262" s="57" t="s">
        <v>2576</v>
      </c>
      <c r="F262" s="58"/>
      <c r="G262" s="59">
        <v>45371</v>
      </c>
      <c r="H262" s="57" t="s">
        <v>45</v>
      </c>
      <c r="I262" s="62">
        <f t="shared" si="17"/>
        <v>10.000000000000014</v>
      </c>
      <c r="J262" s="63">
        <v>110</v>
      </c>
      <c r="K262" s="63">
        <f t="shared" si="18"/>
        <v>110</v>
      </c>
      <c r="L262" s="62" t="str">
        <f t="shared" si="19"/>
        <v/>
      </c>
      <c r="M262" s="63"/>
    </row>
    <row r="263" spans="2:13" s="46" customFormat="1" ht="15">
      <c r="B263" s="534">
        <f t="shared" si="16"/>
        <v>258</v>
      </c>
      <c r="C263" s="56" t="s">
        <v>2262</v>
      </c>
      <c r="D263" s="56" t="s">
        <v>2577</v>
      </c>
      <c r="E263" s="57" t="s">
        <v>2578</v>
      </c>
      <c r="F263" s="58"/>
      <c r="G263" s="59">
        <v>45371</v>
      </c>
      <c r="H263" s="57" t="s">
        <v>45</v>
      </c>
      <c r="I263" s="62">
        <f t="shared" si="17"/>
        <v>10.000000000000014</v>
      </c>
      <c r="J263" s="63">
        <v>110</v>
      </c>
      <c r="K263" s="63">
        <f t="shared" si="18"/>
        <v>110</v>
      </c>
      <c r="L263" s="62" t="str">
        <f t="shared" si="19"/>
        <v/>
      </c>
      <c r="M263" s="63"/>
    </row>
    <row r="264" spans="2:13" s="46" customFormat="1" ht="15">
      <c r="B264" s="534">
        <f t="shared" si="16"/>
        <v>259</v>
      </c>
      <c r="C264" s="56" t="s">
        <v>2262</v>
      </c>
      <c r="D264" s="56" t="s">
        <v>2579</v>
      </c>
      <c r="E264" s="57" t="s">
        <v>2580</v>
      </c>
      <c r="F264" s="58"/>
      <c r="G264" s="59">
        <v>45371</v>
      </c>
      <c r="H264" s="57" t="s">
        <v>45</v>
      </c>
      <c r="I264" s="62">
        <f t="shared" si="17"/>
        <v>10.000000000000014</v>
      </c>
      <c r="J264" s="63">
        <v>110</v>
      </c>
      <c r="K264" s="63">
        <f t="shared" si="18"/>
        <v>110</v>
      </c>
      <c r="L264" s="62" t="str">
        <f t="shared" si="19"/>
        <v/>
      </c>
      <c r="M264" s="63"/>
    </row>
    <row r="265" spans="2:13" s="46" customFormat="1" ht="15">
      <c r="B265" s="534">
        <f t="shared" si="16"/>
        <v>260</v>
      </c>
      <c r="C265" s="56" t="s">
        <v>2262</v>
      </c>
      <c r="D265" s="56" t="s">
        <v>2581</v>
      </c>
      <c r="E265" s="57" t="s">
        <v>2582</v>
      </c>
      <c r="F265" s="58"/>
      <c r="G265" s="59">
        <v>45371</v>
      </c>
      <c r="H265" s="57" t="s">
        <v>45</v>
      </c>
      <c r="I265" s="62">
        <f t="shared" si="17"/>
        <v>10.000000000000014</v>
      </c>
      <c r="J265" s="63">
        <v>110</v>
      </c>
      <c r="K265" s="63">
        <f t="shared" si="18"/>
        <v>110</v>
      </c>
      <c r="L265" s="62" t="str">
        <f t="shared" si="19"/>
        <v/>
      </c>
      <c r="M265" s="63"/>
    </row>
    <row r="266" spans="2:13" s="46" customFormat="1" ht="15">
      <c r="B266" s="534">
        <f t="shared" si="16"/>
        <v>261</v>
      </c>
      <c r="C266" s="56" t="s">
        <v>2262</v>
      </c>
      <c r="D266" s="56" t="s">
        <v>2428</v>
      </c>
      <c r="E266" s="57" t="s">
        <v>2429</v>
      </c>
      <c r="F266" s="58" t="s">
        <v>2377</v>
      </c>
      <c r="G266" s="59">
        <v>45371</v>
      </c>
      <c r="H266" s="57" t="s">
        <v>45</v>
      </c>
      <c r="I266" s="62">
        <f t="shared" si="17"/>
        <v>40.000000000000057</v>
      </c>
      <c r="J266" s="63">
        <v>440</v>
      </c>
      <c r="K266" s="63">
        <f t="shared" si="18"/>
        <v>440</v>
      </c>
      <c r="L266" s="62" t="str">
        <f t="shared" si="19"/>
        <v/>
      </c>
      <c r="M266" s="63"/>
    </row>
    <row r="267" spans="2:13" s="46" customFormat="1" ht="15">
      <c r="B267" s="534">
        <f t="shared" si="16"/>
        <v>262</v>
      </c>
      <c r="C267" s="56" t="s">
        <v>2262</v>
      </c>
      <c r="D267" s="56" t="s">
        <v>2276</v>
      </c>
      <c r="E267" s="57" t="s">
        <v>2438</v>
      </c>
      <c r="F267" s="58" t="s">
        <v>2271</v>
      </c>
      <c r="G267" s="59">
        <v>45381</v>
      </c>
      <c r="H267" s="57" t="s">
        <v>129</v>
      </c>
      <c r="I267" s="62">
        <f t="shared" si="17"/>
        <v>119.4545454545455</v>
      </c>
      <c r="J267" s="63">
        <v>1314</v>
      </c>
      <c r="K267" s="63">
        <f t="shared" si="18"/>
        <v>1314</v>
      </c>
      <c r="L267" s="62" t="str">
        <f t="shared" si="19"/>
        <v/>
      </c>
      <c r="M267" s="63"/>
    </row>
    <row r="268" spans="2:13" s="46" customFormat="1" ht="15">
      <c r="B268" s="534">
        <f t="shared" ref="B268:B331" si="20">ROW()-5</f>
        <v>263</v>
      </c>
      <c r="C268" s="56" t="s">
        <v>2262</v>
      </c>
      <c r="D268" s="56" t="s">
        <v>2276</v>
      </c>
      <c r="E268" s="57" t="s">
        <v>2439</v>
      </c>
      <c r="F268" s="58" t="s">
        <v>2271</v>
      </c>
      <c r="G268" s="59">
        <v>45381</v>
      </c>
      <c r="H268" s="57" t="s">
        <v>129</v>
      </c>
      <c r="I268" s="62">
        <f t="shared" ref="I268:I331" si="21">IF(J268&lt;&gt;"",J268-J268/1.1,"")</f>
        <v>119.4545454545455</v>
      </c>
      <c r="J268" s="63">
        <v>1314</v>
      </c>
      <c r="K268" s="63">
        <f t="shared" ref="K268:K331" si="22">IF(N268="",J268,0)</f>
        <v>1314</v>
      </c>
      <c r="L268" s="62" t="str">
        <f t="shared" ref="L268:L331" si="23">IF(M268&lt;&gt;"",M268-M268/1.1,"")</f>
        <v/>
      </c>
      <c r="M268" s="63"/>
    </row>
    <row r="269" spans="2:13" s="46" customFormat="1" ht="15">
      <c r="B269" s="534">
        <f t="shared" si="20"/>
        <v>264</v>
      </c>
      <c r="C269" s="56" t="s">
        <v>2262</v>
      </c>
      <c r="D269" s="56" t="s">
        <v>2276</v>
      </c>
      <c r="E269" s="57" t="s">
        <v>2583</v>
      </c>
      <c r="F269" s="58"/>
      <c r="G269" s="59">
        <v>45381</v>
      </c>
      <c r="H269" s="57" t="s">
        <v>129</v>
      </c>
      <c r="I269" s="62">
        <f t="shared" si="21"/>
        <v>64.727272727272748</v>
      </c>
      <c r="J269" s="63">
        <v>712</v>
      </c>
      <c r="K269" s="63">
        <f t="shared" si="22"/>
        <v>712</v>
      </c>
      <c r="L269" s="62" t="str">
        <f t="shared" si="23"/>
        <v/>
      </c>
      <c r="M269" s="63"/>
    </row>
    <row r="270" spans="2:13" s="46" customFormat="1" ht="15">
      <c r="B270" s="534">
        <f t="shared" si="20"/>
        <v>265</v>
      </c>
      <c r="C270" s="56" t="s">
        <v>2262</v>
      </c>
      <c r="D270" s="56" t="s">
        <v>2584</v>
      </c>
      <c r="E270" s="57" t="s">
        <v>2585</v>
      </c>
      <c r="F270" s="58"/>
      <c r="G270" s="59">
        <v>45381</v>
      </c>
      <c r="H270" s="57" t="s">
        <v>129</v>
      </c>
      <c r="I270" s="62">
        <f t="shared" si="21"/>
        <v>128</v>
      </c>
      <c r="J270" s="63">
        <v>1408</v>
      </c>
      <c r="K270" s="63">
        <f t="shared" si="22"/>
        <v>1408</v>
      </c>
      <c r="L270" s="62" t="str">
        <f t="shared" si="23"/>
        <v/>
      </c>
      <c r="M270" s="63"/>
    </row>
    <row r="271" spans="2:13" s="46" customFormat="1" ht="15">
      <c r="B271" s="534">
        <f t="shared" si="20"/>
        <v>266</v>
      </c>
      <c r="C271" s="56" t="s">
        <v>2268</v>
      </c>
      <c r="D271" s="56" t="s">
        <v>2269</v>
      </c>
      <c r="E271" s="57" t="s">
        <v>2272</v>
      </c>
      <c r="F271" s="58" t="s">
        <v>2586</v>
      </c>
      <c r="G271" s="59">
        <v>45381</v>
      </c>
      <c r="H271" s="57" t="s">
        <v>129</v>
      </c>
      <c r="I271" s="62">
        <f t="shared" si="21"/>
        <v>64.363636363636374</v>
      </c>
      <c r="J271" s="63">
        <v>708</v>
      </c>
      <c r="K271" s="63">
        <f t="shared" si="22"/>
        <v>708</v>
      </c>
      <c r="L271" s="62" t="str">
        <f t="shared" si="23"/>
        <v/>
      </c>
      <c r="M271" s="63"/>
    </row>
    <row r="272" spans="2:13" s="46" customFormat="1" ht="15">
      <c r="B272" s="534">
        <f t="shared" si="20"/>
        <v>267</v>
      </c>
      <c r="C272" s="56" t="s">
        <v>2262</v>
      </c>
      <c r="D272" s="56" t="s">
        <v>2459</v>
      </c>
      <c r="E272" s="57" t="s">
        <v>2587</v>
      </c>
      <c r="F272" s="58" t="s">
        <v>2377</v>
      </c>
      <c r="G272" s="59">
        <v>45381</v>
      </c>
      <c r="H272" s="57" t="s">
        <v>2265</v>
      </c>
      <c r="I272" s="62">
        <f t="shared" si="21"/>
        <v>40.000000000000057</v>
      </c>
      <c r="J272" s="63">
        <v>440</v>
      </c>
      <c r="K272" s="63">
        <f t="shared" si="22"/>
        <v>440</v>
      </c>
      <c r="L272" s="62" t="str">
        <f t="shared" si="23"/>
        <v/>
      </c>
      <c r="M272" s="63"/>
    </row>
    <row r="273" spans="2:13" s="46" customFormat="1" ht="15">
      <c r="B273" s="534">
        <f t="shared" si="20"/>
        <v>268</v>
      </c>
      <c r="C273" s="56" t="s">
        <v>2281</v>
      </c>
      <c r="D273" s="56" t="s">
        <v>2282</v>
      </c>
      <c r="E273" s="57" t="s">
        <v>2572</v>
      </c>
      <c r="F273" s="58"/>
      <c r="G273" s="59">
        <v>45381</v>
      </c>
      <c r="H273" s="57" t="s">
        <v>45</v>
      </c>
      <c r="I273" s="62">
        <f t="shared" si="21"/>
        <v>10.000000000000014</v>
      </c>
      <c r="J273" s="63">
        <v>110</v>
      </c>
      <c r="K273" s="63">
        <f t="shared" si="22"/>
        <v>110</v>
      </c>
      <c r="L273" s="62" t="str">
        <f t="shared" si="23"/>
        <v/>
      </c>
      <c r="M273" s="63"/>
    </row>
    <row r="274" spans="2:13" s="46" customFormat="1" ht="15">
      <c r="B274" s="534">
        <f t="shared" si="20"/>
        <v>269</v>
      </c>
      <c r="C274" s="56" t="s">
        <v>2262</v>
      </c>
      <c r="D274" s="56" t="s">
        <v>2266</v>
      </c>
      <c r="E274" s="57" t="s">
        <v>2588</v>
      </c>
      <c r="F274" s="58" t="s">
        <v>2377</v>
      </c>
      <c r="G274" s="59">
        <v>45381</v>
      </c>
      <c r="H274" s="57" t="s">
        <v>45</v>
      </c>
      <c r="I274" s="62">
        <f t="shared" si="21"/>
        <v>40.000000000000057</v>
      </c>
      <c r="J274" s="63">
        <v>440</v>
      </c>
      <c r="K274" s="63">
        <f t="shared" si="22"/>
        <v>440</v>
      </c>
      <c r="L274" s="62" t="str">
        <f t="shared" si="23"/>
        <v/>
      </c>
      <c r="M274" s="63"/>
    </row>
    <row r="275" spans="2:13" s="46" customFormat="1" ht="15">
      <c r="B275" s="534">
        <f t="shared" si="20"/>
        <v>270</v>
      </c>
      <c r="C275" s="56" t="s">
        <v>2262</v>
      </c>
      <c r="D275" s="56" t="s">
        <v>2364</v>
      </c>
      <c r="E275" s="57" t="s">
        <v>2589</v>
      </c>
      <c r="F275" s="58" t="s">
        <v>2271</v>
      </c>
      <c r="G275" s="59">
        <v>45381</v>
      </c>
      <c r="H275" s="57" t="s">
        <v>45</v>
      </c>
      <c r="I275" s="62">
        <f t="shared" si="21"/>
        <v>60</v>
      </c>
      <c r="J275" s="63">
        <v>660</v>
      </c>
      <c r="K275" s="63">
        <f t="shared" si="22"/>
        <v>660</v>
      </c>
      <c r="L275" s="62" t="str">
        <f t="shared" si="23"/>
        <v/>
      </c>
      <c r="M275" s="63"/>
    </row>
    <row r="276" spans="2:13" s="46" customFormat="1" ht="15">
      <c r="B276" s="534">
        <f t="shared" si="20"/>
        <v>271</v>
      </c>
      <c r="C276" s="56" t="s">
        <v>2262</v>
      </c>
      <c r="D276" s="56" t="s">
        <v>2590</v>
      </c>
      <c r="E276" s="57" t="s">
        <v>2591</v>
      </c>
      <c r="F276" s="58"/>
      <c r="G276" s="59">
        <v>45381</v>
      </c>
      <c r="H276" s="57" t="s">
        <v>45</v>
      </c>
      <c r="I276" s="62">
        <f t="shared" si="21"/>
        <v>10.000000000000014</v>
      </c>
      <c r="J276" s="63">
        <v>110</v>
      </c>
      <c r="K276" s="63">
        <f t="shared" si="22"/>
        <v>110</v>
      </c>
      <c r="L276" s="62" t="str">
        <f t="shared" si="23"/>
        <v/>
      </c>
      <c r="M276" s="63"/>
    </row>
    <row r="277" spans="2:13" s="46" customFormat="1" ht="15">
      <c r="B277" s="534">
        <f t="shared" si="20"/>
        <v>272</v>
      </c>
      <c r="C277" s="56" t="s">
        <v>2262</v>
      </c>
      <c r="D277" s="56" t="s">
        <v>2592</v>
      </c>
      <c r="E277" s="57" t="s">
        <v>2593</v>
      </c>
      <c r="F277" s="58" t="s">
        <v>2304</v>
      </c>
      <c r="G277" s="59">
        <v>45381</v>
      </c>
      <c r="H277" s="57" t="s">
        <v>45</v>
      </c>
      <c r="I277" s="62">
        <f t="shared" si="21"/>
        <v>30</v>
      </c>
      <c r="J277" s="63">
        <v>330</v>
      </c>
      <c r="K277" s="63">
        <f t="shared" si="22"/>
        <v>330</v>
      </c>
      <c r="L277" s="62" t="str">
        <f t="shared" si="23"/>
        <v/>
      </c>
      <c r="M277" s="63"/>
    </row>
    <row r="278" spans="2:13" s="46" customFormat="1" ht="15">
      <c r="B278" s="534">
        <f t="shared" si="20"/>
        <v>273</v>
      </c>
      <c r="C278" s="56" t="s">
        <v>2262</v>
      </c>
      <c r="D278" s="56" t="s">
        <v>2354</v>
      </c>
      <c r="E278" s="57" t="s">
        <v>2594</v>
      </c>
      <c r="F278" s="58"/>
      <c r="G278" s="59">
        <v>45388</v>
      </c>
      <c r="H278" s="57" t="s">
        <v>2265</v>
      </c>
      <c r="I278" s="62">
        <f t="shared" si="21"/>
        <v>10.000000000000014</v>
      </c>
      <c r="J278" s="63">
        <v>110</v>
      </c>
      <c r="K278" s="63">
        <f t="shared" si="22"/>
        <v>110</v>
      </c>
      <c r="L278" s="62" t="str">
        <f t="shared" si="23"/>
        <v/>
      </c>
      <c r="M278" s="63"/>
    </row>
    <row r="279" spans="2:13" s="46" customFormat="1" ht="15">
      <c r="B279" s="534">
        <f t="shared" si="20"/>
        <v>274</v>
      </c>
      <c r="C279" s="56" t="s">
        <v>2262</v>
      </c>
      <c r="D279" s="56" t="s">
        <v>2595</v>
      </c>
      <c r="E279" s="57" t="s">
        <v>2596</v>
      </c>
      <c r="F279" s="58"/>
      <c r="G279" s="59">
        <v>45388</v>
      </c>
      <c r="H279" s="57" t="s">
        <v>2265</v>
      </c>
      <c r="I279" s="62">
        <f t="shared" si="21"/>
        <v>10.000000000000014</v>
      </c>
      <c r="J279" s="63">
        <v>110</v>
      </c>
      <c r="K279" s="63">
        <f t="shared" si="22"/>
        <v>110</v>
      </c>
      <c r="L279" s="62" t="str">
        <f t="shared" si="23"/>
        <v/>
      </c>
      <c r="M279" s="63"/>
    </row>
    <row r="280" spans="2:13" s="46" customFormat="1" ht="15">
      <c r="B280" s="534">
        <f t="shared" si="20"/>
        <v>275</v>
      </c>
      <c r="C280" s="56" t="s">
        <v>2262</v>
      </c>
      <c r="D280" s="56" t="s">
        <v>2597</v>
      </c>
      <c r="E280" s="57" t="s">
        <v>2598</v>
      </c>
      <c r="F280" s="58"/>
      <c r="G280" s="59">
        <v>45388</v>
      </c>
      <c r="H280" s="57" t="s">
        <v>2265</v>
      </c>
      <c r="I280" s="62">
        <f t="shared" si="21"/>
        <v>10.000000000000014</v>
      </c>
      <c r="J280" s="63">
        <v>110</v>
      </c>
      <c r="K280" s="63">
        <f t="shared" si="22"/>
        <v>110</v>
      </c>
      <c r="L280" s="62" t="str">
        <f t="shared" si="23"/>
        <v/>
      </c>
      <c r="M280" s="63"/>
    </row>
    <row r="281" spans="2:13" s="46" customFormat="1" ht="15">
      <c r="B281" s="534">
        <f t="shared" si="20"/>
        <v>276</v>
      </c>
      <c r="C281" s="56" t="s">
        <v>2268</v>
      </c>
      <c r="D281" s="56" t="s">
        <v>2318</v>
      </c>
      <c r="E281" s="57" t="s">
        <v>2599</v>
      </c>
      <c r="F281" s="58" t="s">
        <v>2377</v>
      </c>
      <c r="G281" s="59">
        <v>45390</v>
      </c>
      <c r="H281" s="57" t="s">
        <v>129</v>
      </c>
      <c r="I281" s="62">
        <f t="shared" si="21"/>
        <v>58.909090909090992</v>
      </c>
      <c r="J281" s="63">
        <v>648</v>
      </c>
      <c r="K281" s="63">
        <f t="shared" si="22"/>
        <v>648</v>
      </c>
      <c r="L281" s="62" t="str">
        <f t="shared" si="23"/>
        <v/>
      </c>
      <c r="M281" s="63"/>
    </row>
    <row r="282" spans="2:13" s="46" customFormat="1" ht="15">
      <c r="B282" s="534">
        <f t="shared" si="20"/>
        <v>277</v>
      </c>
      <c r="C282" s="56" t="s">
        <v>2268</v>
      </c>
      <c r="D282" s="56" t="s">
        <v>2318</v>
      </c>
      <c r="E282" s="57" t="s">
        <v>2600</v>
      </c>
      <c r="F282" s="58" t="s">
        <v>2377</v>
      </c>
      <c r="G282" s="59">
        <v>45390</v>
      </c>
      <c r="H282" s="57" t="s">
        <v>129</v>
      </c>
      <c r="I282" s="62">
        <f t="shared" si="21"/>
        <v>158.90909090909099</v>
      </c>
      <c r="J282" s="63">
        <v>1748</v>
      </c>
      <c r="K282" s="63">
        <f t="shared" si="22"/>
        <v>1748</v>
      </c>
      <c r="L282" s="62" t="str">
        <f t="shared" si="23"/>
        <v/>
      </c>
      <c r="M282" s="63"/>
    </row>
    <row r="283" spans="2:13" s="46" customFormat="1" ht="15">
      <c r="B283" s="534">
        <f t="shared" si="20"/>
        <v>278</v>
      </c>
      <c r="C283" s="56" t="s">
        <v>2268</v>
      </c>
      <c r="D283" s="56" t="s">
        <v>2318</v>
      </c>
      <c r="E283" s="57" t="s">
        <v>2601</v>
      </c>
      <c r="F283" s="58" t="s">
        <v>2377</v>
      </c>
      <c r="G283" s="59">
        <v>45390</v>
      </c>
      <c r="H283" s="57" t="s">
        <v>129</v>
      </c>
      <c r="I283" s="62">
        <f t="shared" si="21"/>
        <v>210.90909090909099</v>
      </c>
      <c r="J283" s="63">
        <v>2320</v>
      </c>
      <c r="K283" s="63">
        <f t="shared" si="22"/>
        <v>2320</v>
      </c>
      <c r="L283" s="62" t="str">
        <f t="shared" si="23"/>
        <v/>
      </c>
      <c r="M283" s="63"/>
    </row>
    <row r="284" spans="2:13" s="46" customFormat="1" ht="15">
      <c r="B284" s="534">
        <f t="shared" si="20"/>
        <v>279</v>
      </c>
      <c r="C284" s="56" t="s">
        <v>2268</v>
      </c>
      <c r="D284" s="56" t="s">
        <v>2318</v>
      </c>
      <c r="E284" s="57" t="s">
        <v>2602</v>
      </c>
      <c r="F284" s="58"/>
      <c r="G284" s="59">
        <v>45390</v>
      </c>
      <c r="H284" s="57" t="s">
        <v>129</v>
      </c>
      <c r="I284" s="62">
        <f t="shared" si="21"/>
        <v>49.727272727272748</v>
      </c>
      <c r="J284" s="63">
        <v>547</v>
      </c>
      <c r="K284" s="63">
        <f t="shared" si="22"/>
        <v>547</v>
      </c>
      <c r="L284" s="62" t="str">
        <f t="shared" si="23"/>
        <v/>
      </c>
      <c r="M284" s="63"/>
    </row>
    <row r="285" spans="2:13" s="46" customFormat="1" ht="15">
      <c r="B285" s="534">
        <f t="shared" si="20"/>
        <v>280</v>
      </c>
      <c r="C285" s="56" t="s">
        <v>2268</v>
      </c>
      <c r="D285" s="56" t="s">
        <v>2318</v>
      </c>
      <c r="E285" s="57" t="s">
        <v>2603</v>
      </c>
      <c r="F285" s="58" t="s">
        <v>2377</v>
      </c>
      <c r="G285" s="59">
        <v>45390</v>
      </c>
      <c r="H285" s="57" t="s">
        <v>129</v>
      </c>
      <c r="I285" s="62">
        <f t="shared" si="21"/>
        <v>22.909090909090935</v>
      </c>
      <c r="J285" s="63">
        <v>252</v>
      </c>
      <c r="K285" s="63">
        <f t="shared" si="22"/>
        <v>252</v>
      </c>
      <c r="L285" s="62" t="str">
        <f t="shared" si="23"/>
        <v/>
      </c>
      <c r="M285" s="63"/>
    </row>
    <row r="286" spans="2:13" s="46" customFormat="1" ht="15">
      <c r="B286" s="534">
        <f t="shared" si="20"/>
        <v>281</v>
      </c>
      <c r="C286" s="56" t="s">
        <v>2268</v>
      </c>
      <c r="D286" s="56" t="s">
        <v>2318</v>
      </c>
      <c r="E286" s="57" t="s">
        <v>2603</v>
      </c>
      <c r="F286" s="58" t="s">
        <v>2377</v>
      </c>
      <c r="G286" s="59">
        <v>45390</v>
      </c>
      <c r="H286" s="57" t="s">
        <v>129</v>
      </c>
      <c r="I286" s="62">
        <f t="shared" si="21"/>
        <v>98.909090909090992</v>
      </c>
      <c r="J286" s="63">
        <v>1088</v>
      </c>
      <c r="K286" s="63">
        <f t="shared" si="22"/>
        <v>1088</v>
      </c>
      <c r="L286" s="62" t="str">
        <f t="shared" si="23"/>
        <v/>
      </c>
      <c r="M286" s="63"/>
    </row>
    <row r="287" spans="2:13" s="46" customFormat="1" ht="15">
      <c r="B287" s="534">
        <f t="shared" si="20"/>
        <v>282</v>
      </c>
      <c r="C287" s="56" t="s">
        <v>2268</v>
      </c>
      <c r="D287" s="56" t="s">
        <v>2318</v>
      </c>
      <c r="E287" s="57" t="s">
        <v>2603</v>
      </c>
      <c r="F287" s="58" t="s">
        <v>2377</v>
      </c>
      <c r="G287" s="59">
        <v>45390</v>
      </c>
      <c r="H287" s="57" t="s">
        <v>129</v>
      </c>
      <c r="I287" s="62">
        <f t="shared" si="21"/>
        <v>118.90909090909099</v>
      </c>
      <c r="J287" s="63">
        <v>1308</v>
      </c>
      <c r="K287" s="63">
        <f t="shared" si="22"/>
        <v>1308</v>
      </c>
      <c r="L287" s="62" t="str">
        <f t="shared" si="23"/>
        <v/>
      </c>
      <c r="M287" s="63"/>
    </row>
    <row r="288" spans="2:13" s="46" customFormat="1" ht="15">
      <c r="B288" s="534">
        <f t="shared" si="20"/>
        <v>283</v>
      </c>
      <c r="C288" s="56" t="s">
        <v>2268</v>
      </c>
      <c r="D288" s="56" t="s">
        <v>2318</v>
      </c>
      <c r="E288" s="57" t="s">
        <v>2603</v>
      </c>
      <c r="F288" s="58" t="s">
        <v>2377</v>
      </c>
      <c r="G288" s="59">
        <v>45390</v>
      </c>
      <c r="H288" s="57" t="s">
        <v>129</v>
      </c>
      <c r="I288" s="62">
        <f t="shared" si="21"/>
        <v>78.909090909090992</v>
      </c>
      <c r="J288" s="63">
        <v>868</v>
      </c>
      <c r="K288" s="63">
        <f t="shared" si="22"/>
        <v>868</v>
      </c>
      <c r="L288" s="62" t="str">
        <f t="shared" si="23"/>
        <v/>
      </c>
      <c r="M288" s="63"/>
    </row>
    <row r="289" spans="2:13" s="46" customFormat="1" ht="15">
      <c r="B289" s="534">
        <f t="shared" si="20"/>
        <v>284</v>
      </c>
      <c r="C289" s="56" t="s">
        <v>2262</v>
      </c>
      <c r="D289" s="56" t="s">
        <v>2266</v>
      </c>
      <c r="E289" s="57" t="s">
        <v>2314</v>
      </c>
      <c r="F289" s="58" t="s">
        <v>2304</v>
      </c>
      <c r="G289" s="59">
        <v>45391</v>
      </c>
      <c r="H289" s="57" t="s">
        <v>129</v>
      </c>
      <c r="I289" s="62">
        <f t="shared" si="21"/>
        <v>53.181818181818244</v>
      </c>
      <c r="J289" s="63">
        <v>585</v>
      </c>
      <c r="K289" s="63">
        <f t="shared" si="22"/>
        <v>585</v>
      </c>
      <c r="L289" s="62" t="str">
        <f t="shared" si="23"/>
        <v/>
      </c>
      <c r="M289" s="63"/>
    </row>
    <row r="290" spans="2:13" s="46" customFormat="1" ht="15">
      <c r="B290" s="534">
        <f t="shared" si="20"/>
        <v>285</v>
      </c>
      <c r="C290" s="56" t="s">
        <v>2281</v>
      </c>
      <c r="D290" s="56" t="s">
        <v>2282</v>
      </c>
      <c r="E290" s="57"/>
      <c r="F290" s="58"/>
      <c r="G290" s="59">
        <v>45395</v>
      </c>
      <c r="H290" s="57" t="s">
        <v>2297</v>
      </c>
      <c r="I290" s="62">
        <f t="shared" si="21"/>
        <v>272.72727272727298</v>
      </c>
      <c r="J290" s="63">
        <v>3000</v>
      </c>
      <c r="K290" s="63">
        <f t="shared" si="22"/>
        <v>3000</v>
      </c>
      <c r="L290" s="62" t="str">
        <f t="shared" si="23"/>
        <v/>
      </c>
      <c r="M290" s="63"/>
    </row>
    <row r="291" spans="2:13" s="46" customFormat="1" ht="15">
      <c r="B291" s="534">
        <f t="shared" si="20"/>
        <v>286</v>
      </c>
      <c r="C291" s="56" t="s">
        <v>2268</v>
      </c>
      <c r="D291" s="56" t="s">
        <v>2269</v>
      </c>
      <c r="E291" s="57" t="s">
        <v>2272</v>
      </c>
      <c r="F291" s="58" t="s">
        <v>2299</v>
      </c>
      <c r="G291" s="59">
        <v>45395</v>
      </c>
      <c r="H291" s="57" t="s">
        <v>129</v>
      </c>
      <c r="I291" s="62">
        <f t="shared" si="21"/>
        <v>107.27272727272725</v>
      </c>
      <c r="J291" s="63">
        <v>1180</v>
      </c>
      <c r="K291" s="63">
        <f t="shared" si="22"/>
        <v>1180</v>
      </c>
      <c r="L291" s="62" t="str">
        <f t="shared" si="23"/>
        <v/>
      </c>
      <c r="M291" s="63"/>
    </row>
    <row r="292" spans="2:13" s="46" customFormat="1" ht="15">
      <c r="B292" s="534">
        <f t="shared" si="20"/>
        <v>287</v>
      </c>
      <c r="C292" s="56" t="s">
        <v>2268</v>
      </c>
      <c r="D292" s="56" t="s">
        <v>2269</v>
      </c>
      <c r="E292" s="57" t="s">
        <v>2376</v>
      </c>
      <c r="F292" s="58" t="s">
        <v>2377</v>
      </c>
      <c r="G292" s="59">
        <v>45395</v>
      </c>
      <c r="H292" s="57" t="s">
        <v>129</v>
      </c>
      <c r="I292" s="62">
        <f t="shared" si="21"/>
        <v>41.81818181818187</v>
      </c>
      <c r="J292" s="63">
        <v>460</v>
      </c>
      <c r="K292" s="63">
        <f t="shared" si="22"/>
        <v>460</v>
      </c>
      <c r="L292" s="62" t="str">
        <f t="shared" si="23"/>
        <v/>
      </c>
      <c r="M292" s="63"/>
    </row>
    <row r="293" spans="2:13" s="46" customFormat="1" ht="15">
      <c r="B293" s="534">
        <f t="shared" si="20"/>
        <v>288</v>
      </c>
      <c r="C293" s="56" t="s">
        <v>2268</v>
      </c>
      <c r="D293" s="56" t="s">
        <v>2318</v>
      </c>
      <c r="E293" s="57" t="s">
        <v>2599</v>
      </c>
      <c r="F293" s="58" t="s">
        <v>2271</v>
      </c>
      <c r="G293" s="59">
        <v>45395</v>
      </c>
      <c r="H293" s="57" t="s">
        <v>129</v>
      </c>
      <c r="I293" s="62">
        <f t="shared" si="21"/>
        <v>29.454545454545496</v>
      </c>
      <c r="J293" s="63">
        <v>324</v>
      </c>
      <c r="K293" s="63">
        <f t="shared" si="22"/>
        <v>324</v>
      </c>
      <c r="L293" s="62" t="str">
        <f t="shared" si="23"/>
        <v/>
      </c>
      <c r="M293" s="63"/>
    </row>
    <row r="294" spans="2:13" s="46" customFormat="1" ht="15">
      <c r="B294" s="534">
        <f t="shared" si="20"/>
        <v>289</v>
      </c>
      <c r="C294" s="56" t="s">
        <v>2268</v>
      </c>
      <c r="D294" s="56" t="s">
        <v>2318</v>
      </c>
      <c r="E294" s="57" t="s">
        <v>2600</v>
      </c>
      <c r="F294" s="58" t="s">
        <v>2604</v>
      </c>
      <c r="G294" s="59">
        <v>45395</v>
      </c>
      <c r="H294" s="57" t="s">
        <v>129</v>
      </c>
      <c r="I294" s="62">
        <f t="shared" si="21"/>
        <v>79.454545454545496</v>
      </c>
      <c r="J294" s="63">
        <v>874</v>
      </c>
      <c r="K294" s="63">
        <f t="shared" si="22"/>
        <v>874</v>
      </c>
      <c r="L294" s="62" t="str">
        <f t="shared" si="23"/>
        <v/>
      </c>
      <c r="M294" s="63"/>
    </row>
    <row r="295" spans="2:13" s="46" customFormat="1" ht="15">
      <c r="B295" s="534">
        <f t="shared" si="20"/>
        <v>290</v>
      </c>
      <c r="C295" s="56" t="s">
        <v>2268</v>
      </c>
      <c r="D295" s="56" t="s">
        <v>2318</v>
      </c>
      <c r="E295" s="57" t="s">
        <v>2601</v>
      </c>
      <c r="F295" s="58" t="s">
        <v>2377</v>
      </c>
      <c r="G295" s="59">
        <v>45395</v>
      </c>
      <c r="H295" s="57" t="s">
        <v>129</v>
      </c>
      <c r="I295" s="62">
        <f t="shared" si="21"/>
        <v>210.90909090909099</v>
      </c>
      <c r="J295" s="63">
        <v>2320</v>
      </c>
      <c r="K295" s="63">
        <f t="shared" si="22"/>
        <v>2320</v>
      </c>
      <c r="L295" s="62" t="str">
        <f t="shared" si="23"/>
        <v/>
      </c>
      <c r="M295" s="63"/>
    </row>
    <row r="296" spans="2:13" s="46" customFormat="1" ht="15">
      <c r="B296" s="534">
        <f t="shared" si="20"/>
        <v>291</v>
      </c>
      <c r="C296" s="56" t="s">
        <v>2268</v>
      </c>
      <c r="D296" s="56" t="s">
        <v>2318</v>
      </c>
      <c r="E296" s="57" t="s">
        <v>2603</v>
      </c>
      <c r="F296" s="58" t="s">
        <v>2271</v>
      </c>
      <c r="G296" s="59">
        <v>45395</v>
      </c>
      <c r="H296" s="57" t="s">
        <v>129</v>
      </c>
      <c r="I296" s="62">
        <f t="shared" si="21"/>
        <v>39.454545454545496</v>
      </c>
      <c r="J296" s="63">
        <v>434</v>
      </c>
      <c r="K296" s="63">
        <f t="shared" si="22"/>
        <v>434</v>
      </c>
      <c r="L296" s="62" t="str">
        <f t="shared" si="23"/>
        <v/>
      </c>
      <c r="M296" s="63"/>
    </row>
    <row r="297" spans="2:13" s="46" customFormat="1" ht="15">
      <c r="B297" s="534">
        <f t="shared" si="20"/>
        <v>292</v>
      </c>
      <c r="C297" s="56" t="s">
        <v>2268</v>
      </c>
      <c r="D297" s="56" t="s">
        <v>2318</v>
      </c>
      <c r="E297" s="57" t="s">
        <v>2603</v>
      </c>
      <c r="F297" s="58" t="s">
        <v>2377</v>
      </c>
      <c r="G297" s="59">
        <v>45395</v>
      </c>
      <c r="H297" s="57" t="s">
        <v>129</v>
      </c>
      <c r="I297" s="62">
        <f t="shared" si="21"/>
        <v>98.909090909090992</v>
      </c>
      <c r="J297" s="63">
        <v>1088</v>
      </c>
      <c r="K297" s="63">
        <f t="shared" si="22"/>
        <v>1088</v>
      </c>
      <c r="L297" s="62" t="str">
        <f t="shared" si="23"/>
        <v/>
      </c>
      <c r="M297" s="63"/>
    </row>
    <row r="298" spans="2:13" s="46" customFormat="1" ht="15">
      <c r="B298" s="534">
        <f t="shared" si="20"/>
        <v>293</v>
      </c>
      <c r="C298" s="56" t="s">
        <v>2268</v>
      </c>
      <c r="D298" s="56" t="s">
        <v>2318</v>
      </c>
      <c r="E298" s="57" t="s">
        <v>2603</v>
      </c>
      <c r="F298" s="58" t="s">
        <v>2271</v>
      </c>
      <c r="G298" s="59">
        <v>45395</v>
      </c>
      <c r="H298" s="57" t="s">
        <v>129</v>
      </c>
      <c r="I298" s="62">
        <f t="shared" si="21"/>
        <v>11.454545454545467</v>
      </c>
      <c r="J298" s="63">
        <v>126</v>
      </c>
      <c r="K298" s="63">
        <f t="shared" si="22"/>
        <v>126</v>
      </c>
      <c r="L298" s="62" t="str">
        <f t="shared" si="23"/>
        <v/>
      </c>
      <c r="M298" s="63"/>
    </row>
    <row r="299" spans="2:13" s="46" customFormat="1" ht="15">
      <c r="B299" s="534">
        <f t="shared" si="20"/>
        <v>294</v>
      </c>
      <c r="C299" s="56" t="s">
        <v>2262</v>
      </c>
      <c r="D299" s="56" t="s">
        <v>2527</v>
      </c>
      <c r="E299" s="57" t="s">
        <v>2552</v>
      </c>
      <c r="F299" s="58"/>
      <c r="G299" s="59">
        <v>45395</v>
      </c>
      <c r="H299" s="57" t="s">
        <v>45</v>
      </c>
      <c r="I299" s="62">
        <f t="shared" si="21"/>
        <v>10.000000000000014</v>
      </c>
      <c r="J299" s="63">
        <v>110</v>
      </c>
      <c r="K299" s="63">
        <f t="shared" si="22"/>
        <v>110</v>
      </c>
      <c r="L299" s="62" t="str">
        <f t="shared" si="23"/>
        <v/>
      </c>
      <c r="M299" s="63"/>
    </row>
    <row r="300" spans="2:13" s="46" customFormat="1" ht="15">
      <c r="B300" s="534">
        <f t="shared" si="20"/>
        <v>295</v>
      </c>
      <c r="C300" s="56" t="s">
        <v>2262</v>
      </c>
      <c r="D300" s="56" t="s">
        <v>2605</v>
      </c>
      <c r="E300" s="57" t="s">
        <v>2606</v>
      </c>
      <c r="F300" s="58"/>
      <c r="G300" s="59">
        <v>45395</v>
      </c>
      <c r="H300" s="57" t="s">
        <v>45</v>
      </c>
      <c r="I300" s="62">
        <f t="shared" si="21"/>
        <v>10.000000000000014</v>
      </c>
      <c r="J300" s="63">
        <v>110</v>
      </c>
      <c r="K300" s="63">
        <f t="shared" si="22"/>
        <v>110</v>
      </c>
      <c r="L300" s="62" t="str">
        <f t="shared" si="23"/>
        <v/>
      </c>
      <c r="M300" s="63"/>
    </row>
    <row r="301" spans="2:13" s="46" customFormat="1" ht="15">
      <c r="B301" s="534">
        <f t="shared" si="20"/>
        <v>296</v>
      </c>
      <c r="C301" s="56" t="s">
        <v>2262</v>
      </c>
      <c r="D301" s="56" t="s">
        <v>2605</v>
      </c>
      <c r="E301" s="57" t="s">
        <v>2607</v>
      </c>
      <c r="F301" s="58"/>
      <c r="G301" s="59">
        <v>45395</v>
      </c>
      <c r="H301" s="57" t="s">
        <v>45</v>
      </c>
      <c r="I301" s="62">
        <f t="shared" si="21"/>
        <v>30</v>
      </c>
      <c r="J301" s="63">
        <v>330</v>
      </c>
      <c r="K301" s="63">
        <f t="shared" si="22"/>
        <v>330</v>
      </c>
      <c r="L301" s="62" t="str">
        <f t="shared" si="23"/>
        <v/>
      </c>
      <c r="M301" s="63"/>
    </row>
    <row r="302" spans="2:13" s="46" customFormat="1" ht="15">
      <c r="B302" s="534">
        <f t="shared" si="20"/>
        <v>297</v>
      </c>
      <c r="C302" s="56" t="s">
        <v>2262</v>
      </c>
      <c r="D302" s="56" t="s">
        <v>2522</v>
      </c>
      <c r="E302" s="57" t="s">
        <v>2608</v>
      </c>
      <c r="F302" s="58"/>
      <c r="G302" s="59">
        <v>45395</v>
      </c>
      <c r="H302" s="57" t="s">
        <v>45</v>
      </c>
      <c r="I302" s="62">
        <f t="shared" si="21"/>
        <v>10.000000000000014</v>
      </c>
      <c r="J302" s="63">
        <v>110</v>
      </c>
      <c r="K302" s="63">
        <f t="shared" si="22"/>
        <v>110</v>
      </c>
      <c r="L302" s="62" t="str">
        <f t="shared" si="23"/>
        <v/>
      </c>
      <c r="M302" s="63"/>
    </row>
    <row r="303" spans="2:13" s="46" customFormat="1" ht="15">
      <c r="B303" s="534">
        <f t="shared" si="20"/>
        <v>298</v>
      </c>
      <c r="C303" s="56" t="s">
        <v>2262</v>
      </c>
      <c r="D303" s="56" t="s">
        <v>2346</v>
      </c>
      <c r="E303" s="57" t="s">
        <v>2573</v>
      </c>
      <c r="F303" s="58" t="s">
        <v>2377</v>
      </c>
      <c r="G303" s="59">
        <v>45395</v>
      </c>
      <c r="H303" s="57" t="s">
        <v>45</v>
      </c>
      <c r="I303" s="62">
        <f t="shared" si="21"/>
        <v>40.000000000000057</v>
      </c>
      <c r="J303" s="63">
        <v>440</v>
      </c>
      <c r="K303" s="63">
        <f t="shared" si="22"/>
        <v>440</v>
      </c>
      <c r="L303" s="62" t="str">
        <f t="shared" si="23"/>
        <v/>
      </c>
      <c r="M303" s="63"/>
    </row>
    <row r="304" spans="2:13" s="46" customFormat="1" ht="15">
      <c r="B304" s="534">
        <f t="shared" si="20"/>
        <v>299</v>
      </c>
      <c r="C304" s="56" t="s">
        <v>2262</v>
      </c>
      <c r="D304" s="56" t="s">
        <v>2432</v>
      </c>
      <c r="E304" s="57" t="s">
        <v>2609</v>
      </c>
      <c r="F304" s="58" t="s">
        <v>2271</v>
      </c>
      <c r="G304" s="59">
        <v>45395</v>
      </c>
      <c r="H304" s="57" t="s">
        <v>45</v>
      </c>
      <c r="I304" s="62">
        <f t="shared" si="21"/>
        <v>20.000000000000028</v>
      </c>
      <c r="J304" s="63">
        <v>220</v>
      </c>
      <c r="K304" s="63">
        <f t="shared" si="22"/>
        <v>220</v>
      </c>
      <c r="L304" s="62" t="str">
        <f t="shared" si="23"/>
        <v/>
      </c>
      <c r="M304" s="63"/>
    </row>
    <row r="305" spans="2:13" s="46" customFormat="1" ht="15">
      <c r="B305" s="534">
        <f t="shared" si="20"/>
        <v>300</v>
      </c>
      <c r="C305" s="56" t="s">
        <v>2262</v>
      </c>
      <c r="D305" s="56" t="s">
        <v>2332</v>
      </c>
      <c r="E305" s="57" t="s">
        <v>2610</v>
      </c>
      <c r="F305" s="58" t="s">
        <v>2271</v>
      </c>
      <c r="G305" s="59">
        <v>45395</v>
      </c>
      <c r="H305" s="57" t="s">
        <v>45</v>
      </c>
      <c r="I305" s="62">
        <f t="shared" si="21"/>
        <v>20.000000000000028</v>
      </c>
      <c r="J305" s="63">
        <v>220</v>
      </c>
      <c r="K305" s="63">
        <f t="shared" si="22"/>
        <v>220</v>
      </c>
      <c r="L305" s="62" t="str">
        <f t="shared" si="23"/>
        <v/>
      </c>
      <c r="M305" s="63"/>
    </row>
    <row r="306" spans="2:13" s="46" customFormat="1" ht="15">
      <c r="B306" s="534">
        <f t="shared" si="20"/>
        <v>301</v>
      </c>
      <c r="C306" s="56" t="s">
        <v>2262</v>
      </c>
      <c r="D306" s="56" t="s">
        <v>2611</v>
      </c>
      <c r="E306" s="57" t="s">
        <v>2612</v>
      </c>
      <c r="F306" s="58" t="s">
        <v>2271</v>
      </c>
      <c r="G306" s="59">
        <v>45395</v>
      </c>
      <c r="H306" s="57" t="s">
        <v>45</v>
      </c>
      <c r="I306" s="62">
        <f t="shared" si="21"/>
        <v>20.000000000000028</v>
      </c>
      <c r="J306" s="63">
        <v>220</v>
      </c>
      <c r="K306" s="63">
        <f t="shared" si="22"/>
        <v>220</v>
      </c>
      <c r="L306" s="62" t="str">
        <f t="shared" si="23"/>
        <v/>
      </c>
      <c r="M306" s="63"/>
    </row>
    <row r="307" spans="2:13" s="46" customFormat="1" ht="15">
      <c r="B307" s="534">
        <f t="shared" si="20"/>
        <v>302</v>
      </c>
      <c r="C307" s="56" t="s">
        <v>2262</v>
      </c>
      <c r="D307" s="56" t="s">
        <v>2459</v>
      </c>
      <c r="E307" s="57" t="s">
        <v>2613</v>
      </c>
      <c r="F307" s="58" t="s">
        <v>2377</v>
      </c>
      <c r="G307" s="59">
        <v>45395</v>
      </c>
      <c r="H307" s="57" t="s">
        <v>45</v>
      </c>
      <c r="I307" s="62">
        <f t="shared" si="21"/>
        <v>40.000000000000057</v>
      </c>
      <c r="J307" s="63">
        <v>440</v>
      </c>
      <c r="K307" s="63">
        <f t="shared" si="22"/>
        <v>440</v>
      </c>
      <c r="L307" s="62" t="str">
        <f t="shared" si="23"/>
        <v/>
      </c>
      <c r="M307" s="63"/>
    </row>
    <row r="308" spans="2:13" s="46" customFormat="1" ht="15">
      <c r="B308" s="534">
        <f t="shared" si="20"/>
        <v>303</v>
      </c>
      <c r="C308" s="56" t="s">
        <v>2273</v>
      </c>
      <c r="D308" s="56" t="s">
        <v>2614</v>
      </c>
      <c r="E308" s="57" t="s">
        <v>2615</v>
      </c>
      <c r="F308" s="58"/>
      <c r="G308" s="59">
        <v>45396</v>
      </c>
      <c r="H308" s="57" t="s">
        <v>2616</v>
      </c>
      <c r="I308" s="62">
        <f t="shared" si="21"/>
        <v>50.000000000000057</v>
      </c>
      <c r="J308" s="63">
        <v>550</v>
      </c>
      <c r="K308" s="63">
        <f t="shared" si="22"/>
        <v>550</v>
      </c>
      <c r="L308" s="62" t="str">
        <f t="shared" si="23"/>
        <v/>
      </c>
      <c r="M308" s="63"/>
    </row>
    <row r="309" spans="2:13" s="46" customFormat="1" ht="15">
      <c r="B309" s="534">
        <f t="shared" si="20"/>
        <v>304</v>
      </c>
      <c r="C309" s="56" t="s">
        <v>2273</v>
      </c>
      <c r="D309" s="56" t="s">
        <v>2614</v>
      </c>
      <c r="E309" s="57" t="s">
        <v>2617</v>
      </c>
      <c r="F309" s="58" t="s">
        <v>2271</v>
      </c>
      <c r="G309" s="59">
        <v>45396</v>
      </c>
      <c r="H309" s="57" t="s">
        <v>2616</v>
      </c>
      <c r="I309" s="62">
        <f t="shared" si="21"/>
        <v>100.00000000000011</v>
      </c>
      <c r="J309" s="63">
        <v>1100</v>
      </c>
      <c r="K309" s="63">
        <f t="shared" si="22"/>
        <v>1100</v>
      </c>
      <c r="L309" s="62" t="str">
        <f t="shared" si="23"/>
        <v/>
      </c>
      <c r="M309" s="63"/>
    </row>
    <row r="310" spans="2:13" s="46" customFormat="1" ht="15">
      <c r="B310" s="534">
        <f t="shared" si="20"/>
        <v>305</v>
      </c>
      <c r="C310" s="56" t="s">
        <v>2281</v>
      </c>
      <c r="D310" s="56" t="s">
        <v>2282</v>
      </c>
      <c r="E310" s="57" t="s">
        <v>2618</v>
      </c>
      <c r="F310" s="58"/>
      <c r="G310" s="59">
        <v>45396</v>
      </c>
      <c r="H310" s="57" t="s">
        <v>27</v>
      </c>
      <c r="I310" s="62">
        <f t="shared" si="21"/>
        <v>34.545454545454561</v>
      </c>
      <c r="J310" s="63">
        <v>380</v>
      </c>
      <c r="K310" s="63">
        <f t="shared" si="22"/>
        <v>380</v>
      </c>
      <c r="L310" s="62" t="str">
        <f t="shared" si="23"/>
        <v/>
      </c>
      <c r="M310" s="63"/>
    </row>
    <row r="311" spans="2:13" s="46" customFormat="1" ht="15">
      <c r="B311" s="534">
        <f t="shared" si="20"/>
        <v>306</v>
      </c>
      <c r="C311" s="56" t="s">
        <v>2262</v>
      </c>
      <c r="D311" s="56" t="s">
        <v>2619</v>
      </c>
      <c r="E311" s="57" t="s">
        <v>2620</v>
      </c>
      <c r="F311" s="58"/>
      <c r="G311" s="59">
        <v>45397</v>
      </c>
      <c r="H311" s="57" t="s">
        <v>135</v>
      </c>
      <c r="I311" s="62">
        <f t="shared" si="21"/>
        <v>90.63636363636374</v>
      </c>
      <c r="J311" s="63">
        <v>997</v>
      </c>
      <c r="K311" s="63">
        <f t="shared" si="22"/>
        <v>997</v>
      </c>
      <c r="L311" s="62" t="str">
        <f t="shared" si="23"/>
        <v/>
      </c>
      <c r="M311" s="63"/>
    </row>
    <row r="312" spans="2:13" s="46" customFormat="1" ht="15">
      <c r="B312" s="534">
        <f t="shared" si="20"/>
        <v>307</v>
      </c>
      <c r="C312" s="56" t="s">
        <v>2262</v>
      </c>
      <c r="D312" s="56" t="s">
        <v>2276</v>
      </c>
      <c r="E312" s="57" t="s">
        <v>2621</v>
      </c>
      <c r="F312" s="58"/>
      <c r="G312" s="59">
        <v>45397</v>
      </c>
      <c r="H312" s="57" t="s">
        <v>135</v>
      </c>
      <c r="I312" s="62">
        <f t="shared" si="21"/>
        <v>70</v>
      </c>
      <c r="J312" s="63">
        <v>770</v>
      </c>
      <c r="K312" s="63">
        <f t="shared" si="22"/>
        <v>770</v>
      </c>
      <c r="L312" s="62" t="str">
        <f t="shared" si="23"/>
        <v/>
      </c>
      <c r="M312" s="63"/>
    </row>
    <row r="313" spans="2:13" s="46" customFormat="1" ht="15">
      <c r="B313" s="534">
        <f t="shared" si="20"/>
        <v>308</v>
      </c>
      <c r="C313" s="56" t="s">
        <v>2262</v>
      </c>
      <c r="D313" s="56" t="s">
        <v>2276</v>
      </c>
      <c r="E313" s="57" t="s">
        <v>2277</v>
      </c>
      <c r="F313" s="58"/>
      <c r="G313" s="59">
        <v>45397</v>
      </c>
      <c r="H313" s="57" t="s">
        <v>135</v>
      </c>
      <c r="I313" s="62">
        <f t="shared" si="21"/>
        <v>58.81818181818187</v>
      </c>
      <c r="J313" s="63">
        <v>647</v>
      </c>
      <c r="K313" s="63">
        <f t="shared" si="22"/>
        <v>647</v>
      </c>
      <c r="L313" s="62" t="str">
        <f t="shared" si="23"/>
        <v/>
      </c>
      <c r="M313" s="63"/>
    </row>
    <row r="314" spans="2:13" s="46" customFormat="1" ht="15">
      <c r="B314" s="534">
        <f t="shared" si="20"/>
        <v>309</v>
      </c>
      <c r="C314" s="56" t="s">
        <v>2262</v>
      </c>
      <c r="D314" s="56" t="s">
        <v>2276</v>
      </c>
      <c r="E314" s="57" t="s">
        <v>2278</v>
      </c>
      <c r="F314" s="58"/>
      <c r="G314" s="59">
        <v>45397</v>
      </c>
      <c r="H314" s="57" t="s">
        <v>135</v>
      </c>
      <c r="I314" s="62">
        <f t="shared" si="21"/>
        <v>88.181818181818244</v>
      </c>
      <c r="J314" s="63">
        <v>970</v>
      </c>
      <c r="K314" s="63">
        <f t="shared" si="22"/>
        <v>970</v>
      </c>
      <c r="L314" s="62" t="str">
        <f t="shared" si="23"/>
        <v/>
      </c>
      <c r="M314" s="63"/>
    </row>
    <row r="315" spans="2:13" s="46" customFormat="1" ht="15">
      <c r="B315" s="534">
        <f t="shared" si="20"/>
        <v>310</v>
      </c>
      <c r="C315" s="56" t="s">
        <v>2281</v>
      </c>
      <c r="D315" s="56" t="s">
        <v>2282</v>
      </c>
      <c r="E315" s="57"/>
      <c r="F315" s="58"/>
      <c r="G315" s="59">
        <v>45402</v>
      </c>
      <c r="H315" s="57" t="s">
        <v>135</v>
      </c>
      <c r="I315" s="62">
        <f t="shared" si="21"/>
        <v>31.545454545454561</v>
      </c>
      <c r="J315" s="63">
        <v>347</v>
      </c>
      <c r="K315" s="63">
        <f t="shared" si="22"/>
        <v>347</v>
      </c>
      <c r="L315" s="62" t="str">
        <f t="shared" si="23"/>
        <v/>
      </c>
      <c r="M315" s="63"/>
    </row>
    <row r="316" spans="2:13" s="46" customFormat="1" ht="15">
      <c r="B316" s="534">
        <f t="shared" si="20"/>
        <v>311</v>
      </c>
      <c r="C316" s="56" t="s">
        <v>2281</v>
      </c>
      <c r="D316" s="56" t="s">
        <v>2282</v>
      </c>
      <c r="E316" s="57"/>
      <c r="F316" s="58"/>
      <c r="G316" s="59">
        <v>45402</v>
      </c>
      <c r="H316" s="57" t="s">
        <v>135</v>
      </c>
      <c r="I316" s="62">
        <f t="shared" si="21"/>
        <v>27</v>
      </c>
      <c r="J316" s="63">
        <v>297</v>
      </c>
      <c r="K316" s="63">
        <f t="shared" si="22"/>
        <v>297</v>
      </c>
      <c r="L316" s="62" t="str">
        <f t="shared" si="23"/>
        <v/>
      </c>
      <c r="M316" s="63"/>
    </row>
    <row r="317" spans="2:13" s="46" customFormat="1" ht="15">
      <c r="B317" s="534">
        <f t="shared" si="20"/>
        <v>312</v>
      </c>
      <c r="C317" s="56" t="s">
        <v>2281</v>
      </c>
      <c r="D317" s="56" t="s">
        <v>2282</v>
      </c>
      <c r="E317" s="57"/>
      <c r="F317" s="58"/>
      <c r="G317" s="59">
        <v>45402</v>
      </c>
      <c r="H317" s="57" t="s">
        <v>135</v>
      </c>
      <c r="I317" s="62">
        <f t="shared" si="21"/>
        <v>17.909090909090935</v>
      </c>
      <c r="J317" s="63">
        <v>197</v>
      </c>
      <c r="K317" s="63">
        <f t="shared" si="22"/>
        <v>197</v>
      </c>
      <c r="L317" s="62" t="str">
        <f t="shared" si="23"/>
        <v/>
      </c>
      <c r="M317" s="63"/>
    </row>
    <row r="318" spans="2:13" s="46" customFormat="1" ht="15">
      <c r="B318" s="534">
        <f t="shared" si="20"/>
        <v>313</v>
      </c>
      <c r="C318" s="56" t="s">
        <v>2262</v>
      </c>
      <c r="D318" s="56" t="s">
        <v>2459</v>
      </c>
      <c r="E318" s="57" t="s">
        <v>2622</v>
      </c>
      <c r="F318" s="58"/>
      <c r="G318" s="59">
        <v>45402</v>
      </c>
      <c r="H318" s="57" t="s">
        <v>49</v>
      </c>
      <c r="I318" s="62">
        <f t="shared" si="21"/>
        <v>20.000000000000028</v>
      </c>
      <c r="J318" s="63">
        <v>220</v>
      </c>
      <c r="K318" s="63">
        <f t="shared" si="22"/>
        <v>220</v>
      </c>
      <c r="L318" s="62" t="str">
        <f t="shared" si="23"/>
        <v/>
      </c>
      <c r="M318" s="63"/>
    </row>
    <row r="319" spans="2:13" s="46" customFormat="1" ht="15">
      <c r="B319" s="534">
        <f t="shared" si="20"/>
        <v>314</v>
      </c>
      <c r="C319" s="56" t="s">
        <v>2262</v>
      </c>
      <c r="D319" s="56" t="s">
        <v>2611</v>
      </c>
      <c r="E319" s="57" t="s">
        <v>2623</v>
      </c>
      <c r="F319" s="58"/>
      <c r="G319" s="59">
        <v>45402</v>
      </c>
      <c r="H319" s="57" t="s">
        <v>49</v>
      </c>
      <c r="I319" s="62">
        <f t="shared" si="21"/>
        <v>10.000000000000014</v>
      </c>
      <c r="J319" s="63">
        <v>110</v>
      </c>
      <c r="K319" s="63">
        <f t="shared" si="22"/>
        <v>110</v>
      </c>
      <c r="L319" s="62" t="str">
        <f t="shared" si="23"/>
        <v/>
      </c>
      <c r="M319" s="63"/>
    </row>
    <row r="320" spans="2:13" s="46" customFormat="1" ht="15">
      <c r="B320" s="534">
        <f t="shared" si="20"/>
        <v>315</v>
      </c>
      <c r="C320" s="56" t="s">
        <v>2262</v>
      </c>
      <c r="D320" s="56" t="s">
        <v>2624</v>
      </c>
      <c r="E320" s="57" t="s">
        <v>2625</v>
      </c>
      <c r="F320" s="58"/>
      <c r="G320" s="59">
        <v>45402</v>
      </c>
      <c r="H320" s="57" t="s">
        <v>49</v>
      </c>
      <c r="I320" s="62">
        <f t="shared" si="21"/>
        <v>10.000000000000014</v>
      </c>
      <c r="J320" s="63">
        <v>110</v>
      </c>
      <c r="K320" s="63">
        <f t="shared" si="22"/>
        <v>110</v>
      </c>
      <c r="L320" s="62" t="str">
        <f t="shared" si="23"/>
        <v/>
      </c>
      <c r="M320" s="63"/>
    </row>
    <row r="321" spans="2:13" s="46" customFormat="1" ht="15">
      <c r="B321" s="534">
        <f t="shared" si="20"/>
        <v>316</v>
      </c>
      <c r="C321" s="56" t="s">
        <v>2262</v>
      </c>
      <c r="D321" s="56" t="s">
        <v>2579</v>
      </c>
      <c r="E321" s="57" t="s">
        <v>2626</v>
      </c>
      <c r="F321" s="58"/>
      <c r="G321" s="59">
        <v>45402</v>
      </c>
      <c r="H321" s="57" t="s">
        <v>49</v>
      </c>
      <c r="I321" s="62">
        <f t="shared" si="21"/>
        <v>10.000000000000014</v>
      </c>
      <c r="J321" s="63">
        <v>110</v>
      </c>
      <c r="K321" s="63">
        <f t="shared" si="22"/>
        <v>110</v>
      </c>
      <c r="L321" s="62" t="str">
        <f t="shared" si="23"/>
        <v/>
      </c>
      <c r="M321" s="63"/>
    </row>
    <row r="322" spans="2:13" s="46" customFormat="1" ht="15">
      <c r="B322" s="534">
        <f t="shared" si="20"/>
        <v>317</v>
      </c>
      <c r="C322" s="56" t="s">
        <v>2281</v>
      </c>
      <c r="D322" s="56" t="s">
        <v>2282</v>
      </c>
      <c r="E322" s="57" t="s">
        <v>2520</v>
      </c>
      <c r="F322" s="58" t="s">
        <v>2377</v>
      </c>
      <c r="G322" s="59">
        <v>45402</v>
      </c>
      <c r="H322" s="57" t="s">
        <v>49</v>
      </c>
      <c r="I322" s="62">
        <f t="shared" si="21"/>
        <v>40.000000000000057</v>
      </c>
      <c r="J322" s="63">
        <v>440</v>
      </c>
      <c r="K322" s="63">
        <f t="shared" si="22"/>
        <v>440</v>
      </c>
      <c r="L322" s="62" t="str">
        <f t="shared" si="23"/>
        <v/>
      </c>
      <c r="M322" s="63"/>
    </row>
    <row r="323" spans="2:13" s="46" customFormat="1" ht="15">
      <c r="B323" s="534">
        <f t="shared" si="20"/>
        <v>318</v>
      </c>
      <c r="C323" s="56" t="s">
        <v>2262</v>
      </c>
      <c r="D323" s="56" t="s">
        <v>2459</v>
      </c>
      <c r="E323" s="57" t="s">
        <v>2613</v>
      </c>
      <c r="F323" s="58" t="s">
        <v>2377</v>
      </c>
      <c r="G323" s="59">
        <v>45402</v>
      </c>
      <c r="H323" s="57" t="s">
        <v>45</v>
      </c>
      <c r="I323" s="62">
        <f t="shared" si="21"/>
        <v>40.000000000000057</v>
      </c>
      <c r="J323" s="63">
        <v>440</v>
      </c>
      <c r="K323" s="63">
        <f t="shared" si="22"/>
        <v>440</v>
      </c>
      <c r="L323" s="62" t="str">
        <f t="shared" si="23"/>
        <v/>
      </c>
      <c r="M323" s="63"/>
    </row>
    <row r="324" spans="2:13" s="46" customFormat="1" ht="15">
      <c r="B324" s="534">
        <f t="shared" si="20"/>
        <v>319</v>
      </c>
      <c r="C324" s="56" t="s">
        <v>2262</v>
      </c>
      <c r="D324" s="56" t="s">
        <v>2627</v>
      </c>
      <c r="E324" s="57" t="s">
        <v>2628</v>
      </c>
      <c r="F324" s="58"/>
      <c r="G324" s="59">
        <v>45402</v>
      </c>
      <c r="H324" s="57" t="s">
        <v>45</v>
      </c>
      <c r="I324" s="62">
        <f t="shared" si="21"/>
        <v>10.000000000000014</v>
      </c>
      <c r="J324" s="63">
        <v>110</v>
      </c>
      <c r="K324" s="63">
        <f t="shared" si="22"/>
        <v>110</v>
      </c>
      <c r="L324" s="62" t="str">
        <f t="shared" si="23"/>
        <v/>
      </c>
      <c r="M324" s="63"/>
    </row>
    <row r="325" spans="2:13" s="46" customFormat="1" ht="15">
      <c r="B325" s="534">
        <f t="shared" si="20"/>
        <v>320</v>
      </c>
      <c r="C325" s="56" t="s">
        <v>2281</v>
      </c>
      <c r="D325" s="56" t="s">
        <v>2282</v>
      </c>
      <c r="E325" s="57" t="s">
        <v>2629</v>
      </c>
      <c r="F325" s="58" t="s">
        <v>2630</v>
      </c>
      <c r="G325" s="59">
        <v>45402</v>
      </c>
      <c r="H325" s="57" t="s">
        <v>45</v>
      </c>
      <c r="I325" s="62">
        <f t="shared" si="21"/>
        <v>80.000000000000114</v>
      </c>
      <c r="J325" s="63">
        <v>880</v>
      </c>
      <c r="K325" s="63">
        <f t="shared" si="22"/>
        <v>880</v>
      </c>
      <c r="L325" s="62" t="str">
        <f t="shared" si="23"/>
        <v/>
      </c>
      <c r="M325" s="63"/>
    </row>
    <row r="326" spans="2:13" s="46" customFormat="1" ht="15">
      <c r="B326" s="534">
        <f t="shared" si="20"/>
        <v>321</v>
      </c>
      <c r="C326" s="56" t="s">
        <v>2262</v>
      </c>
      <c r="D326" s="56" t="s">
        <v>2627</v>
      </c>
      <c r="E326" s="57" t="s">
        <v>2628</v>
      </c>
      <c r="F326" s="58"/>
      <c r="G326" s="59">
        <v>45402</v>
      </c>
      <c r="H326" s="57" t="s">
        <v>2631</v>
      </c>
      <c r="I326" s="62">
        <f t="shared" si="21"/>
        <v>66.272727272727366</v>
      </c>
      <c r="J326" s="63">
        <v>729</v>
      </c>
      <c r="K326" s="63">
        <f t="shared" si="22"/>
        <v>729</v>
      </c>
      <c r="L326" s="62" t="str">
        <f t="shared" si="23"/>
        <v/>
      </c>
      <c r="M326" s="63"/>
    </row>
    <row r="327" spans="2:13" s="46" customFormat="1" ht="15">
      <c r="B327" s="534">
        <f t="shared" si="20"/>
        <v>322</v>
      </c>
      <c r="C327" s="56" t="s">
        <v>2262</v>
      </c>
      <c r="D327" s="56" t="s">
        <v>2487</v>
      </c>
      <c r="E327" s="57" t="s">
        <v>2632</v>
      </c>
      <c r="F327" s="58"/>
      <c r="G327" s="59">
        <v>45409</v>
      </c>
      <c r="H327" s="57" t="s">
        <v>2633</v>
      </c>
      <c r="I327" s="62">
        <f t="shared" si="21"/>
        <v>70.363636363636374</v>
      </c>
      <c r="J327" s="63">
        <v>774</v>
      </c>
      <c r="K327" s="63">
        <f t="shared" si="22"/>
        <v>774</v>
      </c>
      <c r="L327" s="62" t="str">
        <f t="shared" si="23"/>
        <v/>
      </c>
      <c r="M327" s="63"/>
    </row>
    <row r="328" spans="2:13" s="46" customFormat="1" ht="15">
      <c r="B328" s="534">
        <f t="shared" si="20"/>
        <v>323</v>
      </c>
      <c r="C328" s="56" t="s">
        <v>2262</v>
      </c>
      <c r="D328" s="56" t="s">
        <v>2634</v>
      </c>
      <c r="E328" s="57" t="s">
        <v>2635</v>
      </c>
      <c r="F328" s="58"/>
      <c r="G328" s="59">
        <v>45409</v>
      </c>
      <c r="H328" s="57" t="s">
        <v>2636</v>
      </c>
      <c r="I328" s="62">
        <f t="shared" si="21"/>
        <v>334.00000000000045</v>
      </c>
      <c r="J328" s="63">
        <v>3674</v>
      </c>
      <c r="K328" s="63">
        <f t="shared" si="22"/>
        <v>3674</v>
      </c>
      <c r="L328" s="62" t="str">
        <f t="shared" si="23"/>
        <v/>
      </c>
      <c r="M328" s="63"/>
    </row>
    <row r="329" spans="2:13" s="46" customFormat="1" ht="15">
      <c r="B329" s="534">
        <f t="shared" si="20"/>
        <v>324</v>
      </c>
      <c r="C329" s="56" t="s">
        <v>2262</v>
      </c>
      <c r="D329" s="56" t="s">
        <v>2266</v>
      </c>
      <c r="E329" s="57" t="s">
        <v>2637</v>
      </c>
      <c r="F329" s="58"/>
      <c r="G329" s="59">
        <v>45409</v>
      </c>
      <c r="H329" s="57" t="s">
        <v>45</v>
      </c>
      <c r="I329" s="62">
        <f t="shared" si="21"/>
        <v>10.000000000000014</v>
      </c>
      <c r="J329" s="63">
        <v>110</v>
      </c>
      <c r="K329" s="63">
        <f t="shared" si="22"/>
        <v>110</v>
      </c>
      <c r="L329" s="62" t="str">
        <f t="shared" si="23"/>
        <v/>
      </c>
      <c r="M329" s="63"/>
    </row>
    <row r="330" spans="2:13" s="46" customFormat="1" ht="15">
      <c r="B330" s="534">
        <f t="shared" si="20"/>
        <v>325</v>
      </c>
      <c r="C330" s="56" t="s">
        <v>2262</v>
      </c>
      <c r="D330" s="56" t="s">
        <v>2638</v>
      </c>
      <c r="E330" s="57" t="s">
        <v>2639</v>
      </c>
      <c r="F330" s="58" t="s">
        <v>2271</v>
      </c>
      <c r="G330" s="59">
        <v>45409</v>
      </c>
      <c r="H330" s="57" t="s">
        <v>45</v>
      </c>
      <c r="I330" s="62">
        <f t="shared" si="21"/>
        <v>20.000000000000028</v>
      </c>
      <c r="J330" s="63">
        <v>220</v>
      </c>
      <c r="K330" s="63">
        <f t="shared" si="22"/>
        <v>220</v>
      </c>
      <c r="L330" s="62" t="str">
        <f t="shared" si="23"/>
        <v/>
      </c>
      <c r="M330" s="63"/>
    </row>
    <row r="331" spans="2:13" s="46" customFormat="1" ht="15">
      <c r="B331" s="534">
        <f t="shared" si="20"/>
        <v>326</v>
      </c>
      <c r="C331" s="56" t="s">
        <v>2262</v>
      </c>
      <c r="D331" s="56" t="s">
        <v>2459</v>
      </c>
      <c r="E331" s="57" t="s">
        <v>2571</v>
      </c>
      <c r="F331" s="58" t="s">
        <v>2304</v>
      </c>
      <c r="G331" s="59">
        <v>45409</v>
      </c>
      <c r="H331" s="57" t="s">
        <v>45</v>
      </c>
      <c r="I331" s="62">
        <f t="shared" si="21"/>
        <v>30</v>
      </c>
      <c r="J331" s="63">
        <v>330</v>
      </c>
      <c r="K331" s="63">
        <f t="shared" si="22"/>
        <v>330</v>
      </c>
      <c r="L331" s="62" t="str">
        <f t="shared" si="23"/>
        <v/>
      </c>
      <c r="M331" s="63"/>
    </row>
    <row r="332" spans="2:13" s="46" customFormat="1" ht="15">
      <c r="B332" s="534">
        <f t="shared" ref="B332:B395" si="24">ROW()-5</f>
        <v>327</v>
      </c>
      <c r="C332" s="56" t="s">
        <v>2262</v>
      </c>
      <c r="D332" s="56" t="s">
        <v>2640</v>
      </c>
      <c r="E332" s="57" t="s">
        <v>2641</v>
      </c>
      <c r="F332" s="58" t="s">
        <v>2271</v>
      </c>
      <c r="G332" s="59">
        <v>45409</v>
      </c>
      <c r="H332" s="57" t="s">
        <v>45</v>
      </c>
      <c r="I332" s="62">
        <f t="shared" ref="I332:I395" si="25">IF(J332&lt;&gt;"",J332-J332/1.1,"")</f>
        <v>20.000000000000028</v>
      </c>
      <c r="J332" s="63">
        <v>220</v>
      </c>
      <c r="K332" s="63">
        <f t="shared" ref="K332:K395" si="26">IF(N332="",J332,0)</f>
        <v>220</v>
      </c>
      <c r="L332" s="62" t="str">
        <f t="shared" ref="L332:L395" si="27">IF(M332&lt;&gt;"",M332-M332/1.1,"")</f>
        <v/>
      </c>
      <c r="M332" s="63"/>
    </row>
    <row r="333" spans="2:13" s="46" customFormat="1" ht="15">
      <c r="B333" s="534">
        <f t="shared" si="24"/>
        <v>328</v>
      </c>
      <c r="C333" s="56" t="s">
        <v>2262</v>
      </c>
      <c r="D333" s="56" t="s">
        <v>2428</v>
      </c>
      <c r="E333" s="57" t="s">
        <v>2429</v>
      </c>
      <c r="F333" s="58" t="s">
        <v>2304</v>
      </c>
      <c r="G333" s="59">
        <v>45409</v>
      </c>
      <c r="H333" s="57" t="s">
        <v>45</v>
      </c>
      <c r="I333" s="62">
        <f t="shared" si="25"/>
        <v>30</v>
      </c>
      <c r="J333" s="63">
        <v>330</v>
      </c>
      <c r="K333" s="63">
        <f t="shared" si="26"/>
        <v>330</v>
      </c>
      <c r="L333" s="62" t="str">
        <f t="shared" si="27"/>
        <v/>
      </c>
      <c r="M333" s="63"/>
    </row>
    <row r="334" spans="2:13" s="46" customFormat="1" ht="15">
      <c r="B334" s="534">
        <f t="shared" si="24"/>
        <v>329</v>
      </c>
      <c r="C334" s="56" t="s">
        <v>2262</v>
      </c>
      <c r="D334" s="56" t="s">
        <v>2392</v>
      </c>
      <c r="E334" s="57" t="s">
        <v>2576</v>
      </c>
      <c r="F334" s="58" t="s">
        <v>2271</v>
      </c>
      <c r="G334" s="59">
        <v>45409</v>
      </c>
      <c r="H334" s="57" t="s">
        <v>45</v>
      </c>
      <c r="I334" s="62">
        <f t="shared" si="25"/>
        <v>20.000000000000028</v>
      </c>
      <c r="J334" s="63">
        <v>220</v>
      </c>
      <c r="K334" s="63">
        <f t="shared" si="26"/>
        <v>220</v>
      </c>
      <c r="L334" s="62" t="str">
        <f t="shared" si="27"/>
        <v/>
      </c>
      <c r="M334" s="63"/>
    </row>
    <row r="335" spans="2:13" s="46" customFormat="1" ht="15">
      <c r="B335" s="534">
        <f t="shared" si="24"/>
        <v>330</v>
      </c>
      <c r="C335" s="56" t="s">
        <v>2262</v>
      </c>
      <c r="D335" s="56" t="s">
        <v>2276</v>
      </c>
      <c r="E335" s="57" t="s">
        <v>2642</v>
      </c>
      <c r="F335" s="58"/>
      <c r="G335" s="59">
        <v>45410</v>
      </c>
      <c r="H335" s="57" t="s">
        <v>129</v>
      </c>
      <c r="I335" s="62">
        <f t="shared" si="25"/>
        <v>39.727272727272748</v>
      </c>
      <c r="J335" s="63">
        <v>437</v>
      </c>
      <c r="K335" s="63">
        <f t="shared" si="26"/>
        <v>437</v>
      </c>
      <c r="L335" s="62" t="str">
        <f t="shared" si="27"/>
        <v/>
      </c>
      <c r="M335" s="63"/>
    </row>
    <row r="336" spans="2:13" s="46" customFormat="1" ht="15">
      <c r="B336" s="534">
        <f t="shared" si="24"/>
        <v>331</v>
      </c>
      <c r="C336" s="56" t="s">
        <v>2268</v>
      </c>
      <c r="D336" s="56" t="s">
        <v>2318</v>
      </c>
      <c r="E336" s="57" t="s">
        <v>2599</v>
      </c>
      <c r="F336" s="58" t="s">
        <v>2271</v>
      </c>
      <c r="G336" s="59">
        <v>45410</v>
      </c>
      <c r="H336" s="57" t="s">
        <v>129</v>
      </c>
      <c r="I336" s="62">
        <f t="shared" si="25"/>
        <v>29.454545454545496</v>
      </c>
      <c r="J336" s="63">
        <v>324</v>
      </c>
      <c r="K336" s="63">
        <f t="shared" si="26"/>
        <v>324</v>
      </c>
      <c r="L336" s="62" t="str">
        <f t="shared" si="27"/>
        <v/>
      </c>
      <c r="M336" s="63"/>
    </row>
    <row r="337" spans="2:13" s="46" customFormat="1" ht="15">
      <c r="B337" s="534">
        <f t="shared" si="24"/>
        <v>332</v>
      </c>
      <c r="C337" s="56" t="s">
        <v>2268</v>
      </c>
      <c r="D337" s="56" t="s">
        <v>2318</v>
      </c>
      <c r="E337" s="57" t="s">
        <v>2600</v>
      </c>
      <c r="F337" s="58" t="s">
        <v>2271</v>
      </c>
      <c r="G337" s="59">
        <v>45410</v>
      </c>
      <c r="H337" s="57" t="s">
        <v>129</v>
      </c>
      <c r="I337" s="62">
        <f t="shared" si="25"/>
        <v>79.454545454545496</v>
      </c>
      <c r="J337" s="63">
        <v>874</v>
      </c>
      <c r="K337" s="63">
        <f t="shared" si="26"/>
        <v>874</v>
      </c>
      <c r="L337" s="62" t="str">
        <f t="shared" si="27"/>
        <v/>
      </c>
      <c r="M337" s="63"/>
    </row>
    <row r="338" spans="2:13" s="46" customFormat="1" ht="15">
      <c r="B338" s="534">
        <f t="shared" si="24"/>
        <v>333</v>
      </c>
      <c r="C338" s="56" t="s">
        <v>2268</v>
      </c>
      <c r="D338" s="56" t="s">
        <v>2318</v>
      </c>
      <c r="E338" s="57" t="s">
        <v>2603</v>
      </c>
      <c r="F338" s="58" t="s">
        <v>2271</v>
      </c>
      <c r="G338" s="59">
        <v>45410</v>
      </c>
      <c r="H338" s="57" t="s">
        <v>129</v>
      </c>
      <c r="I338" s="62">
        <f t="shared" si="25"/>
        <v>39.454545454545496</v>
      </c>
      <c r="J338" s="63">
        <v>434</v>
      </c>
      <c r="K338" s="63">
        <f t="shared" si="26"/>
        <v>434</v>
      </c>
      <c r="L338" s="62" t="str">
        <f t="shared" si="27"/>
        <v/>
      </c>
      <c r="M338" s="63"/>
    </row>
    <row r="339" spans="2:13" s="46" customFormat="1" ht="15">
      <c r="B339" s="534">
        <f t="shared" si="24"/>
        <v>334</v>
      </c>
      <c r="C339" s="56" t="s">
        <v>2268</v>
      </c>
      <c r="D339" s="56" t="s">
        <v>2318</v>
      </c>
      <c r="E339" s="57" t="s">
        <v>2603</v>
      </c>
      <c r="F339" s="58" t="s">
        <v>2377</v>
      </c>
      <c r="G339" s="59">
        <v>45410</v>
      </c>
      <c r="H339" s="57" t="s">
        <v>129</v>
      </c>
      <c r="I339" s="62">
        <f t="shared" si="25"/>
        <v>98.909090909090992</v>
      </c>
      <c r="J339" s="63">
        <v>1088</v>
      </c>
      <c r="K339" s="63">
        <f t="shared" si="26"/>
        <v>1088</v>
      </c>
      <c r="L339" s="62" t="str">
        <f t="shared" si="27"/>
        <v/>
      </c>
      <c r="M339" s="63"/>
    </row>
    <row r="340" spans="2:13" s="46" customFormat="1" ht="15">
      <c r="B340" s="534">
        <f t="shared" si="24"/>
        <v>335</v>
      </c>
      <c r="C340" s="56" t="s">
        <v>2268</v>
      </c>
      <c r="D340" s="56" t="s">
        <v>2318</v>
      </c>
      <c r="E340" s="57" t="s">
        <v>2603</v>
      </c>
      <c r="F340" s="58" t="s">
        <v>2271</v>
      </c>
      <c r="G340" s="59">
        <v>45410</v>
      </c>
      <c r="H340" s="57" t="s">
        <v>129</v>
      </c>
      <c r="I340" s="62">
        <f t="shared" si="25"/>
        <v>11.454545454545467</v>
      </c>
      <c r="J340" s="63">
        <v>126</v>
      </c>
      <c r="K340" s="63">
        <f t="shared" si="26"/>
        <v>126</v>
      </c>
      <c r="L340" s="62" t="str">
        <f t="shared" si="27"/>
        <v/>
      </c>
      <c r="M340" s="63"/>
    </row>
    <row r="341" spans="2:13" s="46" customFormat="1" ht="15">
      <c r="B341" s="534">
        <f t="shared" si="24"/>
        <v>336</v>
      </c>
      <c r="C341" s="56" t="s">
        <v>2262</v>
      </c>
      <c r="D341" s="56" t="s">
        <v>2590</v>
      </c>
      <c r="E341" s="57" t="s">
        <v>2643</v>
      </c>
      <c r="F341" s="58" t="s">
        <v>2271</v>
      </c>
      <c r="G341" s="59">
        <v>45410</v>
      </c>
      <c r="H341" s="57" t="s">
        <v>129</v>
      </c>
      <c r="I341" s="62">
        <f t="shared" si="25"/>
        <v>25.454545454545467</v>
      </c>
      <c r="J341" s="63">
        <v>280</v>
      </c>
      <c r="K341" s="63">
        <f t="shared" si="26"/>
        <v>280</v>
      </c>
      <c r="L341" s="62" t="str">
        <f t="shared" si="27"/>
        <v/>
      </c>
      <c r="M341" s="63"/>
    </row>
    <row r="342" spans="2:13" s="46" customFormat="1" ht="15">
      <c r="B342" s="534">
        <f t="shared" si="24"/>
        <v>337</v>
      </c>
      <c r="C342" s="56" t="s">
        <v>2281</v>
      </c>
      <c r="D342" s="56" t="s">
        <v>2282</v>
      </c>
      <c r="E342" s="57"/>
      <c r="F342" s="58" t="s">
        <v>2271</v>
      </c>
      <c r="G342" s="59">
        <v>45410</v>
      </c>
      <c r="H342" s="57" t="s">
        <v>129</v>
      </c>
      <c r="I342" s="62">
        <f t="shared" si="25"/>
        <v>119.4545454545455</v>
      </c>
      <c r="J342" s="63">
        <v>1314</v>
      </c>
      <c r="K342" s="63">
        <f t="shared" si="26"/>
        <v>1314</v>
      </c>
      <c r="L342" s="62" t="str">
        <f t="shared" si="27"/>
        <v/>
      </c>
      <c r="M342" s="63"/>
    </row>
    <row r="343" spans="2:13" s="46" customFormat="1" ht="15">
      <c r="B343" s="534">
        <f t="shared" si="24"/>
        <v>338</v>
      </c>
      <c r="C343" s="56" t="s">
        <v>2262</v>
      </c>
      <c r="D343" s="56" t="s">
        <v>2644</v>
      </c>
      <c r="E343" s="57" t="s">
        <v>2645</v>
      </c>
      <c r="F343" s="58" t="s">
        <v>2586</v>
      </c>
      <c r="G343" s="59">
        <v>45410</v>
      </c>
      <c r="H343" s="57" t="s">
        <v>45</v>
      </c>
      <c r="I343" s="62">
        <f t="shared" si="25"/>
        <v>60</v>
      </c>
      <c r="J343" s="63">
        <v>660</v>
      </c>
      <c r="K343" s="63">
        <f t="shared" si="26"/>
        <v>660</v>
      </c>
      <c r="L343" s="62" t="str">
        <f t="shared" si="27"/>
        <v/>
      </c>
      <c r="M343" s="63"/>
    </row>
    <row r="344" spans="2:13" s="46" customFormat="1" ht="15">
      <c r="B344" s="534">
        <f t="shared" si="24"/>
        <v>339</v>
      </c>
      <c r="C344" s="56" t="s">
        <v>2262</v>
      </c>
      <c r="D344" s="56" t="s">
        <v>2646</v>
      </c>
      <c r="E344" s="57" t="s">
        <v>2646</v>
      </c>
      <c r="F344" s="58"/>
      <c r="G344" s="59">
        <v>45410</v>
      </c>
      <c r="H344" s="57" t="s">
        <v>45</v>
      </c>
      <c r="I344" s="62">
        <f t="shared" si="25"/>
        <v>20.000000000000028</v>
      </c>
      <c r="J344" s="63">
        <v>220</v>
      </c>
      <c r="K344" s="63">
        <f t="shared" si="26"/>
        <v>220</v>
      </c>
      <c r="L344" s="62" t="str">
        <f t="shared" si="27"/>
        <v/>
      </c>
      <c r="M344" s="63"/>
    </row>
    <row r="345" spans="2:13" s="46" customFormat="1" ht="15">
      <c r="B345" s="534">
        <f t="shared" si="24"/>
        <v>340</v>
      </c>
      <c r="C345" s="56" t="s">
        <v>2262</v>
      </c>
      <c r="D345" s="56" t="s">
        <v>2611</v>
      </c>
      <c r="E345" s="57" t="s">
        <v>2612</v>
      </c>
      <c r="F345" s="58"/>
      <c r="G345" s="59">
        <v>45410</v>
      </c>
      <c r="H345" s="57" t="s">
        <v>45</v>
      </c>
      <c r="I345" s="62">
        <f t="shared" si="25"/>
        <v>10.000000000000014</v>
      </c>
      <c r="J345" s="63">
        <v>110</v>
      </c>
      <c r="K345" s="63">
        <f t="shared" si="26"/>
        <v>110</v>
      </c>
      <c r="L345" s="62" t="str">
        <f t="shared" si="27"/>
        <v/>
      </c>
      <c r="M345" s="63"/>
    </row>
    <row r="346" spans="2:13" s="46" customFormat="1" ht="15">
      <c r="B346" s="534">
        <f t="shared" si="24"/>
        <v>341</v>
      </c>
      <c r="C346" s="56" t="s">
        <v>2268</v>
      </c>
      <c r="D346" s="56" t="s">
        <v>2644</v>
      </c>
      <c r="E346" s="57" t="s">
        <v>2647</v>
      </c>
      <c r="F346" s="58"/>
      <c r="G346" s="59">
        <v>45411</v>
      </c>
      <c r="H346" s="57" t="s">
        <v>129</v>
      </c>
      <c r="I346" s="62">
        <f t="shared" si="25"/>
        <v>11.727272727272734</v>
      </c>
      <c r="J346" s="63">
        <v>129</v>
      </c>
      <c r="K346" s="63">
        <f t="shared" si="26"/>
        <v>129</v>
      </c>
      <c r="L346" s="62" t="str">
        <f t="shared" si="27"/>
        <v/>
      </c>
      <c r="M346" s="63"/>
    </row>
    <row r="347" spans="2:13" s="46" customFormat="1" ht="15">
      <c r="B347" s="534">
        <f t="shared" si="24"/>
        <v>342</v>
      </c>
      <c r="C347" s="56" t="s">
        <v>2268</v>
      </c>
      <c r="D347" s="56" t="s">
        <v>2648</v>
      </c>
      <c r="E347" s="57" t="s">
        <v>2649</v>
      </c>
      <c r="F347" s="58"/>
      <c r="G347" s="59">
        <v>45411</v>
      </c>
      <c r="H347" s="57" t="s">
        <v>129</v>
      </c>
      <c r="I347" s="62">
        <f t="shared" si="25"/>
        <v>22.727272727272748</v>
      </c>
      <c r="J347" s="63">
        <v>250</v>
      </c>
      <c r="K347" s="63">
        <f t="shared" si="26"/>
        <v>250</v>
      </c>
      <c r="L347" s="62" t="str">
        <f t="shared" si="27"/>
        <v/>
      </c>
      <c r="M347" s="63"/>
    </row>
    <row r="348" spans="2:13" s="46" customFormat="1" ht="15">
      <c r="B348" s="534">
        <f t="shared" si="24"/>
        <v>343</v>
      </c>
      <c r="C348" s="56" t="s">
        <v>2262</v>
      </c>
      <c r="D348" s="56" t="s">
        <v>2634</v>
      </c>
      <c r="E348" s="57" t="s">
        <v>2635</v>
      </c>
      <c r="F348" s="58"/>
      <c r="G348" s="59">
        <v>45411</v>
      </c>
      <c r="H348" s="57" t="s">
        <v>2636</v>
      </c>
      <c r="I348" s="62">
        <f t="shared" si="25"/>
        <v>120</v>
      </c>
      <c r="J348" s="63">
        <v>1320</v>
      </c>
      <c r="K348" s="63">
        <f t="shared" si="26"/>
        <v>1320</v>
      </c>
      <c r="L348" s="62" t="str">
        <f t="shared" si="27"/>
        <v/>
      </c>
      <c r="M348" s="63"/>
    </row>
    <row r="349" spans="2:13" s="46" customFormat="1" ht="15">
      <c r="B349" s="534">
        <f t="shared" si="24"/>
        <v>344</v>
      </c>
      <c r="C349" s="56" t="s">
        <v>2262</v>
      </c>
      <c r="D349" s="56" t="s">
        <v>2432</v>
      </c>
      <c r="E349" s="57" t="s">
        <v>2650</v>
      </c>
      <c r="F349" s="58" t="s">
        <v>2271</v>
      </c>
      <c r="G349" s="59">
        <v>45411</v>
      </c>
      <c r="H349" s="57" t="s">
        <v>45</v>
      </c>
      <c r="I349" s="62">
        <f t="shared" si="25"/>
        <v>20.000000000000028</v>
      </c>
      <c r="J349" s="63">
        <v>220</v>
      </c>
      <c r="K349" s="63">
        <f t="shared" si="26"/>
        <v>220</v>
      </c>
      <c r="L349" s="62" t="str">
        <f t="shared" si="27"/>
        <v/>
      </c>
      <c r="M349" s="63"/>
    </row>
    <row r="350" spans="2:13" s="46" customFormat="1" ht="15">
      <c r="B350" s="534">
        <f t="shared" si="24"/>
        <v>345</v>
      </c>
      <c r="C350" s="56" t="s">
        <v>2262</v>
      </c>
      <c r="D350" s="56" t="s">
        <v>2644</v>
      </c>
      <c r="E350" s="57" t="s">
        <v>2645</v>
      </c>
      <c r="F350" s="58" t="s">
        <v>2586</v>
      </c>
      <c r="G350" s="59">
        <v>45411</v>
      </c>
      <c r="H350" s="57" t="s">
        <v>45</v>
      </c>
      <c r="I350" s="62">
        <f t="shared" si="25"/>
        <v>60</v>
      </c>
      <c r="J350" s="63">
        <v>660</v>
      </c>
      <c r="K350" s="63">
        <f t="shared" si="26"/>
        <v>660</v>
      </c>
      <c r="L350" s="62" t="str">
        <f t="shared" si="27"/>
        <v/>
      </c>
      <c r="M350" s="63"/>
    </row>
    <row r="351" spans="2:13" s="46" customFormat="1" ht="15">
      <c r="B351" s="534">
        <f t="shared" si="24"/>
        <v>346</v>
      </c>
      <c r="C351" s="56" t="s">
        <v>2281</v>
      </c>
      <c r="D351" s="56" t="s">
        <v>2282</v>
      </c>
      <c r="E351" s="57"/>
      <c r="F351" s="58"/>
      <c r="G351" s="59">
        <v>45416</v>
      </c>
      <c r="H351" s="57" t="s">
        <v>129</v>
      </c>
      <c r="I351" s="62">
        <f t="shared" si="25"/>
        <v>59.727272727272748</v>
      </c>
      <c r="J351" s="63">
        <v>657</v>
      </c>
      <c r="K351" s="63">
        <f t="shared" si="26"/>
        <v>657</v>
      </c>
      <c r="L351" s="62" t="str">
        <f t="shared" si="27"/>
        <v/>
      </c>
      <c r="M351" s="63"/>
    </row>
    <row r="352" spans="2:13" s="46" customFormat="1" ht="15">
      <c r="B352" s="534">
        <f t="shared" si="24"/>
        <v>347</v>
      </c>
      <c r="C352" s="56" t="s">
        <v>2281</v>
      </c>
      <c r="D352" s="56" t="s">
        <v>2282</v>
      </c>
      <c r="E352" s="57"/>
      <c r="F352" s="58"/>
      <c r="G352" s="59">
        <v>45416</v>
      </c>
      <c r="H352" s="57" t="s">
        <v>129</v>
      </c>
      <c r="I352" s="62">
        <f t="shared" si="25"/>
        <v>39.727272727272748</v>
      </c>
      <c r="J352" s="63">
        <v>437</v>
      </c>
      <c r="K352" s="63">
        <f t="shared" si="26"/>
        <v>437</v>
      </c>
      <c r="L352" s="62" t="str">
        <f t="shared" si="27"/>
        <v/>
      </c>
      <c r="M352" s="63"/>
    </row>
    <row r="353" spans="2:13" s="46" customFormat="1" ht="15">
      <c r="B353" s="534">
        <f t="shared" si="24"/>
        <v>348</v>
      </c>
      <c r="C353" s="56" t="s">
        <v>2273</v>
      </c>
      <c r="D353" s="56" t="s">
        <v>2614</v>
      </c>
      <c r="E353" s="57" t="s">
        <v>2651</v>
      </c>
      <c r="F353" s="58"/>
      <c r="G353" s="59">
        <v>45417</v>
      </c>
      <c r="H353" s="57" t="s">
        <v>45</v>
      </c>
      <c r="I353" s="62">
        <f t="shared" si="25"/>
        <v>30</v>
      </c>
      <c r="J353" s="63">
        <v>330</v>
      </c>
      <c r="K353" s="63">
        <f t="shared" si="26"/>
        <v>330</v>
      </c>
      <c r="L353" s="62" t="str">
        <f t="shared" si="27"/>
        <v/>
      </c>
      <c r="M353" s="63"/>
    </row>
    <row r="354" spans="2:13" s="46" customFormat="1" ht="15">
      <c r="B354" s="534">
        <f t="shared" si="24"/>
        <v>349</v>
      </c>
      <c r="C354" s="56" t="s">
        <v>2268</v>
      </c>
      <c r="D354" s="56" t="s">
        <v>2411</v>
      </c>
      <c r="E354" s="57" t="s">
        <v>2652</v>
      </c>
      <c r="F354" s="58"/>
      <c r="G354" s="59">
        <v>45417</v>
      </c>
      <c r="H354" s="57" t="s">
        <v>45</v>
      </c>
      <c r="I354" s="62">
        <f t="shared" si="25"/>
        <v>30</v>
      </c>
      <c r="J354" s="63">
        <v>330</v>
      </c>
      <c r="K354" s="63">
        <f t="shared" si="26"/>
        <v>330</v>
      </c>
      <c r="L354" s="62" t="str">
        <f t="shared" si="27"/>
        <v/>
      </c>
      <c r="M354" s="63"/>
    </row>
    <row r="355" spans="2:13" s="46" customFormat="1" ht="15">
      <c r="B355" s="534">
        <f t="shared" si="24"/>
        <v>350</v>
      </c>
      <c r="C355" s="56" t="s">
        <v>2281</v>
      </c>
      <c r="D355" s="56" t="s">
        <v>2282</v>
      </c>
      <c r="E355" s="57"/>
      <c r="F355" s="64"/>
      <c r="G355" s="59">
        <v>45418</v>
      </c>
      <c r="H355" s="57" t="s">
        <v>133</v>
      </c>
      <c r="I355" s="62">
        <f t="shared" si="25"/>
        <v>27.090909090909122</v>
      </c>
      <c r="J355" s="63">
        <v>298</v>
      </c>
      <c r="K355" s="63">
        <f t="shared" si="26"/>
        <v>298</v>
      </c>
      <c r="L355" s="62" t="str">
        <f t="shared" si="27"/>
        <v/>
      </c>
      <c r="M355" s="63"/>
    </row>
    <row r="356" spans="2:13" s="46" customFormat="1" ht="15">
      <c r="B356" s="534">
        <f t="shared" si="24"/>
        <v>351</v>
      </c>
      <c r="C356" s="56" t="s">
        <v>2281</v>
      </c>
      <c r="D356" s="56" t="s">
        <v>2282</v>
      </c>
      <c r="E356" s="57"/>
      <c r="F356" s="64"/>
      <c r="G356" s="59">
        <v>45418</v>
      </c>
      <c r="H356" s="57" t="s">
        <v>133</v>
      </c>
      <c r="I356" s="62">
        <f t="shared" si="25"/>
        <v>18.000000000000028</v>
      </c>
      <c r="J356" s="63">
        <v>198</v>
      </c>
      <c r="K356" s="63">
        <f t="shared" si="26"/>
        <v>198</v>
      </c>
      <c r="L356" s="62" t="str">
        <f t="shared" si="27"/>
        <v/>
      </c>
      <c r="M356" s="63"/>
    </row>
    <row r="357" spans="2:13" s="46" customFormat="1" ht="15">
      <c r="B357" s="534">
        <f t="shared" si="24"/>
        <v>352</v>
      </c>
      <c r="C357" s="56" t="s">
        <v>2281</v>
      </c>
      <c r="D357" s="56" t="s">
        <v>2282</v>
      </c>
      <c r="E357" s="57"/>
      <c r="F357" s="64" t="s">
        <v>2271</v>
      </c>
      <c r="G357" s="59">
        <v>45418</v>
      </c>
      <c r="H357" s="57" t="s">
        <v>133</v>
      </c>
      <c r="I357" s="62">
        <f t="shared" si="25"/>
        <v>36.000000000000057</v>
      </c>
      <c r="J357" s="63">
        <v>396</v>
      </c>
      <c r="K357" s="63">
        <f t="shared" si="26"/>
        <v>396</v>
      </c>
      <c r="L357" s="62" t="str">
        <f t="shared" si="27"/>
        <v/>
      </c>
      <c r="M357" s="63"/>
    </row>
    <row r="358" spans="2:13" s="46" customFormat="1" ht="15">
      <c r="B358" s="534">
        <f t="shared" si="24"/>
        <v>353</v>
      </c>
      <c r="C358" s="56" t="s">
        <v>2281</v>
      </c>
      <c r="D358" s="56" t="s">
        <v>2282</v>
      </c>
      <c r="E358" s="57"/>
      <c r="F358" s="64"/>
      <c r="G358" s="59">
        <v>45418</v>
      </c>
      <c r="H358" s="57" t="s">
        <v>133</v>
      </c>
      <c r="I358" s="62">
        <f t="shared" si="25"/>
        <v>9.0909090909090935</v>
      </c>
      <c r="J358" s="63">
        <v>100</v>
      </c>
      <c r="K358" s="63">
        <f t="shared" si="26"/>
        <v>100</v>
      </c>
      <c r="L358" s="62" t="str">
        <f t="shared" si="27"/>
        <v/>
      </c>
      <c r="M358" s="63"/>
    </row>
    <row r="359" spans="2:13" s="46" customFormat="1" ht="15">
      <c r="B359" s="534">
        <f t="shared" si="24"/>
        <v>354</v>
      </c>
      <c r="C359" s="56" t="s">
        <v>2281</v>
      </c>
      <c r="D359" s="56" t="s">
        <v>2282</v>
      </c>
      <c r="E359" s="57"/>
      <c r="F359" s="64"/>
      <c r="G359" s="59">
        <v>45418</v>
      </c>
      <c r="H359" s="57" t="s">
        <v>133</v>
      </c>
      <c r="I359" s="62">
        <f t="shared" si="25"/>
        <v>8.9090909090909207</v>
      </c>
      <c r="J359" s="63">
        <v>98</v>
      </c>
      <c r="K359" s="63">
        <f t="shared" si="26"/>
        <v>98</v>
      </c>
      <c r="L359" s="62" t="str">
        <f t="shared" si="27"/>
        <v/>
      </c>
      <c r="M359" s="63"/>
    </row>
    <row r="360" spans="2:13" s="46" customFormat="1" ht="15">
      <c r="B360" s="534">
        <f t="shared" si="24"/>
        <v>355</v>
      </c>
      <c r="C360" s="56" t="s">
        <v>2281</v>
      </c>
      <c r="D360" s="56" t="s">
        <v>2282</v>
      </c>
      <c r="E360" s="57"/>
      <c r="F360" s="64"/>
      <c r="G360" s="59">
        <v>45418</v>
      </c>
      <c r="H360" s="57" t="s">
        <v>133</v>
      </c>
      <c r="I360" s="62">
        <f t="shared" si="25"/>
        <v>152.72727272727275</v>
      </c>
      <c r="J360" s="63">
        <v>1680</v>
      </c>
      <c r="K360" s="63">
        <f t="shared" si="26"/>
        <v>1680</v>
      </c>
      <c r="L360" s="62" t="str">
        <f t="shared" si="27"/>
        <v/>
      </c>
      <c r="M360" s="63"/>
    </row>
    <row r="361" spans="2:13" s="46" customFormat="1" ht="15">
      <c r="B361" s="534">
        <f t="shared" si="24"/>
        <v>356</v>
      </c>
      <c r="C361" s="56" t="s">
        <v>2262</v>
      </c>
      <c r="D361" s="56" t="s">
        <v>2611</v>
      </c>
      <c r="E361" s="57" t="s">
        <v>2623</v>
      </c>
      <c r="F361" s="58"/>
      <c r="G361" s="59">
        <v>45418</v>
      </c>
      <c r="H361" s="57" t="s">
        <v>49</v>
      </c>
      <c r="I361" s="62">
        <f t="shared" si="25"/>
        <v>10.000000000000014</v>
      </c>
      <c r="J361" s="63">
        <v>110</v>
      </c>
      <c r="K361" s="63">
        <f t="shared" si="26"/>
        <v>110</v>
      </c>
      <c r="L361" s="62" t="str">
        <f t="shared" si="27"/>
        <v/>
      </c>
      <c r="M361" s="63"/>
    </row>
    <row r="362" spans="2:13" s="46" customFormat="1" ht="15">
      <c r="B362" s="534">
        <f t="shared" si="24"/>
        <v>357</v>
      </c>
      <c r="C362" s="56" t="s">
        <v>2262</v>
      </c>
      <c r="D362" s="56" t="s">
        <v>2653</v>
      </c>
      <c r="E362" s="57" t="s">
        <v>2654</v>
      </c>
      <c r="F362" s="58"/>
      <c r="G362" s="59">
        <v>45418</v>
      </c>
      <c r="H362" s="57" t="s">
        <v>49</v>
      </c>
      <c r="I362" s="62">
        <f t="shared" si="25"/>
        <v>10.000000000000014</v>
      </c>
      <c r="J362" s="63">
        <v>110</v>
      </c>
      <c r="K362" s="63">
        <f t="shared" si="26"/>
        <v>110</v>
      </c>
      <c r="L362" s="62" t="str">
        <f t="shared" si="27"/>
        <v/>
      </c>
      <c r="M362" s="63"/>
    </row>
    <row r="363" spans="2:13" s="46" customFormat="1" ht="15">
      <c r="B363" s="534">
        <f t="shared" si="24"/>
        <v>358</v>
      </c>
      <c r="C363" s="56" t="s">
        <v>2262</v>
      </c>
      <c r="D363" s="56" t="s">
        <v>2266</v>
      </c>
      <c r="E363" s="57" t="s">
        <v>2298</v>
      </c>
      <c r="F363" s="58" t="s">
        <v>2327</v>
      </c>
      <c r="G363" s="59">
        <v>45425</v>
      </c>
      <c r="H363" s="57" t="s">
        <v>2297</v>
      </c>
      <c r="I363" s="62">
        <f t="shared" si="25"/>
        <v>90.000000000000114</v>
      </c>
      <c r="J363" s="63">
        <v>990</v>
      </c>
      <c r="K363" s="63">
        <f t="shared" si="26"/>
        <v>990</v>
      </c>
      <c r="L363" s="62" t="str">
        <f t="shared" si="27"/>
        <v/>
      </c>
      <c r="M363" s="63"/>
    </row>
    <row r="364" spans="2:13" s="46" customFormat="1" ht="15">
      <c r="B364" s="534">
        <f t="shared" si="24"/>
        <v>359</v>
      </c>
      <c r="C364" s="56" t="s">
        <v>2281</v>
      </c>
      <c r="D364" s="56" t="s">
        <v>2282</v>
      </c>
      <c r="E364" s="57"/>
      <c r="F364" s="58"/>
      <c r="G364" s="59">
        <v>45425</v>
      </c>
      <c r="H364" s="57" t="s">
        <v>2297</v>
      </c>
      <c r="I364" s="62">
        <f t="shared" si="25"/>
        <v>377.27272727272748</v>
      </c>
      <c r="J364" s="63">
        <v>4150</v>
      </c>
      <c r="K364" s="63">
        <f t="shared" si="26"/>
        <v>4150</v>
      </c>
      <c r="L364" s="62" t="str">
        <f t="shared" si="27"/>
        <v/>
      </c>
      <c r="M364" s="63"/>
    </row>
    <row r="365" spans="2:13" s="46" customFormat="1" ht="15">
      <c r="B365" s="534">
        <f t="shared" si="24"/>
        <v>360</v>
      </c>
      <c r="C365" s="56" t="s">
        <v>2262</v>
      </c>
      <c r="D365" s="56" t="s">
        <v>2266</v>
      </c>
      <c r="E365" s="57" t="s">
        <v>3366</v>
      </c>
      <c r="F365" s="58" t="s">
        <v>2299</v>
      </c>
      <c r="G365" s="59">
        <v>45425</v>
      </c>
      <c r="H365" s="57" t="s">
        <v>2297</v>
      </c>
      <c r="I365" s="62">
        <f t="shared" si="25"/>
        <v>18.181818181818187</v>
      </c>
      <c r="J365" s="63">
        <v>200</v>
      </c>
      <c r="K365" s="63">
        <f t="shared" si="26"/>
        <v>200</v>
      </c>
      <c r="L365" s="62" t="str">
        <f t="shared" si="27"/>
        <v/>
      </c>
      <c r="M365" s="63"/>
    </row>
    <row r="366" spans="2:13" s="46" customFormat="1" ht="15">
      <c r="B366" s="534">
        <f t="shared" si="24"/>
        <v>361</v>
      </c>
      <c r="C366" s="56" t="s">
        <v>2281</v>
      </c>
      <c r="D366" s="56" t="s">
        <v>2282</v>
      </c>
      <c r="E366" s="57"/>
      <c r="F366" s="64"/>
      <c r="G366" s="59">
        <v>45425</v>
      </c>
      <c r="H366" s="57" t="s">
        <v>129</v>
      </c>
      <c r="I366" s="62">
        <f t="shared" si="25"/>
        <v>12.363636363636374</v>
      </c>
      <c r="J366" s="63">
        <v>136</v>
      </c>
      <c r="K366" s="63">
        <f t="shared" si="26"/>
        <v>136</v>
      </c>
      <c r="L366" s="62" t="str">
        <f t="shared" si="27"/>
        <v/>
      </c>
      <c r="M366" s="63"/>
    </row>
    <row r="367" spans="2:13" s="46" customFormat="1" ht="15">
      <c r="B367" s="534">
        <f t="shared" si="24"/>
        <v>362</v>
      </c>
      <c r="C367" s="56" t="s">
        <v>2281</v>
      </c>
      <c r="D367" s="56" t="s">
        <v>2282</v>
      </c>
      <c r="E367" s="57"/>
      <c r="F367" s="64"/>
      <c r="G367" s="59">
        <v>45425</v>
      </c>
      <c r="H367" s="57" t="s">
        <v>129</v>
      </c>
      <c r="I367" s="62">
        <f t="shared" si="25"/>
        <v>39.727272727272748</v>
      </c>
      <c r="J367" s="63">
        <v>437</v>
      </c>
      <c r="K367" s="63">
        <f t="shared" si="26"/>
        <v>437</v>
      </c>
      <c r="L367" s="62" t="str">
        <f t="shared" si="27"/>
        <v/>
      </c>
      <c r="M367" s="63"/>
    </row>
    <row r="368" spans="2:13" s="46" customFormat="1" ht="15">
      <c r="B368" s="534">
        <f t="shared" si="24"/>
        <v>363</v>
      </c>
      <c r="C368" s="56" t="s">
        <v>2281</v>
      </c>
      <c r="D368" s="56" t="s">
        <v>2282</v>
      </c>
      <c r="E368" s="57" t="s">
        <v>2520</v>
      </c>
      <c r="F368" s="58" t="s">
        <v>2271</v>
      </c>
      <c r="G368" s="59">
        <v>45425</v>
      </c>
      <c r="H368" s="57" t="s">
        <v>49</v>
      </c>
      <c r="I368" s="62">
        <f t="shared" si="25"/>
        <v>20.000000000000028</v>
      </c>
      <c r="J368" s="63">
        <v>220</v>
      </c>
      <c r="K368" s="63">
        <f t="shared" si="26"/>
        <v>220</v>
      </c>
      <c r="L368" s="62" t="str">
        <f t="shared" si="27"/>
        <v/>
      </c>
      <c r="M368" s="63"/>
    </row>
    <row r="369" spans="2:13" s="46" customFormat="1" ht="15">
      <c r="B369" s="534">
        <f t="shared" si="24"/>
        <v>364</v>
      </c>
      <c r="C369" s="56" t="s">
        <v>2281</v>
      </c>
      <c r="D369" s="56" t="s">
        <v>2282</v>
      </c>
      <c r="E369" s="57"/>
      <c r="F369" s="58"/>
      <c r="G369" s="59">
        <v>45432</v>
      </c>
      <c r="H369" s="57" t="s">
        <v>2297</v>
      </c>
      <c r="I369" s="62">
        <f t="shared" si="25"/>
        <v>123.63636363636374</v>
      </c>
      <c r="J369" s="63">
        <v>1360</v>
      </c>
      <c r="K369" s="63">
        <f t="shared" si="26"/>
        <v>1360</v>
      </c>
      <c r="L369" s="62" t="str">
        <f t="shared" si="27"/>
        <v/>
      </c>
      <c r="M369" s="63"/>
    </row>
    <row r="370" spans="2:13" s="46" customFormat="1" ht="15">
      <c r="B370" s="534">
        <f t="shared" si="24"/>
        <v>365</v>
      </c>
      <c r="C370" s="56" t="s">
        <v>2273</v>
      </c>
      <c r="D370" s="56" t="s">
        <v>2655</v>
      </c>
      <c r="E370" s="57" t="s">
        <v>2656</v>
      </c>
      <c r="F370" s="58"/>
      <c r="G370" s="59">
        <v>45434</v>
      </c>
      <c r="H370" s="57" t="s">
        <v>2657</v>
      </c>
      <c r="I370" s="62">
        <f t="shared" si="25"/>
        <v>47.727272727272748</v>
      </c>
      <c r="J370" s="63">
        <v>525</v>
      </c>
      <c r="K370" s="63">
        <f t="shared" si="26"/>
        <v>525</v>
      </c>
      <c r="L370" s="62" t="str">
        <f t="shared" si="27"/>
        <v/>
      </c>
      <c r="M370" s="63"/>
    </row>
    <row r="371" spans="2:13" s="46" customFormat="1" ht="15">
      <c r="B371" s="534">
        <f t="shared" si="24"/>
        <v>366</v>
      </c>
      <c r="C371" s="56" t="s">
        <v>2262</v>
      </c>
      <c r="D371" s="56" t="s">
        <v>2276</v>
      </c>
      <c r="E371" s="57" t="s">
        <v>2658</v>
      </c>
      <c r="F371" s="58"/>
      <c r="G371" s="59">
        <v>45434</v>
      </c>
      <c r="H371" s="57" t="s">
        <v>2657</v>
      </c>
      <c r="I371" s="62">
        <f t="shared" si="25"/>
        <v>19.727272727272748</v>
      </c>
      <c r="J371" s="63">
        <v>217</v>
      </c>
      <c r="K371" s="63">
        <f t="shared" si="26"/>
        <v>217</v>
      </c>
      <c r="L371" s="62" t="str">
        <f t="shared" si="27"/>
        <v/>
      </c>
      <c r="M371" s="63"/>
    </row>
    <row r="372" spans="2:13" s="46" customFormat="1" ht="15">
      <c r="B372" s="534">
        <f t="shared" si="24"/>
        <v>367</v>
      </c>
      <c r="C372" s="56" t="s">
        <v>2262</v>
      </c>
      <c r="D372" s="56" t="s">
        <v>2659</v>
      </c>
      <c r="E372" s="57" t="s">
        <v>2659</v>
      </c>
      <c r="F372" s="58"/>
      <c r="G372" s="59">
        <v>45437</v>
      </c>
      <c r="H372" s="57" t="s">
        <v>45</v>
      </c>
      <c r="I372" s="62">
        <f t="shared" si="25"/>
        <v>10.000000000000014</v>
      </c>
      <c r="J372" s="63">
        <v>110</v>
      </c>
      <c r="K372" s="63">
        <f t="shared" si="26"/>
        <v>110</v>
      </c>
      <c r="L372" s="62" t="str">
        <f t="shared" si="27"/>
        <v/>
      </c>
      <c r="M372" s="63"/>
    </row>
    <row r="373" spans="2:13" s="46" customFormat="1" ht="15">
      <c r="B373" s="534">
        <f t="shared" si="24"/>
        <v>368</v>
      </c>
      <c r="C373" s="56" t="s">
        <v>2262</v>
      </c>
      <c r="D373" s="56" t="s">
        <v>2295</v>
      </c>
      <c r="E373" s="57" t="s">
        <v>2660</v>
      </c>
      <c r="F373" s="58"/>
      <c r="G373" s="59">
        <v>45437</v>
      </c>
      <c r="H373" s="57" t="s">
        <v>45</v>
      </c>
      <c r="I373" s="62">
        <f t="shared" si="25"/>
        <v>10.000000000000014</v>
      </c>
      <c r="J373" s="63">
        <v>110</v>
      </c>
      <c r="K373" s="63">
        <f t="shared" si="26"/>
        <v>110</v>
      </c>
      <c r="L373" s="62" t="str">
        <f t="shared" si="27"/>
        <v/>
      </c>
      <c r="M373" s="63"/>
    </row>
    <row r="374" spans="2:13" s="46" customFormat="1" ht="15">
      <c r="B374" s="534">
        <f t="shared" si="24"/>
        <v>369</v>
      </c>
      <c r="C374" s="56" t="s">
        <v>2273</v>
      </c>
      <c r="D374" s="56" t="s">
        <v>2428</v>
      </c>
      <c r="E374" s="57" t="s">
        <v>2429</v>
      </c>
      <c r="F374" s="58" t="s">
        <v>2271</v>
      </c>
      <c r="G374" s="59">
        <v>45437</v>
      </c>
      <c r="H374" s="57" t="s">
        <v>45</v>
      </c>
      <c r="I374" s="62">
        <f t="shared" si="25"/>
        <v>20.000000000000028</v>
      </c>
      <c r="J374" s="63">
        <v>220</v>
      </c>
      <c r="K374" s="63">
        <f t="shared" si="26"/>
        <v>220</v>
      </c>
      <c r="L374" s="62" t="str">
        <f t="shared" si="27"/>
        <v/>
      </c>
      <c r="M374" s="63"/>
    </row>
    <row r="375" spans="2:13" s="46" customFormat="1" ht="15">
      <c r="B375" s="534">
        <f t="shared" si="24"/>
        <v>370</v>
      </c>
      <c r="C375" s="56" t="s">
        <v>2281</v>
      </c>
      <c r="D375" s="56" t="s">
        <v>2282</v>
      </c>
      <c r="E375" s="57" t="s">
        <v>2661</v>
      </c>
      <c r="F375" s="58" t="s">
        <v>2271</v>
      </c>
      <c r="G375" s="59">
        <v>45437</v>
      </c>
      <c r="H375" s="57" t="s">
        <v>45</v>
      </c>
      <c r="I375" s="62">
        <f t="shared" si="25"/>
        <v>20.000000000000028</v>
      </c>
      <c r="J375" s="63">
        <v>220</v>
      </c>
      <c r="K375" s="63">
        <f t="shared" si="26"/>
        <v>220</v>
      </c>
      <c r="L375" s="62" t="str">
        <f t="shared" si="27"/>
        <v/>
      </c>
      <c r="M375" s="63"/>
    </row>
    <row r="376" spans="2:13" s="46" customFormat="1" ht="15">
      <c r="B376" s="534">
        <f t="shared" si="24"/>
        <v>371</v>
      </c>
      <c r="C376" s="56" t="s">
        <v>2281</v>
      </c>
      <c r="D376" s="56" t="s">
        <v>2282</v>
      </c>
      <c r="E376" s="57"/>
      <c r="F376" s="58"/>
      <c r="G376" s="59">
        <v>45437</v>
      </c>
      <c r="H376" s="57" t="s">
        <v>129</v>
      </c>
      <c r="I376" s="62">
        <f t="shared" si="25"/>
        <v>14.727272727272748</v>
      </c>
      <c r="J376" s="63">
        <v>162</v>
      </c>
      <c r="K376" s="63">
        <f t="shared" si="26"/>
        <v>162</v>
      </c>
      <c r="L376" s="62" t="str">
        <f t="shared" si="27"/>
        <v/>
      </c>
      <c r="M376" s="63"/>
    </row>
    <row r="377" spans="2:13" s="46" customFormat="1" ht="15">
      <c r="B377" s="534">
        <f t="shared" si="24"/>
        <v>372</v>
      </c>
      <c r="C377" s="56" t="s">
        <v>2281</v>
      </c>
      <c r="D377" s="56" t="s">
        <v>2282</v>
      </c>
      <c r="E377" s="57"/>
      <c r="F377" s="58"/>
      <c r="G377" s="59">
        <v>45437</v>
      </c>
      <c r="H377" s="57" t="s">
        <v>129</v>
      </c>
      <c r="I377" s="62">
        <f t="shared" si="25"/>
        <v>12.727272727272734</v>
      </c>
      <c r="J377" s="63">
        <v>140</v>
      </c>
      <c r="K377" s="63">
        <f t="shared" si="26"/>
        <v>140</v>
      </c>
      <c r="L377" s="62" t="str">
        <f t="shared" si="27"/>
        <v/>
      </c>
      <c r="M377" s="63"/>
    </row>
    <row r="378" spans="2:13" s="46" customFormat="1" ht="15">
      <c r="B378" s="534">
        <f t="shared" si="24"/>
        <v>373</v>
      </c>
      <c r="C378" s="56" t="s">
        <v>2281</v>
      </c>
      <c r="D378" s="56" t="s">
        <v>2282</v>
      </c>
      <c r="E378" s="57"/>
      <c r="F378" s="58"/>
      <c r="G378" s="59">
        <v>45438</v>
      </c>
      <c r="H378" s="57" t="s">
        <v>135</v>
      </c>
      <c r="I378" s="62">
        <f t="shared" si="25"/>
        <v>35.81818181818187</v>
      </c>
      <c r="J378" s="63">
        <v>394</v>
      </c>
      <c r="K378" s="63">
        <f t="shared" si="26"/>
        <v>394</v>
      </c>
      <c r="L378" s="62" t="str">
        <f t="shared" si="27"/>
        <v/>
      </c>
      <c r="M378" s="63"/>
    </row>
    <row r="379" spans="2:13" s="46" customFormat="1" ht="15">
      <c r="B379" s="534">
        <f t="shared" si="24"/>
        <v>374</v>
      </c>
      <c r="C379" s="56" t="s">
        <v>2262</v>
      </c>
      <c r="D379" s="56" t="s">
        <v>2392</v>
      </c>
      <c r="E379" s="57" t="s">
        <v>2576</v>
      </c>
      <c r="F379" s="58"/>
      <c r="G379" s="59">
        <v>45451</v>
      </c>
      <c r="H379" s="57" t="s">
        <v>45</v>
      </c>
      <c r="I379" s="62">
        <f t="shared" si="25"/>
        <v>10.000000000000014</v>
      </c>
      <c r="J379" s="63">
        <v>110</v>
      </c>
      <c r="K379" s="63">
        <f t="shared" si="26"/>
        <v>110</v>
      </c>
      <c r="L379" s="62" t="str">
        <f t="shared" si="27"/>
        <v/>
      </c>
      <c r="M379" s="63"/>
    </row>
    <row r="380" spans="2:13" s="46" customFormat="1" ht="15">
      <c r="B380" s="534">
        <f t="shared" si="24"/>
        <v>375</v>
      </c>
      <c r="C380" s="56" t="s">
        <v>2262</v>
      </c>
      <c r="D380" s="56" t="s">
        <v>2295</v>
      </c>
      <c r="E380" s="57" t="s">
        <v>2662</v>
      </c>
      <c r="F380" s="58"/>
      <c r="G380" s="59">
        <v>45451</v>
      </c>
      <c r="H380" s="57" t="s">
        <v>45</v>
      </c>
      <c r="I380" s="62">
        <f t="shared" si="25"/>
        <v>10.000000000000014</v>
      </c>
      <c r="J380" s="63">
        <v>110</v>
      </c>
      <c r="K380" s="63">
        <f t="shared" si="26"/>
        <v>110</v>
      </c>
      <c r="L380" s="62" t="str">
        <f t="shared" si="27"/>
        <v/>
      </c>
      <c r="M380" s="63"/>
    </row>
    <row r="381" spans="2:13" s="46" customFormat="1" ht="15">
      <c r="B381" s="534">
        <f t="shared" si="24"/>
        <v>376</v>
      </c>
      <c r="C381" s="56" t="s">
        <v>2262</v>
      </c>
      <c r="D381" s="56" t="s">
        <v>2295</v>
      </c>
      <c r="E381" s="57" t="s">
        <v>2663</v>
      </c>
      <c r="F381" s="58" t="s">
        <v>2271</v>
      </c>
      <c r="G381" s="59">
        <v>45451</v>
      </c>
      <c r="H381" s="57" t="s">
        <v>45</v>
      </c>
      <c r="I381" s="62">
        <f t="shared" si="25"/>
        <v>20.000000000000028</v>
      </c>
      <c r="J381" s="63">
        <v>220</v>
      </c>
      <c r="K381" s="63">
        <f t="shared" si="26"/>
        <v>220</v>
      </c>
      <c r="L381" s="62" t="str">
        <f t="shared" si="27"/>
        <v/>
      </c>
      <c r="M381" s="63"/>
    </row>
    <row r="382" spans="2:13" s="46" customFormat="1" ht="15">
      <c r="B382" s="534">
        <f t="shared" si="24"/>
        <v>377</v>
      </c>
      <c r="C382" s="56" t="s">
        <v>2268</v>
      </c>
      <c r="D382" s="56" t="s">
        <v>2664</v>
      </c>
      <c r="E382" s="57" t="s">
        <v>2665</v>
      </c>
      <c r="F382" s="58"/>
      <c r="G382" s="59">
        <v>45451</v>
      </c>
      <c r="H382" s="57" t="s">
        <v>45</v>
      </c>
      <c r="I382" s="62">
        <f t="shared" si="25"/>
        <v>10.000000000000014</v>
      </c>
      <c r="J382" s="63">
        <v>110</v>
      </c>
      <c r="K382" s="63">
        <f t="shared" si="26"/>
        <v>110</v>
      </c>
      <c r="L382" s="62" t="str">
        <f t="shared" si="27"/>
        <v/>
      </c>
      <c r="M382" s="63"/>
    </row>
    <row r="383" spans="2:13" s="46" customFormat="1" ht="15">
      <c r="B383" s="534">
        <f t="shared" si="24"/>
        <v>378</v>
      </c>
      <c r="C383" s="56" t="s">
        <v>2262</v>
      </c>
      <c r="D383" s="56" t="s">
        <v>2404</v>
      </c>
      <c r="E383" s="57" t="s">
        <v>2666</v>
      </c>
      <c r="F383" s="58"/>
      <c r="G383" s="59">
        <v>45451</v>
      </c>
      <c r="H383" s="57" t="s">
        <v>45</v>
      </c>
      <c r="I383" s="62">
        <f t="shared" si="25"/>
        <v>10.000000000000014</v>
      </c>
      <c r="J383" s="63">
        <v>110</v>
      </c>
      <c r="K383" s="63">
        <f t="shared" si="26"/>
        <v>110</v>
      </c>
      <c r="L383" s="62" t="str">
        <f t="shared" si="27"/>
        <v/>
      </c>
      <c r="M383" s="63"/>
    </row>
    <row r="384" spans="2:13" s="46" customFormat="1" ht="15">
      <c r="B384" s="534">
        <f t="shared" si="24"/>
        <v>379</v>
      </c>
      <c r="C384" s="56" t="s">
        <v>2262</v>
      </c>
      <c r="D384" s="56" t="s">
        <v>2667</v>
      </c>
      <c r="E384" s="57" t="s">
        <v>2668</v>
      </c>
      <c r="F384" s="58"/>
      <c r="G384" s="59">
        <v>45451</v>
      </c>
      <c r="H384" s="57" t="s">
        <v>45</v>
      </c>
      <c r="I384" s="62">
        <f t="shared" si="25"/>
        <v>10.000000000000014</v>
      </c>
      <c r="J384" s="63">
        <v>110</v>
      </c>
      <c r="K384" s="63">
        <f t="shared" si="26"/>
        <v>110</v>
      </c>
      <c r="L384" s="62" t="str">
        <f t="shared" si="27"/>
        <v/>
      </c>
      <c r="M384" s="63"/>
    </row>
    <row r="385" spans="2:13" s="46" customFormat="1" ht="15">
      <c r="B385" s="534">
        <f t="shared" si="24"/>
        <v>380</v>
      </c>
      <c r="C385" s="56" t="s">
        <v>2262</v>
      </c>
      <c r="D385" s="56" t="s">
        <v>2295</v>
      </c>
      <c r="E385" s="57" t="s">
        <v>2660</v>
      </c>
      <c r="F385" s="58" t="s">
        <v>2304</v>
      </c>
      <c r="G385" s="59">
        <v>45451</v>
      </c>
      <c r="H385" s="57" t="s">
        <v>45</v>
      </c>
      <c r="I385" s="62">
        <f t="shared" si="25"/>
        <v>30</v>
      </c>
      <c r="J385" s="63">
        <v>330</v>
      </c>
      <c r="K385" s="63">
        <f t="shared" si="26"/>
        <v>330</v>
      </c>
      <c r="L385" s="62" t="str">
        <f t="shared" si="27"/>
        <v/>
      </c>
      <c r="M385" s="63"/>
    </row>
    <row r="386" spans="2:13" s="46" customFormat="1" ht="15">
      <c r="B386" s="534">
        <f t="shared" si="24"/>
        <v>381</v>
      </c>
      <c r="C386" s="56" t="s">
        <v>2281</v>
      </c>
      <c r="D386" s="56" t="s">
        <v>2282</v>
      </c>
      <c r="E386" s="57" t="s">
        <v>2661</v>
      </c>
      <c r="F386" s="58" t="s">
        <v>2271</v>
      </c>
      <c r="G386" s="59">
        <v>45451</v>
      </c>
      <c r="H386" s="57" t="s">
        <v>45</v>
      </c>
      <c r="I386" s="62">
        <f t="shared" si="25"/>
        <v>20.000000000000028</v>
      </c>
      <c r="J386" s="63">
        <v>220</v>
      </c>
      <c r="K386" s="63">
        <f t="shared" si="26"/>
        <v>220</v>
      </c>
      <c r="L386" s="62" t="str">
        <f t="shared" si="27"/>
        <v/>
      </c>
      <c r="M386" s="63"/>
    </row>
    <row r="387" spans="2:13" s="46" customFormat="1" ht="15">
      <c r="B387" s="534">
        <f t="shared" si="24"/>
        <v>382</v>
      </c>
      <c r="C387" s="56" t="s">
        <v>2281</v>
      </c>
      <c r="D387" s="56" t="s">
        <v>2282</v>
      </c>
      <c r="E387" s="57"/>
      <c r="F387" s="58"/>
      <c r="G387" s="59">
        <v>45457</v>
      </c>
      <c r="H387" s="57" t="s">
        <v>2297</v>
      </c>
      <c r="I387" s="62">
        <f t="shared" si="25"/>
        <v>159.09090909090924</v>
      </c>
      <c r="J387" s="63">
        <v>1750</v>
      </c>
      <c r="K387" s="63">
        <f t="shared" si="26"/>
        <v>1750</v>
      </c>
      <c r="L387" s="62" t="str">
        <f t="shared" si="27"/>
        <v/>
      </c>
      <c r="M387" s="63"/>
    </row>
    <row r="388" spans="2:13" s="46" customFormat="1" ht="15">
      <c r="B388" s="534">
        <f t="shared" si="24"/>
        <v>383</v>
      </c>
      <c r="C388" s="56" t="s">
        <v>2262</v>
      </c>
      <c r="D388" s="56" t="s">
        <v>2266</v>
      </c>
      <c r="E388" s="57" t="s">
        <v>3366</v>
      </c>
      <c r="F388" s="58" t="s">
        <v>2669</v>
      </c>
      <c r="G388" s="59">
        <v>45457</v>
      </c>
      <c r="H388" s="57" t="s">
        <v>2297</v>
      </c>
      <c r="I388" s="62">
        <f t="shared" si="25"/>
        <v>36.363636363636374</v>
      </c>
      <c r="J388" s="63">
        <v>400</v>
      </c>
      <c r="K388" s="63">
        <f t="shared" si="26"/>
        <v>400</v>
      </c>
      <c r="L388" s="62" t="str">
        <f t="shared" si="27"/>
        <v/>
      </c>
      <c r="M388" s="63"/>
    </row>
    <row r="389" spans="2:13" s="46" customFormat="1" ht="15">
      <c r="B389" s="534">
        <f t="shared" si="24"/>
        <v>384</v>
      </c>
      <c r="C389" s="56" t="s">
        <v>2281</v>
      </c>
      <c r="D389" s="56" t="s">
        <v>2282</v>
      </c>
      <c r="E389" s="57" t="s">
        <v>745</v>
      </c>
      <c r="F389" s="58"/>
      <c r="G389" s="59">
        <v>45461</v>
      </c>
      <c r="H389" s="57" t="s">
        <v>27</v>
      </c>
      <c r="I389" s="62">
        <f t="shared" si="25"/>
        <v>238.81818181818198</v>
      </c>
      <c r="J389" s="63">
        <v>2627</v>
      </c>
      <c r="K389" s="63">
        <f t="shared" si="26"/>
        <v>2627</v>
      </c>
      <c r="L389" s="62" t="str">
        <f t="shared" si="27"/>
        <v/>
      </c>
      <c r="M389" s="63"/>
    </row>
    <row r="390" spans="2:13" s="46" customFormat="1" ht="15">
      <c r="B390" s="534">
        <f t="shared" si="24"/>
        <v>385</v>
      </c>
      <c r="C390" s="69" t="s">
        <v>2670</v>
      </c>
      <c r="D390" s="69" t="s">
        <v>2282</v>
      </c>
      <c r="E390" s="70" t="str">
        <f>VLOOKUP(F390,購入者リスト!B:M,4,FALSE)</f>
        <v>斑入りグリーンネックレス ＆ カリシア 4点セット</v>
      </c>
      <c r="F390" s="69">
        <v>1</v>
      </c>
      <c r="G390" s="71" t="str">
        <f>VLOOKUP(F390,購入者リスト!B:M,12,FALSE)</f>
        <v>24/06/19</v>
      </c>
      <c r="H390" s="70" t="s">
        <v>27</v>
      </c>
      <c r="I390" s="73" t="str">
        <f t="shared" si="25"/>
        <v/>
      </c>
      <c r="J390" s="74"/>
      <c r="K390" s="74">
        <f t="shared" si="26"/>
        <v>0</v>
      </c>
      <c r="L390" s="73">
        <f t="shared" si="27"/>
        <v>118.18181818181824</v>
      </c>
      <c r="M390" s="74">
        <f>VLOOKUP(F390,購入者リスト!B:M,5,FALSE)</f>
        <v>1300</v>
      </c>
    </row>
    <row r="391" spans="2:13" s="46" customFormat="1" ht="15">
      <c r="B391" s="534">
        <f t="shared" si="24"/>
        <v>386</v>
      </c>
      <c r="C391" s="69" t="s">
        <v>2671</v>
      </c>
      <c r="D391" s="69" t="s">
        <v>2672</v>
      </c>
      <c r="E391" s="70" t="s">
        <v>2673</v>
      </c>
      <c r="F391" s="72"/>
      <c r="G391" s="71" t="str">
        <f>G390</f>
        <v>24/06/19</v>
      </c>
      <c r="H391" s="70" t="s">
        <v>27</v>
      </c>
      <c r="I391" s="73">
        <f t="shared" si="25"/>
        <v>11.818181818181827</v>
      </c>
      <c r="J391" s="74">
        <f>M390*0.1</f>
        <v>130</v>
      </c>
      <c r="K391" s="74">
        <f t="shared" si="26"/>
        <v>130</v>
      </c>
      <c r="L391" s="73" t="str">
        <f t="shared" si="27"/>
        <v/>
      </c>
      <c r="M391" s="74"/>
    </row>
    <row r="392" spans="2:13" s="46" customFormat="1" ht="15">
      <c r="B392" s="534">
        <f t="shared" si="24"/>
        <v>387</v>
      </c>
      <c r="C392" s="69" t="s">
        <v>2342</v>
      </c>
      <c r="D392" s="69" t="s">
        <v>2674</v>
      </c>
      <c r="E392" s="70" t="s">
        <v>2675</v>
      </c>
      <c r="F392" s="72"/>
      <c r="G392" s="71" t="str">
        <f>G390</f>
        <v>24/06/19</v>
      </c>
      <c r="H392" s="70" t="s">
        <v>27</v>
      </c>
      <c r="I392" s="73">
        <f t="shared" si="25"/>
        <v>19.090909090909093</v>
      </c>
      <c r="J392" s="74">
        <v>210</v>
      </c>
      <c r="K392" s="74">
        <f t="shared" si="26"/>
        <v>210</v>
      </c>
      <c r="L392" s="73" t="str">
        <f t="shared" si="27"/>
        <v/>
      </c>
      <c r="M392" s="74"/>
    </row>
    <row r="393" spans="2:13" s="46" customFormat="1" ht="15">
      <c r="B393" s="534">
        <f t="shared" si="24"/>
        <v>388</v>
      </c>
      <c r="C393" s="56" t="s">
        <v>2262</v>
      </c>
      <c r="D393" s="56" t="s">
        <v>2315</v>
      </c>
      <c r="E393" s="57" t="s">
        <v>2676</v>
      </c>
      <c r="F393" s="58"/>
      <c r="G393" s="59">
        <v>45465</v>
      </c>
      <c r="H393" s="57" t="s">
        <v>2265</v>
      </c>
      <c r="I393" s="62">
        <f t="shared" si="25"/>
        <v>10.000000000000014</v>
      </c>
      <c r="J393" s="63">
        <v>110</v>
      </c>
      <c r="K393" s="63">
        <f t="shared" si="26"/>
        <v>110</v>
      </c>
      <c r="L393" s="62" t="str">
        <f t="shared" si="27"/>
        <v/>
      </c>
      <c r="M393" s="63"/>
    </row>
    <row r="394" spans="2:13" s="46" customFormat="1" ht="15">
      <c r="B394" s="534">
        <f t="shared" si="24"/>
        <v>389</v>
      </c>
      <c r="C394" s="56" t="s">
        <v>2262</v>
      </c>
      <c r="D394" s="56" t="s">
        <v>2459</v>
      </c>
      <c r="E394" s="57" t="s">
        <v>2677</v>
      </c>
      <c r="F394" s="58" t="s">
        <v>2271</v>
      </c>
      <c r="G394" s="59">
        <v>45465</v>
      </c>
      <c r="H394" s="57" t="s">
        <v>2265</v>
      </c>
      <c r="I394" s="62">
        <f t="shared" si="25"/>
        <v>60</v>
      </c>
      <c r="J394" s="63">
        <v>660</v>
      </c>
      <c r="K394" s="63">
        <f t="shared" si="26"/>
        <v>660</v>
      </c>
      <c r="L394" s="62" t="str">
        <f t="shared" si="27"/>
        <v/>
      </c>
      <c r="M394" s="63"/>
    </row>
    <row r="395" spans="2:13" s="46" customFormat="1" ht="15">
      <c r="B395" s="534">
        <f t="shared" si="24"/>
        <v>390</v>
      </c>
      <c r="C395" s="56" t="s">
        <v>2262</v>
      </c>
      <c r="D395" s="56" t="s">
        <v>2678</v>
      </c>
      <c r="E395" s="57" t="s">
        <v>2679</v>
      </c>
      <c r="F395" s="58"/>
      <c r="G395" s="59">
        <v>45465</v>
      </c>
      <c r="H395" s="57" t="s">
        <v>2265</v>
      </c>
      <c r="I395" s="62">
        <f t="shared" si="25"/>
        <v>30</v>
      </c>
      <c r="J395" s="63">
        <v>330</v>
      </c>
      <c r="K395" s="63">
        <f t="shared" si="26"/>
        <v>330</v>
      </c>
      <c r="L395" s="62" t="str">
        <f t="shared" si="27"/>
        <v/>
      </c>
      <c r="M395" s="63"/>
    </row>
    <row r="396" spans="2:13" s="46" customFormat="1" ht="15">
      <c r="B396" s="534">
        <f t="shared" ref="B396:B459" si="28">ROW()-5</f>
        <v>391</v>
      </c>
      <c r="C396" s="56" t="s">
        <v>2262</v>
      </c>
      <c r="D396" s="56" t="s">
        <v>2266</v>
      </c>
      <c r="E396" s="57" t="s">
        <v>2680</v>
      </c>
      <c r="F396" s="58"/>
      <c r="G396" s="59">
        <v>45465</v>
      </c>
      <c r="H396" s="57" t="s">
        <v>2265</v>
      </c>
      <c r="I396" s="62">
        <f t="shared" ref="I396:I459" si="29">IF(J396&lt;&gt;"",J396-J396/1.1,"")</f>
        <v>30</v>
      </c>
      <c r="J396" s="63">
        <v>330</v>
      </c>
      <c r="K396" s="63">
        <f t="shared" ref="K396:K459" si="30">IF(N396="",J396,0)</f>
        <v>330</v>
      </c>
      <c r="L396" s="62" t="str">
        <f t="shared" ref="L396:L459" si="31">IF(M396&lt;&gt;"",M396-M396/1.1,"")</f>
        <v/>
      </c>
      <c r="M396" s="63"/>
    </row>
    <row r="397" spans="2:13" s="46" customFormat="1" ht="15">
      <c r="B397" s="534">
        <f t="shared" si="28"/>
        <v>392</v>
      </c>
      <c r="C397" s="56" t="s">
        <v>2262</v>
      </c>
      <c r="D397" s="56" t="s">
        <v>2681</v>
      </c>
      <c r="E397" s="57" t="s">
        <v>2682</v>
      </c>
      <c r="F397" s="58"/>
      <c r="G397" s="59">
        <v>45465</v>
      </c>
      <c r="H397" s="57" t="s">
        <v>2265</v>
      </c>
      <c r="I397" s="62">
        <f t="shared" si="29"/>
        <v>10.000000000000014</v>
      </c>
      <c r="J397" s="63">
        <v>110</v>
      </c>
      <c r="K397" s="63">
        <f t="shared" si="30"/>
        <v>110</v>
      </c>
      <c r="L397" s="62" t="str">
        <f t="shared" si="31"/>
        <v/>
      </c>
      <c r="M397" s="63"/>
    </row>
    <row r="398" spans="2:13" s="46" customFormat="1" ht="15">
      <c r="B398" s="534">
        <f t="shared" si="28"/>
        <v>393</v>
      </c>
      <c r="C398" s="56" t="s">
        <v>2262</v>
      </c>
      <c r="D398" s="56" t="s">
        <v>2479</v>
      </c>
      <c r="E398" s="57" t="s">
        <v>2683</v>
      </c>
      <c r="F398" s="58"/>
      <c r="G398" s="59">
        <v>45465</v>
      </c>
      <c r="H398" s="57" t="s">
        <v>2265</v>
      </c>
      <c r="I398" s="62">
        <f t="shared" si="29"/>
        <v>10.000000000000014</v>
      </c>
      <c r="J398" s="63">
        <v>110</v>
      </c>
      <c r="K398" s="63">
        <f t="shared" si="30"/>
        <v>110</v>
      </c>
      <c r="L398" s="62" t="str">
        <f t="shared" si="31"/>
        <v/>
      </c>
      <c r="M398" s="63"/>
    </row>
    <row r="399" spans="2:13" s="46" customFormat="1" ht="15">
      <c r="B399" s="534">
        <f t="shared" si="28"/>
        <v>394</v>
      </c>
      <c r="C399" s="56" t="s">
        <v>2262</v>
      </c>
      <c r="D399" s="56" t="s">
        <v>2684</v>
      </c>
      <c r="E399" s="57" t="s">
        <v>2685</v>
      </c>
      <c r="F399" s="58"/>
      <c r="G399" s="59">
        <v>45465</v>
      </c>
      <c r="H399" s="57" t="s">
        <v>2265</v>
      </c>
      <c r="I399" s="62">
        <f t="shared" si="29"/>
        <v>10.000000000000014</v>
      </c>
      <c r="J399" s="63">
        <v>110</v>
      </c>
      <c r="K399" s="63">
        <f t="shared" si="30"/>
        <v>110</v>
      </c>
      <c r="L399" s="62" t="str">
        <f t="shared" si="31"/>
        <v/>
      </c>
      <c r="M399" s="63"/>
    </row>
    <row r="400" spans="2:13" s="46" customFormat="1" ht="15">
      <c r="B400" s="534">
        <f t="shared" si="28"/>
        <v>395</v>
      </c>
      <c r="C400" s="56" t="s">
        <v>2262</v>
      </c>
      <c r="D400" s="56" t="s">
        <v>2686</v>
      </c>
      <c r="E400" s="57" t="s">
        <v>2687</v>
      </c>
      <c r="F400" s="58"/>
      <c r="G400" s="59">
        <v>45465</v>
      </c>
      <c r="H400" s="57" t="s">
        <v>2265</v>
      </c>
      <c r="I400" s="62">
        <f t="shared" si="29"/>
        <v>10.000000000000014</v>
      </c>
      <c r="J400" s="63">
        <v>110</v>
      </c>
      <c r="K400" s="63">
        <f t="shared" si="30"/>
        <v>110</v>
      </c>
      <c r="L400" s="62" t="str">
        <f t="shared" si="31"/>
        <v/>
      </c>
      <c r="M400" s="63"/>
    </row>
    <row r="401" spans="2:13" s="46" customFormat="1" ht="15">
      <c r="B401" s="534">
        <f t="shared" si="28"/>
        <v>396</v>
      </c>
      <c r="C401" s="56" t="s">
        <v>2262</v>
      </c>
      <c r="D401" s="56" t="s">
        <v>2686</v>
      </c>
      <c r="E401" s="57" t="s">
        <v>2688</v>
      </c>
      <c r="F401" s="58"/>
      <c r="G401" s="59">
        <v>45465</v>
      </c>
      <c r="H401" s="57" t="s">
        <v>2265</v>
      </c>
      <c r="I401" s="62">
        <f t="shared" si="29"/>
        <v>10.000000000000014</v>
      </c>
      <c r="J401" s="63">
        <v>110</v>
      </c>
      <c r="K401" s="63">
        <f t="shared" si="30"/>
        <v>110</v>
      </c>
      <c r="L401" s="62" t="str">
        <f t="shared" si="31"/>
        <v/>
      </c>
      <c r="M401" s="63"/>
    </row>
    <row r="402" spans="2:13" s="46" customFormat="1" ht="15">
      <c r="B402" s="534">
        <f t="shared" si="28"/>
        <v>397</v>
      </c>
      <c r="C402" s="56" t="s">
        <v>2262</v>
      </c>
      <c r="D402" s="56" t="s">
        <v>2590</v>
      </c>
      <c r="E402" s="57" t="s">
        <v>2591</v>
      </c>
      <c r="F402" s="58"/>
      <c r="G402" s="59">
        <v>45465</v>
      </c>
      <c r="H402" s="57" t="s">
        <v>45</v>
      </c>
      <c r="I402" s="62">
        <f t="shared" si="29"/>
        <v>10.000000000000014</v>
      </c>
      <c r="J402" s="63">
        <v>110</v>
      </c>
      <c r="K402" s="63">
        <f t="shared" si="30"/>
        <v>110</v>
      </c>
      <c r="L402" s="62" t="str">
        <f t="shared" si="31"/>
        <v/>
      </c>
      <c r="M402" s="63"/>
    </row>
    <row r="403" spans="2:13" s="46" customFormat="1" ht="15">
      <c r="B403" s="534">
        <f t="shared" si="28"/>
        <v>398</v>
      </c>
      <c r="C403" s="56" t="s">
        <v>2262</v>
      </c>
      <c r="D403" s="57" t="s">
        <v>2640</v>
      </c>
      <c r="E403" s="57" t="s">
        <v>2640</v>
      </c>
      <c r="F403" s="58"/>
      <c r="G403" s="59">
        <v>45465</v>
      </c>
      <c r="H403" s="57" t="s">
        <v>45</v>
      </c>
      <c r="I403" s="62">
        <f t="shared" si="29"/>
        <v>10.000000000000014</v>
      </c>
      <c r="J403" s="63">
        <v>110</v>
      </c>
      <c r="K403" s="63">
        <f t="shared" si="30"/>
        <v>110</v>
      </c>
      <c r="L403" s="62" t="str">
        <f t="shared" si="31"/>
        <v/>
      </c>
      <c r="M403" s="63"/>
    </row>
    <row r="404" spans="2:13" s="46" customFormat="1" ht="15">
      <c r="B404" s="534">
        <f t="shared" si="28"/>
        <v>399</v>
      </c>
      <c r="C404" s="56" t="s">
        <v>2262</v>
      </c>
      <c r="D404" s="56" t="s">
        <v>2527</v>
      </c>
      <c r="E404" s="57" t="s">
        <v>2689</v>
      </c>
      <c r="F404" s="58" t="s">
        <v>2271</v>
      </c>
      <c r="G404" s="59">
        <v>45466</v>
      </c>
      <c r="H404" s="57" t="s">
        <v>45</v>
      </c>
      <c r="I404" s="62">
        <f t="shared" si="29"/>
        <v>20.000000000000028</v>
      </c>
      <c r="J404" s="63">
        <v>220</v>
      </c>
      <c r="K404" s="63">
        <f t="shared" si="30"/>
        <v>220</v>
      </c>
      <c r="L404" s="62" t="str">
        <f t="shared" si="31"/>
        <v/>
      </c>
      <c r="M404" s="63"/>
    </row>
    <row r="405" spans="2:13" s="46" customFormat="1" ht="15">
      <c r="B405" s="534">
        <f t="shared" si="28"/>
        <v>400</v>
      </c>
      <c r="C405" s="56" t="s">
        <v>2262</v>
      </c>
      <c r="D405" s="56" t="s">
        <v>2295</v>
      </c>
      <c r="E405" s="57" t="s">
        <v>2690</v>
      </c>
      <c r="F405" s="58" t="s">
        <v>2304</v>
      </c>
      <c r="G405" s="59">
        <v>45466</v>
      </c>
      <c r="H405" s="57" t="s">
        <v>45</v>
      </c>
      <c r="I405" s="62">
        <f t="shared" si="29"/>
        <v>30</v>
      </c>
      <c r="J405" s="63">
        <v>330</v>
      </c>
      <c r="K405" s="63">
        <f t="shared" si="30"/>
        <v>330</v>
      </c>
      <c r="L405" s="62" t="str">
        <f t="shared" si="31"/>
        <v/>
      </c>
      <c r="M405" s="63"/>
    </row>
    <row r="406" spans="2:13" s="46" customFormat="1" ht="15">
      <c r="B406" s="534">
        <f t="shared" si="28"/>
        <v>401</v>
      </c>
      <c r="C406" s="56" t="s">
        <v>2262</v>
      </c>
      <c r="D406" s="56" t="s">
        <v>2644</v>
      </c>
      <c r="E406" s="57" t="s">
        <v>2691</v>
      </c>
      <c r="F406" s="58" t="s">
        <v>2304</v>
      </c>
      <c r="G406" s="59">
        <v>45466</v>
      </c>
      <c r="H406" s="57" t="s">
        <v>45</v>
      </c>
      <c r="I406" s="62">
        <f t="shared" si="29"/>
        <v>30</v>
      </c>
      <c r="J406" s="63">
        <v>330</v>
      </c>
      <c r="K406" s="63">
        <f t="shared" si="30"/>
        <v>330</v>
      </c>
      <c r="L406" s="62" t="str">
        <f t="shared" si="31"/>
        <v/>
      </c>
      <c r="M406" s="63"/>
    </row>
    <row r="407" spans="2:13" s="46" customFormat="1" ht="15">
      <c r="B407" s="534">
        <f t="shared" si="28"/>
        <v>402</v>
      </c>
      <c r="C407" s="56" t="s">
        <v>2262</v>
      </c>
      <c r="D407" s="56" t="s">
        <v>2527</v>
      </c>
      <c r="E407" s="57" t="s">
        <v>2692</v>
      </c>
      <c r="F407" s="58" t="s">
        <v>2271</v>
      </c>
      <c r="G407" s="59">
        <v>45466</v>
      </c>
      <c r="H407" s="57" t="s">
        <v>45</v>
      </c>
      <c r="I407" s="62">
        <f t="shared" si="29"/>
        <v>20.000000000000028</v>
      </c>
      <c r="J407" s="63">
        <v>220</v>
      </c>
      <c r="K407" s="63">
        <f t="shared" si="30"/>
        <v>220</v>
      </c>
      <c r="L407" s="62" t="str">
        <f t="shared" si="31"/>
        <v/>
      </c>
      <c r="M407" s="63"/>
    </row>
    <row r="408" spans="2:13" s="46" customFormat="1" ht="15">
      <c r="B408" s="534">
        <f t="shared" si="28"/>
        <v>403</v>
      </c>
      <c r="C408" s="56" t="s">
        <v>2342</v>
      </c>
      <c r="D408" s="56" t="s">
        <v>2693</v>
      </c>
      <c r="E408" s="57" t="s">
        <v>2694</v>
      </c>
      <c r="F408" s="64">
        <v>156.5</v>
      </c>
      <c r="G408" s="59">
        <v>45468</v>
      </c>
      <c r="H408" s="57" t="s">
        <v>2695</v>
      </c>
      <c r="I408" s="62">
        <f t="shared" si="29"/>
        <v>19.090909090909093</v>
      </c>
      <c r="J408" s="63">
        <f>IF(F408&lt;=150,170,IF(F408&lt;=200,210,IF(F408&lt;=250,240,290)))</f>
        <v>210</v>
      </c>
      <c r="K408" s="63">
        <f t="shared" si="30"/>
        <v>210</v>
      </c>
      <c r="L408" s="62" t="str">
        <f t="shared" si="31"/>
        <v/>
      </c>
      <c r="M408" s="63"/>
    </row>
    <row r="409" spans="2:13" s="46" customFormat="1" ht="15">
      <c r="B409" s="534">
        <f t="shared" si="28"/>
        <v>404</v>
      </c>
      <c r="C409" s="56" t="s">
        <v>2342</v>
      </c>
      <c r="D409" s="56" t="s">
        <v>2693</v>
      </c>
      <c r="E409" s="57" t="s">
        <v>2694</v>
      </c>
      <c r="F409" s="64">
        <v>189.5</v>
      </c>
      <c r="G409" s="59">
        <v>45468</v>
      </c>
      <c r="H409" s="57" t="s">
        <v>2695</v>
      </c>
      <c r="I409" s="62">
        <f t="shared" si="29"/>
        <v>19.090909090909093</v>
      </c>
      <c r="J409" s="63">
        <f>IF(F409&lt;=150,170,IF(F409&lt;=200,210,IF(F409&lt;=250,240,290)))</f>
        <v>210</v>
      </c>
      <c r="K409" s="63">
        <f t="shared" si="30"/>
        <v>210</v>
      </c>
      <c r="L409" s="62" t="str">
        <f t="shared" si="31"/>
        <v/>
      </c>
      <c r="M409" s="63"/>
    </row>
    <row r="410" spans="2:13" s="46" customFormat="1" ht="15">
      <c r="B410" s="534">
        <f t="shared" si="28"/>
        <v>405</v>
      </c>
      <c r="C410" s="56" t="s">
        <v>2262</v>
      </c>
      <c r="D410" s="56" t="s">
        <v>2696</v>
      </c>
      <c r="E410" s="57" t="s">
        <v>2697</v>
      </c>
      <c r="F410" s="58"/>
      <c r="G410" s="59">
        <v>45468</v>
      </c>
      <c r="H410" s="57" t="s">
        <v>27</v>
      </c>
      <c r="I410" s="62">
        <f t="shared" si="29"/>
        <v>79.909090909090992</v>
      </c>
      <c r="J410" s="63">
        <v>879</v>
      </c>
      <c r="K410" s="63">
        <f t="shared" si="30"/>
        <v>879</v>
      </c>
      <c r="L410" s="62" t="str">
        <f t="shared" si="31"/>
        <v/>
      </c>
      <c r="M410" s="63"/>
    </row>
    <row r="411" spans="2:13" s="46" customFormat="1" ht="15">
      <c r="B411" s="534">
        <f t="shared" si="28"/>
        <v>406</v>
      </c>
      <c r="C411" s="56" t="s">
        <v>2342</v>
      </c>
      <c r="D411" s="56" t="s">
        <v>2693</v>
      </c>
      <c r="E411" s="57" t="s">
        <v>2694</v>
      </c>
      <c r="F411" s="64">
        <v>240.5</v>
      </c>
      <c r="G411" s="59">
        <v>45469</v>
      </c>
      <c r="H411" s="57" t="s">
        <v>2695</v>
      </c>
      <c r="I411" s="62">
        <f t="shared" si="29"/>
        <v>21.818181818181841</v>
      </c>
      <c r="J411" s="63">
        <f>IF(F411&lt;=150,170,IF(F411&lt;=200,210,IF(F411&lt;=250,240,290)))</f>
        <v>240</v>
      </c>
      <c r="K411" s="63">
        <f t="shared" si="30"/>
        <v>240</v>
      </c>
      <c r="L411" s="62" t="str">
        <f t="shared" si="31"/>
        <v/>
      </c>
      <c r="M411" s="63"/>
    </row>
    <row r="412" spans="2:13" s="46" customFormat="1" ht="15">
      <c r="B412" s="534">
        <f t="shared" si="28"/>
        <v>407</v>
      </c>
      <c r="C412" s="69" t="s">
        <v>2670</v>
      </c>
      <c r="D412" s="69" t="s">
        <v>2282</v>
      </c>
      <c r="E412" s="70" t="str">
        <f>VLOOKUP(F412,購入者リスト!B:F,4,FALSE)</f>
        <v>多肉 チャイナローズ入り 7種セット 抜き苗</v>
      </c>
      <c r="F412" s="69">
        <v>3</v>
      </c>
      <c r="G412" s="71" t="str">
        <f>VLOOKUP(F412,購入者リスト!B:M,12,FALSE)</f>
        <v>24/06/28</v>
      </c>
      <c r="H412" s="70" t="s">
        <v>27</v>
      </c>
      <c r="I412" s="73" t="str">
        <f t="shared" si="29"/>
        <v/>
      </c>
      <c r="J412" s="74"/>
      <c r="K412" s="74">
        <f t="shared" si="30"/>
        <v>0</v>
      </c>
      <c r="L412" s="73">
        <f t="shared" si="31"/>
        <v>109.09090909090924</v>
      </c>
      <c r="M412" s="74">
        <f>VLOOKUP(F412,購入者リスト!B:F,5,FALSE)</f>
        <v>1200</v>
      </c>
    </row>
    <row r="413" spans="2:13" s="46" customFormat="1" ht="15">
      <c r="B413" s="534">
        <f t="shared" si="28"/>
        <v>408</v>
      </c>
      <c r="C413" s="69" t="s">
        <v>2671</v>
      </c>
      <c r="D413" s="69" t="s">
        <v>2672</v>
      </c>
      <c r="E413" s="70" t="s">
        <v>2673</v>
      </c>
      <c r="F413" s="72"/>
      <c r="G413" s="71" t="str">
        <f>G412</f>
        <v>24/06/28</v>
      </c>
      <c r="H413" s="70" t="s">
        <v>27</v>
      </c>
      <c r="I413" s="73">
        <f t="shared" si="29"/>
        <v>10.909090909090921</v>
      </c>
      <c r="J413" s="74">
        <f>M412*0.1</f>
        <v>120</v>
      </c>
      <c r="K413" s="74">
        <f t="shared" si="30"/>
        <v>120</v>
      </c>
      <c r="L413" s="73" t="str">
        <f t="shared" si="31"/>
        <v/>
      </c>
      <c r="M413" s="74"/>
    </row>
    <row r="414" spans="2:13" s="46" customFormat="1" ht="15">
      <c r="B414" s="534">
        <f t="shared" si="28"/>
        <v>409</v>
      </c>
      <c r="C414" s="69" t="s">
        <v>2670</v>
      </c>
      <c r="D414" s="69" t="s">
        <v>2282</v>
      </c>
      <c r="E414" s="70" t="str">
        <f>VLOOKUP(F414,購入者リスト!B:F,4,FALSE)</f>
        <v>多肉 アガボイデス ルブラ入り 7種セット 抜き苗</v>
      </c>
      <c r="F414" s="69">
        <v>2</v>
      </c>
      <c r="G414" s="71" t="str">
        <f>VLOOKUP(F414,購入者リスト!B:M,12,FALSE)</f>
        <v>24/06/28</v>
      </c>
      <c r="H414" s="70" t="s">
        <v>27</v>
      </c>
      <c r="I414" s="73" t="str">
        <f t="shared" si="29"/>
        <v/>
      </c>
      <c r="J414" s="74"/>
      <c r="K414" s="74">
        <f t="shared" si="30"/>
        <v>0</v>
      </c>
      <c r="L414" s="73">
        <f t="shared" si="31"/>
        <v>109.09090909090924</v>
      </c>
      <c r="M414" s="74">
        <f>VLOOKUP(F414,購入者リスト!B:F,5,FALSE)</f>
        <v>1200</v>
      </c>
    </row>
    <row r="415" spans="2:13" s="46" customFormat="1" ht="15">
      <c r="B415" s="534">
        <f t="shared" si="28"/>
        <v>410</v>
      </c>
      <c r="C415" s="69" t="s">
        <v>2671</v>
      </c>
      <c r="D415" s="69" t="s">
        <v>2672</v>
      </c>
      <c r="E415" s="70" t="s">
        <v>2673</v>
      </c>
      <c r="F415" s="72"/>
      <c r="G415" s="71" t="str">
        <f>G414</f>
        <v>24/06/28</v>
      </c>
      <c r="H415" s="70" t="s">
        <v>27</v>
      </c>
      <c r="I415" s="73">
        <f t="shared" si="29"/>
        <v>10.909090909090921</v>
      </c>
      <c r="J415" s="74">
        <f>M414*0.1</f>
        <v>120</v>
      </c>
      <c r="K415" s="74">
        <f t="shared" si="30"/>
        <v>120</v>
      </c>
      <c r="L415" s="73" t="str">
        <f t="shared" si="31"/>
        <v/>
      </c>
      <c r="M415" s="74"/>
    </row>
    <row r="416" spans="2:13" s="46" customFormat="1" ht="15">
      <c r="B416" s="534">
        <f t="shared" si="28"/>
        <v>411</v>
      </c>
      <c r="C416" s="56" t="s">
        <v>2281</v>
      </c>
      <c r="D416" s="56" t="s">
        <v>2282</v>
      </c>
      <c r="E416" s="57" t="s">
        <v>586</v>
      </c>
      <c r="F416" s="64"/>
      <c r="G416" s="59">
        <v>45472</v>
      </c>
      <c r="H416" s="57" t="s">
        <v>587</v>
      </c>
      <c r="I416" s="62">
        <f t="shared" si="29"/>
        <v>40.000000000000057</v>
      </c>
      <c r="J416" s="63">
        <v>440</v>
      </c>
      <c r="K416" s="63">
        <f t="shared" si="30"/>
        <v>440</v>
      </c>
      <c r="L416" s="62" t="str">
        <f t="shared" si="31"/>
        <v/>
      </c>
      <c r="M416" s="63"/>
    </row>
    <row r="417" spans="2:13" s="46" customFormat="1" ht="15">
      <c r="B417" s="534">
        <f t="shared" si="28"/>
        <v>412</v>
      </c>
      <c r="C417" s="56" t="s">
        <v>2262</v>
      </c>
      <c r="D417" s="56" t="s">
        <v>2512</v>
      </c>
      <c r="E417" s="57" t="s">
        <v>2698</v>
      </c>
      <c r="F417" s="64"/>
      <c r="G417" s="59">
        <v>45472</v>
      </c>
      <c r="H417" s="57" t="s">
        <v>45</v>
      </c>
      <c r="I417" s="62">
        <f t="shared" si="29"/>
        <v>10.000000000000014</v>
      </c>
      <c r="J417" s="63">
        <v>110</v>
      </c>
      <c r="K417" s="63">
        <f t="shared" si="30"/>
        <v>110</v>
      </c>
      <c r="L417" s="62" t="str">
        <f t="shared" si="31"/>
        <v/>
      </c>
      <c r="M417" s="63"/>
    </row>
    <row r="418" spans="2:13" s="46" customFormat="1" ht="15">
      <c r="B418" s="534">
        <f t="shared" si="28"/>
        <v>413</v>
      </c>
      <c r="C418" s="56" t="s">
        <v>2262</v>
      </c>
      <c r="D418" s="56" t="s">
        <v>2293</v>
      </c>
      <c r="E418" s="57" t="s">
        <v>2699</v>
      </c>
      <c r="F418" s="64"/>
      <c r="G418" s="59">
        <v>45472</v>
      </c>
      <c r="H418" s="57" t="s">
        <v>45</v>
      </c>
      <c r="I418" s="62">
        <f t="shared" si="29"/>
        <v>10.000000000000014</v>
      </c>
      <c r="J418" s="63">
        <v>110</v>
      </c>
      <c r="K418" s="63">
        <f t="shared" si="30"/>
        <v>110</v>
      </c>
      <c r="L418" s="62" t="str">
        <f t="shared" si="31"/>
        <v/>
      </c>
      <c r="M418" s="63"/>
    </row>
    <row r="419" spans="2:13" s="46" customFormat="1" ht="15">
      <c r="B419" s="534">
        <f t="shared" si="28"/>
        <v>414</v>
      </c>
      <c r="C419" s="56" t="s">
        <v>2262</v>
      </c>
      <c r="D419" s="56" t="s">
        <v>2527</v>
      </c>
      <c r="E419" s="57" t="s">
        <v>2552</v>
      </c>
      <c r="F419" s="64" t="s">
        <v>2271</v>
      </c>
      <c r="G419" s="59">
        <v>45472</v>
      </c>
      <c r="H419" s="57" t="s">
        <v>45</v>
      </c>
      <c r="I419" s="62">
        <f t="shared" si="29"/>
        <v>20.000000000000028</v>
      </c>
      <c r="J419" s="63">
        <v>220</v>
      </c>
      <c r="K419" s="63">
        <f t="shared" si="30"/>
        <v>220</v>
      </c>
      <c r="L419" s="62" t="str">
        <f t="shared" si="31"/>
        <v/>
      </c>
      <c r="M419" s="63"/>
    </row>
    <row r="420" spans="2:13" s="46" customFormat="1" ht="15">
      <c r="B420" s="534">
        <f t="shared" si="28"/>
        <v>415</v>
      </c>
      <c r="C420" s="56" t="s">
        <v>2262</v>
      </c>
      <c r="D420" s="57" t="s">
        <v>2700</v>
      </c>
      <c r="E420" s="57" t="s">
        <v>2700</v>
      </c>
      <c r="F420" s="64"/>
      <c r="G420" s="59">
        <v>45472</v>
      </c>
      <c r="H420" s="57" t="s">
        <v>45</v>
      </c>
      <c r="I420" s="62">
        <f t="shared" si="29"/>
        <v>10.000000000000014</v>
      </c>
      <c r="J420" s="63">
        <v>110</v>
      </c>
      <c r="K420" s="63">
        <f t="shared" si="30"/>
        <v>110</v>
      </c>
      <c r="L420" s="62" t="str">
        <f t="shared" si="31"/>
        <v/>
      </c>
      <c r="M420" s="63"/>
    </row>
    <row r="421" spans="2:13" s="46" customFormat="1" ht="15">
      <c r="B421" s="534">
        <f t="shared" si="28"/>
        <v>416</v>
      </c>
      <c r="C421" s="56" t="s">
        <v>2262</v>
      </c>
      <c r="D421" s="57" t="s">
        <v>2700</v>
      </c>
      <c r="E421" s="57" t="s">
        <v>2701</v>
      </c>
      <c r="F421" s="64"/>
      <c r="G421" s="59">
        <v>45472</v>
      </c>
      <c r="H421" s="57" t="s">
        <v>45</v>
      </c>
      <c r="I421" s="62">
        <f t="shared" si="29"/>
        <v>10.000000000000014</v>
      </c>
      <c r="J421" s="63">
        <v>110</v>
      </c>
      <c r="K421" s="63">
        <f t="shared" si="30"/>
        <v>110</v>
      </c>
      <c r="L421" s="62" t="str">
        <f t="shared" si="31"/>
        <v/>
      </c>
      <c r="M421" s="63"/>
    </row>
    <row r="422" spans="2:13" s="46" customFormat="1" ht="15">
      <c r="B422" s="534">
        <f t="shared" si="28"/>
        <v>417</v>
      </c>
      <c r="C422" s="56" t="s">
        <v>2262</v>
      </c>
      <c r="D422" s="57" t="s">
        <v>2702</v>
      </c>
      <c r="E422" s="57" t="s">
        <v>2703</v>
      </c>
      <c r="F422" s="58"/>
      <c r="G422" s="59">
        <v>45472</v>
      </c>
      <c r="H422" s="57" t="s">
        <v>135</v>
      </c>
      <c r="I422" s="62">
        <f t="shared" si="29"/>
        <v>10.909090909090921</v>
      </c>
      <c r="J422" s="63">
        <v>120</v>
      </c>
      <c r="K422" s="63">
        <f t="shared" si="30"/>
        <v>120</v>
      </c>
      <c r="L422" s="62" t="str">
        <f t="shared" si="31"/>
        <v/>
      </c>
      <c r="M422" s="63"/>
    </row>
    <row r="423" spans="2:13" s="46" customFormat="1" ht="15">
      <c r="B423" s="534">
        <f t="shared" si="28"/>
        <v>418</v>
      </c>
      <c r="C423" s="56" t="s">
        <v>2262</v>
      </c>
      <c r="D423" s="57" t="s">
        <v>2702</v>
      </c>
      <c r="E423" s="57" t="s">
        <v>2703</v>
      </c>
      <c r="F423" s="58"/>
      <c r="G423" s="59">
        <v>45472</v>
      </c>
      <c r="H423" s="57" t="s">
        <v>135</v>
      </c>
      <c r="I423" s="62">
        <f t="shared" si="29"/>
        <v>13.636363636363654</v>
      </c>
      <c r="J423" s="63">
        <v>150</v>
      </c>
      <c r="K423" s="63">
        <f t="shared" si="30"/>
        <v>150</v>
      </c>
      <c r="L423" s="62" t="str">
        <f t="shared" si="31"/>
        <v/>
      </c>
      <c r="M423" s="63"/>
    </row>
    <row r="424" spans="2:13" s="46" customFormat="1" ht="15">
      <c r="B424" s="534">
        <f t="shared" si="28"/>
        <v>419</v>
      </c>
      <c r="C424" s="56" t="s">
        <v>2262</v>
      </c>
      <c r="D424" s="56" t="s">
        <v>2266</v>
      </c>
      <c r="E424" s="57" t="s">
        <v>2556</v>
      </c>
      <c r="F424" s="58" t="s">
        <v>2299</v>
      </c>
      <c r="G424" s="59">
        <v>45472</v>
      </c>
      <c r="H424" s="57" t="s">
        <v>135</v>
      </c>
      <c r="I424" s="62">
        <f t="shared" si="29"/>
        <v>36.090909090909122</v>
      </c>
      <c r="J424" s="63">
        <v>397</v>
      </c>
      <c r="K424" s="63">
        <f t="shared" si="30"/>
        <v>397</v>
      </c>
      <c r="L424" s="62" t="str">
        <f t="shared" si="31"/>
        <v/>
      </c>
      <c r="M424" s="63"/>
    </row>
    <row r="425" spans="2:13" s="46" customFormat="1" ht="15">
      <c r="B425" s="534">
        <f t="shared" si="28"/>
        <v>420</v>
      </c>
      <c r="C425" s="56" t="s">
        <v>2262</v>
      </c>
      <c r="D425" s="56" t="s">
        <v>2276</v>
      </c>
      <c r="E425" s="57" t="s">
        <v>2704</v>
      </c>
      <c r="F425" s="58"/>
      <c r="G425" s="59">
        <v>45472</v>
      </c>
      <c r="H425" s="57" t="s">
        <v>2705</v>
      </c>
      <c r="I425" s="62">
        <f t="shared" si="29"/>
        <v>52.727272727272748</v>
      </c>
      <c r="J425" s="63">
        <v>580</v>
      </c>
      <c r="K425" s="63">
        <f t="shared" si="30"/>
        <v>580</v>
      </c>
      <c r="L425" s="62" t="str">
        <f t="shared" si="31"/>
        <v/>
      </c>
      <c r="M425" s="63"/>
    </row>
    <row r="426" spans="2:13" s="46" customFormat="1" ht="15">
      <c r="B426" s="534">
        <f t="shared" si="28"/>
        <v>421</v>
      </c>
      <c r="C426" s="56" t="s">
        <v>2262</v>
      </c>
      <c r="D426" s="56" t="s">
        <v>2276</v>
      </c>
      <c r="E426" s="57" t="s">
        <v>2706</v>
      </c>
      <c r="F426" s="58"/>
      <c r="G426" s="59">
        <v>45472</v>
      </c>
      <c r="H426" s="57" t="s">
        <v>2705</v>
      </c>
      <c r="I426" s="62">
        <f t="shared" si="29"/>
        <v>36.181818181818187</v>
      </c>
      <c r="J426" s="63">
        <v>398</v>
      </c>
      <c r="K426" s="63">
        <f t="shared" si="30"/>
        <v>398</v>
      </c>
      <c r="L426" s="62" t="str">
        <f t="shared" si="31"/>
        <v/>
      </c>
      <c r="M426" s="63"/>
    </row>
    <row r="427" spans="2:13" s="46" customFormat="1" ht="15">
      <c r="B427" s="534">
        <f t="shared" si="28"/>
        <v>422</v>
      </c>
      <c r="C427" s="56" t="s">
        <v>2262</v>
      </c>
      <c r="D427" s="56" t="s">
        <v>2507</v>
      </c>
      <c r="E427" s="57" t="s">
        <v>2707</v>
      </c>
      <c r="F427" s="58"/>
      <c r="G427" s="59">
        <v>45472</v>
      </c>
      <c r="H427" s="57" t="s">
        <v>2705</v>
      </c>
      <c r="I427" s="62">
        <f t="shared" si="29"/>
        <v>36.181818181818187</v>
      </c>
      <c r="J427" s="63">
        <v>398</v>
      </c>
      <c r="K427" s="63">
        <f t="shared" si="30"/>
        <v>398</v>
      </c>
      <c r="L427" s="62" t="str">
        <f t="shared" si="31"/>
        <v/>
      </c>
      <c r="M427" s="63"/>
    </row>
    <row r="428" spans="2:13" s="46" customFormat="1" ht="15">
      <c r="B428" s="534">
        <f t="shared" si="28"/>
        <v>423</v>
      </c>
      <c r="C428" s="56" t="s">
        <v>2262</v>
      </c>
      <c r="D428" s="56" t="s">
        <v>2266</v>
      </c>
      <c r="E428" s="57" t="s">
        <v>2314</v>
      </c>
      <c r="F428" s="58"/>
      <c r="G428" s="59">
        <v>45472</v>
      </c>
      <c r="H428" s="57" t="s">
        <v>133</v>
      </c>
      <c r="I428" s="62">
        <f t="shared" si="29"/>
        <v>15.27272727272728</v>
      </c>
      <c r="J428" s="63">
        <v>168</v>
      </c>
      <c r="K428" s="63">
        <f t="shared" si="30"/>
        <v>168</v>
      </c>
      <c r="L428" s="62" t="str">
        <f t="shared" si="31"/>
        <v/>
      </c>
      <c r="M428" s="63"/>
    </row>
    <row r="429" spans="2:13" s="46" customFormat="1" ht="15">
      <c r="B429" s="534">
        <f t="shared" si="28"/>
        <v>424</v>
      </c>
      <c r="C429" s="56" t="s">
        <v>2281</v>
      </c>
      <c r="D429" s="56" t="s">
        <v>2282</v>
      </c>
      <c r="E429" s="57"/>
      <c r="F429" s="64"/>
      <c r="G429" s="59">
        <v>45472</v>
      </c>
      <c r="H429" s="57" t="s">
        <v>133</v>
      </c>
      <c r="I429" s="62">
        <f t="shared" si="29"/>
        <v>9.0909090909090935</v>
      </c>
      <c r="J429" s="63">
        <v>100</v>
      </c>
      <c r="K429" s="63">
        <f t="shared" si="30"/>
        <v>100</v>
      </c>
      <c r="L429" s="62" t="str">
        <f t="shared" si="31"/>
        <v/>
      </c>
      <c r="M429" s="63"/>
    </row>
    <row r="430" spans="2:13" s="46" customFormat="1" ht="15">
      <c r="B430" s="534">
        <f t="shared" si="28"/>
        <v>425</v>
      </c>
      <c r="C430" s="56" t="s">
        <v>2281</v>
      </c>
      <c r="D430" s="56" t="s">
        <v>2282</v>
      </c>
      <c r="E430" s="57"/>
      <c r="F430" s="64"/>
      <c r="G430" s="59">
        <v>45472</v>
      </c>
      <c r="H430" s="57" t="s">
        <v>133</v>
      </c>
      <c r="I430" s="62">
        <f t="shared" si="29"/>
        <v>4.5454545454545467</v>
      </c>
      <c r="J430" s="63">
        <v>50</v>
      </c>
      <c r="K430" s="63">
        <f t="shared" si="30"/>
        <v>50</v>
      </c>
      <c r="L430" s="62" t="str">
        <f t="shared" si="31"/>
        <v/>
      </c>
      <c r="M430" s="63"/>
    </row>
    <row r="431" spans="2:13" s="46" customFormat="1" ht="15">
      <c r="B431" s="534">
        <f t="shared" si="28"/>
        <v>426</v>
      </c>
      <c r="C431" s="56" t="s">
        <v>2281</v>
      </c>
      <c r="D431" s="56" t="s">
        <v>2282</v>
      </c>
      <c r="E431" s="57"/>
      <c r="F431" s="64"/>
      <c r="G431" s="59">
        <v>45472</v>
      </c>
      <c r="H431" s="57" t="s">
        <v>133</v>
      </c>
      <c r="I431" s="62">
        <f t="shared" si="29"/>
        <v>18.000000000000028</v>
      </c>
      <c r="J431" s="63">
        <v>198</v>
      </c>
      <c r="K431" s="63">
        <f t="shared" si="30"/>
        <v>198</v>
      </c>
      <c r="L431" s="62" t="str">
        <f t="shared" si="31"/>
        <v/>
      </c>
      <c r="M431" s="63"/>
    </row>
    <row r="432" spans="2:13" s="46" customFormat="1" ht="15">
      <c r="B432" s="534">
        <f t="shared" si="28"/>
        <v>427</v>
      </c>
      <c r="C432" s="56" t="s">
        <v>2262</v>
      </c>
      <c r="D432" s="56" t="s">
        <v>2276</v>
      </c>
      <c r="E432" s="57" t="s">
        <v>2708</v>
      </c>
      <c r="F432" s="58" t="s">
        <v>2271</v>
      </c>
      <c r="G432" s="59">
        <v>45472</v>
      </c>
      <c r="H432" s="57" t="s">
        <v>598</v>
      </c>
      <c r="I432" s="62">
        <f t="shared" si="29"/>
        <v>114.18181818181824</v>
      </c>
      <c r="J432" s="63">
        <v>1256</v>
      </c>
      <c r="K432" s="63">
        <f t="shared" si="30"/>
        <v>1256</v>
      </c>
      <c r="L432" s="62" t="str">
        <f t="shared" si="31"/>
        <v/>
      </c>
      <c r="M432" s="63"/>
    </row>
    <row r="433" spans="2:13" s="46" customFormat="1" ht="15">
      <c r="B433" s="534">
        <f t="shared" si="28"/>
        <v>428</v>
      </c>
      <c r="C433" s="56" t="s">
        <v>2262</v>
      </c>
      <c r="D433" s="56" t="s">
        <v>2276</v>
      </c>
      <c r="E433" s="57" t="s">
        <v>2709</v>
      </c>
      <c r="F433" s="58"/>
      <c r="G433" s="59">
        <v>45472</v>
      </c>
      <c r="H433" s="57" t="s">
        <v>598</v>
      </c>
      <c r="I433" s="62">
        <f t="shared" si="29"/>
        <v>72.545454545454618</v>
      </c>
      <c r="J433" s="63">
        <v>798</v>
      </c>
      <c r="K433" s="63">
        <f t="shared" si="30"/>
        <v>798</v>
      </c>
      <c r="L433" s="62" t="str">
        <f t="shared" si="31"/>
        <v/>
      </c>
      <c r="M433" s="63"/>
    </row>
    <row r="434" spans="2:13" s="46" customFormat="1" ht="15">
      <c r="B434" s="534">
        <f t="shared" si="28"/>
        <v>429</v>
      </c>
      <c r="C434" s="56" t="s">
        <v>2281</v>
      </c>
      <c r="D434" s="56" t="s">
        <v>2282</v>
      </c>
      <c r="E434" s="57"/>
      <c r="F434" s="64"/>
      <c r="G434" s="59">
        <v>45472</v>
      </c>
      <c r="H434" s="57" t="s">
        <v>598</v>
      </c>
      <c r="I434" s="62">
        <f t="shared" si="29"/>
        <v>18.000000000000028</v>
      </c>
      <c r="J434" s="63">
        <v>198</v>
      </c>
      <c r="K434" s="63">
        <f t="shared" si="30"/>
        <v>198</v>
      </c>
      <c r="L434" s="62" t="str">
        <f t="shared" si="31"/>
        <v/>
      </c>
      <c r="M434" s="63"/>
    </row>
    <row r="435" spans="2:13" s="46" customFormat="1" ht="15">
      <c r="B435" s="534">
        <f t="shared" si="28"/>
        <v>430</v>
      </c>
      <c r="C435" s="56" t="s">
        <v>2281</v>
      </c>
      <c r="D435" s="56" t="s">
        <v>2282</v>
      </c>
      <c r="E435" s="57" t="s">
        <v>1446</v>
      </c>
      <c r="F435" s="58"/>
      <c r="G435" s="59">
        <v>45475</v>
      </c>
      <c r="H435" s="57" t="s">
        <v>27</v>
      </c>
      <c r="I435" s="62">
        <f t="shared" si="29"/>
        <v>68.181818181818244</v>
      </c>
      <c r="J435" s="63">
        <v>750</v>
      </c>
      <c r="K435" s="63">
        <f t="shared" si="30"/>
        <v>750</v>
      </c>
      <c r="L435" s="62" t="str">
        <f t="shared" si="31"/>
        <v/>
      </c>
      <c r="M435" s="63"/>
    </row>
    <row r="436" spans="2:13" s="46" customFormat="1" ht="15">
      <c r="B436" s="534">
        <f t="shared" si="28"/>
        <v>431</v>
      </c>
      <c r="C436" s="69" t="s">
        <v>2670</v>
      </c>
      <c r="D436" s="69" t="s">
        <v>2282</v>
      </c>
      <c r="E436" s="70" t="str">
        <f>VLOOKUP(F436,購入者リスト!B:F,4,FALSE)</f>
        <v>多肉 キュービックフロスト入り 7種セット 抜き苗</v>
      </c>
      <c r="F436" s="69">
        <v>4</v>
      </c>
      <c r="G436" s="71" t="str">
        <f>VLOOKUP(F436,購入者リスト!B:M,12,FALSE)</f>
        <v>24/07/03</v>
      </c>
      <c r="H436" s="70" t="s">
        <v>27</v>
      </c>
      <c r="I436" s="73" t="str">
        <f t="shared" si="29"/>
        <v/>
      </c>
      <c r="J436" s="74"/>
      <c r="K436" s="74">
        <f t="shared" si="30"/>
        <v>0</v>
      </c>
      <c r="L436" s="73">
        <f t="shared" si="31"/>
        <v>109.09090909090924</v>
      </c>
      <c r="M436" s="74">
        <f>VLOOKUP(F436,購入者リスト!B:F,5,FALSE)</f>
        <v>1200</v>
      </c>
    </row>
    <row r="437" spans="2:13" s="46" customFormat="1" ht="15">
      <c r="B437" s="534">
        <f t="shared" si="28"/>
        <v>432</v>
      </c>
      <c r="C437" s="69" t="s">
        <v>2671</v>
      </c>
      <c r="D437" s="69" t="s">
        <v>2672</v>
      </c>
      <c r="E437" s="70" t="s">
        <v>2673</v>
      </c>
      <c r="F437" s="72"/>
      <c r="G437" s="71" t="str">
        <f>G436</f>
        <v>24/07/03</v>
      </c>
      <c r="H437" s="70" t="s">
        <v>27</v>
      </c>
      <c r="I437" s="73">
        <f t="shared" si="29"/>
        <v>10.909090909090921</v>
      </c>
      <c r="J437" s="74">
        <f>M436*0.1</f>
        <v>120</v>
      </c>
      <c r="K437" s="74">
        <f t="shared" si="30"/>
        <v>120</v>
      </c>
      <c r="L437" s="73" t="str">
        <f t="shared" si="31"/>
        <v/>
      </c>
      <c r="M437" s="74"/>
    </row>
    <row r="438" spans="2:13" s="46" customFormat="1" ht="15">
      <c r="B438" s="534">
        <f t="shared" si="28"/>
        <v>433</v>
      </c>
      <c r="C438" s="56" t="s">
        <v>2262</v>
      </c>
      <c r="D438" s="56" t="s">
        <v>2346</v>
      </c>
      <c r="E438" s="57" t="s">
        <v>2710</v>
      </c>
      <c r="F438" s="64"/>
      <c r="G438" s="59">
        <v>45479</v>
      </c>
      <c r="H438" s="57" t="s">
        <v>45</v>
      </c>
      <c r="I438" s="62">
        <f t="shared" si="29"/>
        <v>10.000000000000014</v>
      </c>
      <c r="J438" s="63">
        <v>110</v>
      </c>
      <c r="K438" s="63">
        <f t="shared" si="30"/>
        <v>110</v>
      </c>
      <c r="L438" s="62" t="str">
        <f t="shared" si="31"/>
        <v/>
      </c>
      <c r="M438" s="63"/>
    </row>
    <row r="439" spans="2:13" s="46" customFormat="1" ht="15">
      <c r="B439" s="534">
        <f t="shared" si="28"/>
        <v>434</v>
      </c>
      <c r="C439" s="56" t="s">
        <v>2262</v>
      </c>
      <c r="D439" s="56" t="s">
        <v>2302</v>
      </c>
      <c r="E439" s="56" t="s">
        <v>2302</v>
      </c>
      <c r="F439" s="64"/>
      <c r="G439" s="59">
        <v>45479</v>
      </c>
      <c r="H439" s="57" t="s">
        <v>45</v>
      </c>
      <c r="I439" s="62">
        <f t="shared" si="29"/>
        <v>10.000000000000014</v>
      </c>
      <c r="J439" s="63">
        <v>110</v>
      </c>
      <c r="K439" s="63">
        <f t="shared" si="30"/>
        <v>110</v>
      </c>
      <c r="L439" s="62" t="str">
        <f t="shared" si="31"/>
        <v/>
      </c>
      <c r="M439" s="63"/>
    </row>
    <row r="440" spans="2:13" s="46" customFormat="1" ht="15">
      <c r="B440" s="534">
        <f t="shared" si="28"/>
        <v>435</v>
      </c>
      <c r="C440" s="56" t="s">
        <v>2262</v>
      </c>
      <c r="D440" s="56" t="s">
        <v>2644</v>
      </c>
      <c r="E440" s="57" t="s">
        <v>2691</v>
      </c>
      <c r="F440" s="64"/>
      <c r="G440" s="59">
        <v>45479</v>
      </c>
      <c r="H440" s="57" t="s">
        <v>49</v>
      </c>
      <c r="I440" s="62">
        <f t="shared" si="29"/>
        <v>10.000000000000014</v>
      </c>
      <c r="J440" s="63">
        <v>110</v>
      </c>
      <c r="K440" s="63">
        <f t="shared" si="30"/>
        <v>110</v>
      </c>
      <c r="L440" s="62" t="str">
        <f t="shared" si="31"/>
        <v/>
      </c>
      <c r="M440" s="63"/>
    </row>
    <row r="441" spans="2:13" s="46" customFormat="1" ht="15">
      <c r="B441" s="534">
        <f t="shared" si="28"/>
        <v>436</v>
      </c>
      <c r="C441" s="56" t="s">
        <v>2262</v>
      </c>
      <c r="D441" s="56" t="s">
        <v>2711</v>
      </c>
      <c r="E441" s="57" t="s">
        <v>2712</v>
      </c>
      <c r="F441" s="64" t="s">
        <v>2271</v>
      </c>
      <c r="G441" s="59">
        <v>45479</v>
      </c>
      <c r="H441" s="57" t="s">
        <v>49</v>
      </c>
      <c r="I441" s="62">
        <f t="shared" si="29"/>
        <v>20.000000000000028</v>
      </c>
      <c r="J441" s="63">
        <v>220</v>
      </c>
      <c r="K441" s="63">
        <f t="shared" si="30"/>
        <v>220</v>
      </c>
      <c r="L441" s="62" t="str">
        <f t="shared" si="31"/>
        <v/>
      </c>
      <c r="M441" s="63"/>
    </row>
    <row r="442" spans="2:13" s="46" customFormat="1" ht="15">
      <c r="B442" s="534">
        <f t="shared" si="28"/>
        <v>437</v>
      </c>
      <c r="C442" s="56" t="s">
        <v>2262</v>
      </c>
      <c r="D442" s="56" t="s">
        <v>2713</v>
      </c>
      <c r="E442" s="57" t="s">
        <v>2714</v>
      </c>
      <c r="F442" s="58" t="s">
        <v>2377</v>
      </c>
      <c r="G442" s="59">
        <v>45480</v>
      </c>
      <c r="H442" s="57" t="s">
        <v>129</v>
      </c>
      <c r="I442" s="62">
        <f t="shared" si="29"/>
        <v>38.909090909090935</v>
      </c>
      <c r="J442" s="63">
        <v>428</v>
      </c>
      <c r="K442" s="63">
        <f t="shared" si="30"/>
        <v>428</v>
      </c>
      <c r="L442" s="62" t="str">
        <f t="shared" si="31"/>
        <v/>
      </c>
      <c r="M442" s="63"/>
    </row>
    <row r="443" spans="2:13" s="46" customFormat="1" ht="15">
      <c r="B443" s="534">
        <f t="shared" si="28"/>
        <v>438</v>
      </c>
      <c r="C443" s="56" t="s">
        <v>2262</v>
      </c>
      <c r="D443" s="56" t="s">
        <v>2315</v>
      </c>
      <c r="E443" s="57" t="s">
        <v>2315</v>
      </c>
      <c r="F443" s="58" t="s">
        <v>2299</v>
      </c>
      <c r="G443" s="59">
        <v>45480</v>
      </c>
      <c r="H443" s="57" t="s">
        <v>2715</v>
      </c>
      <c r="I443" s="62">
        <f t="shared" si="29"/>
        <v>10.000000000000014</v>
      </c>
      <c r="J443" s="63">
        <v>110</v>
      </c>
      <c r="K443" s="63">
        <f t="shared" si="30"/>
        <v>110</v>
      </c>
      <c r="L443" s="62" t="str">
        <f t="shared" si="31"/>
        <v/>
      </c>
      <c r="M443" s="63"/>
    </row>
    <row r="444" spans="2:13" s="46" customFormat="1" ht="15">
      <c r="B444" s="534">
        <f t="shared" si="28"/>
        <v>439</v>
      </c>
      <c r="C444" s="56" t="s">
        <v>2262</v>
      </c>
      <c r="D444" s="56" t="s">
        <v>2276</v>
      </c>
      <c r="E444" s="57" t="s">
        <v>2475</v>
      </c>
      <c r="F444" s="58" t="s">
        <v>2424</v>
      </c>
      <c r="G444" s="59">
        <v>45483</v>
      </c>
      <c r="H444" s="57" t="s">
        <v>2307</v>
      </c>
      <c r="I444" s="62">
        <f t="shared" si="29"/>
        <v>313.63636363636397</v>
      </c>
      <c r="J444" s="63">
        <v>3450</v>
      </c>
      <c r="K444" s="63">
        <f t="shared" si="30"/>
        <v>3450</v>
      </c>
      <c r="L444" s="62" t="str">
        <f t="shared" si="31"/>
        <v/>
      </c>
      <c r="M444" s="63"/>
    </row>
    <row r="445" spans="2:13" s="46" customFormat="1" ht="15">
      <c r="B445" s="534">
        <f t="shared" si="28"/>
        <v>440</v>
      </c>
      <c r="C445" s="56" t="s">
        <v>2262</v>
      </c>
      <c r="D445" s="56" t="s">
        <v>2346</v>
      </c>
      <c r="E445" s="56" t="s">
        <v>2716</v>
      </c>
      <c r="F445" s="64" t="s">
        <v>2271</v>
      </c>
      <c r="G445" s="59">
        <v>45486</v>
      </c>
      <c r="H445" s="57" t="s">
        <v>45</v>
      </c>
      <c r="I445" s="62">
        <f t="shared" si="29"/>
        <v>20.000000000000028</v>
      </c>
      <c r="J445" s="63">
        <v>220</v>
      </c>
      <c r="K445" s="63">
        <f t="shared" si="30"/>
        <v>220</v>
      </c>
      <c r="L445" s="62" t="str">
        <f t="shared" si="31"/>
        <v/>
      </c>
      <c r="M445" s="63"/>
    </row>
    <row r="446" spans="2:13" s="46" customFormat="1" ht="15">
      <c r="B446" s="534">
        <f t="shared" si="28"/>
        <v>441</v>
      </c>
      <c r="C446" s="56" t="s">
        <v>2262</v>
      </c>
      <c r="D446" s="56" t="s">
        <v>2361</v>
      </c>
      <c r="E446" s="57" t="s">
        <v>2362</v>
      </c>
      <c r="F446" s="58"/>
      <c r="G446" s="59">
        <v>45490</v>
      </c>
      <c r="H446" s="57" t="s">
        <v>2307</v>
      </c>
      <c r="I446" s="62">
        <f t="shared" si="29"/>
        <v>1042.7272727272739</v>
      </c>
      <c r="J446" s="63">
        <v>11470</v>
      </c>
      <c r="K446" s="63">
        <f t="shared" si="30"/>
        <v>11470</v>
      </c>
      <c r="L446" s="62" t="str">
        <f t="shared" si="31"/>
        <v/>
      </c>
      <c r="M446" s="63"/>
    </row>
    <row r="447" spans="2:13" s="46" customFormat="1" ht="15">
      <c r="B447" s="534">
        <f t="shared" si="28"/>
        <v>442</v>
      </c>
      <c r="C447" s="56" t="s">
        <v>2262</v>
      </c>
      <c r="D447" s="56" t="s">
        <v>2717</v>
      </c>
      <c r="E447" s="57" t="s">
        <v>2718</v>
      </c>
      <c r="F447" s="58"/>
      <c r="G447" s="59">
        <v>45490</v>
      </c>
      <c r="H447" s="57" t="s">
        <v>2307</v>
      </c>
      <c r="I447" s="62">
        <f t="shared" si="29"/>
        <v>129.09090909090924</v>
      </c>
      <c r="J447" s="63">
        <v>1420</v>
      </c>
      <c r="K447" s="63">
        <f t="shared" si="30"/>
        <v>1420</v>
      </c>
      <c r="L447" s="62" t="str">
        <f t="shared" si="31"/>
        <v/>
      </c>
      <c r="M447" s="63"/>
    </row>
    <row r="448" spans="2:13" s="46" customFormat="1" ht="15">
      <c r="B448" s="534">
        <f t="shared" si="28"/>
        <v>443</v>
      </c>
      <c r="C448" s="56" t="s">
        <v>2262</v>
      </c>
      <c r="D448" s="56" t="s">
        <v>2717</v>
      </c>
      <c r="E448" s="57" t="s">
        <v>2719</v>
      </c>
      <c r="F448" s="58" t="s">
        <v>2271</v>
      </c>
      <c r="G448" s="59">
        <v>45490</v>
      </c>
      <c r="H448" s="57" t="s">
        <v>2307</v>
      </c>
      <c r="I448" s="62">
        <f t="shared" si="29"/>
        <v>229.09090909090946</v>
      </c>
      <c r="J448" s="63">
        <v>2520</v>
      </c>
      <c r="K448" s="63">
        <f t="shared" si="30"/>
        <v>2520</v>
      </c>
      <c r="L448" s="62" t="str">
        <f t="shared" si="31"/>
        <v/>
      </c>
      <c r="M448" s="63"/>
    </row>
    <row r="449" spans="2:13" s="46" customFormat="1" ht="15">
      <c r="B449" s="534">
        <f t="shared" si="28"/>
        <v>444</v>
      </c>
      <c r="C449" s="56" t="s">
        <v>2262</v>
      </c>
      <c r="D449" s="56" t="s">
        <v>2720</v>
      </c>
      <c r="E449" s="57" t="s">
        <v>2721</v>
      </c>
      <c r="F449" s="58"/>
      <c r="G449" s="59">
        <v>45490</v>
      </c>
      <c r="H449" s="57" t="s">
        <v>2307</v>
      </c>
      <c r="I449" s="62">
        <f t="shared" si="29"/>
        <v>178.09090909090924</v>
      </c>
      <c r="J449" s="63">
        <v>1959</v>
      </c>
      <c r="K449" s="63">
        <f t="shared" si="30"/>
        <v>1959</v>
      </c>
      <c r="L449" s="62" t="str">
        <f t="shared" si="31"/>
        <v/>
      </c>
      <c r="M449" s="63"/>
    </row>
    <row r="450" spans="2:13" s="46" customFormat="1" ht="15">
      <c r="B450" s="534">
        <f t="shared" si="28"/>
        <v>445</v>
      </c>
      <c r="C450" s="56" t="s">
        <v>2281</v>
      </c>
      <c r="D450" s="56" t="s">
        <v>2282</v>
      </c>
      <c r="E450" s="57"/>
      <c r="F450" s="64"/>
      <c r="G450" s="59">
        <v>45495</v>
      </c>
      <c r="H450" s="57" t="s">
        <v>2297</v>
      </c>
      <c r="I450" s="62">
        <f t="shared" si="29"/>
        <v>31.81818181818187</v>
      </c>
      <c r="J450" s="63">
        <v>350</v>
      </c>
      <c r="K450" s="63">
        <f t="shared" si="30"/>
        <v>350</v>
      </c>
      <c r="L450" s="62" t="str">
        <f t="shared" si="31"/>
        <v/>
      </c>
      <c r="M450" s="63"/>
    </row>
    <row r="451" spans="2:13" s="46" customFormat="1" ht="15">
      <c r="B451" s="534">
        <f t="shared" si="28"/>
        <v>446</v>
      </c>
      <c r="C451" s="56" t="s">
        <v>2262</v>
      </c>
      <c r="D451" s="56" t="s">
        <v>2266</v>
      </c>
      <c r="E451" s="57" t="s">
        <v>3366</v>
      </c>
      <c r="F451" s="64" t="s">
        <v>2299</v>
      </c>
      <c r="G451" s="59">
        <v>45495</v>
      </c>
      <c r="H451" s="57" t="s">
        <v>2297</v>
      </c>
      <c r="I451" s="62">
        <f t="shared" si="29"/>
        <v>18.181818181818187</v>
      </c>
      <c r="J451" s="63">
        <v>200</v>
      </c>
      <c r="K451" s="63">
        <f t="shared" si="30"/>
        <v>200</v>
      </c>
      <c r="L451" s="62" t="str">
        <f t="shared" si="31"/>
        <v/>
      </c>
      <c r="M451" s="63"/>
    </row>
    <row r="452" spans="2:13" s="46" customFormat="1" ht="15">
      <c r="B452" s="534">
        <f t="shared" si="28"/>
        <v>447</v>
      </c>
      <c r="C452" s="56" t="s">
        <v>2262</v>
      </c>
      <c r="D452" s="56" t="s">
        <v>2266</v>
      </c>
      <c r="E452" s="57" t="s">
        <v>3368</v>
      </c>
      <c r="F452" s="64" t="s">
        <v>2299</v>
      </c>
      <c r="G452" s="59">
        <v>45495</v>
      </c>
      <c r="H452" s="57" t="s">
        <v>2297</v>
      </c>
      <c r="I452" s="62">
        <f t="shared" si="29"/>
        <v>22.727272727272748</v>
      </c>
      <c r="J452" s="63">
        <v>250</v>
      </c>
      <c r="K452" s="63">
        <f t="shared" si="30"/>
        <v>250</v>
      </c>
      <c r="L452" s="62" t="str">
        <f t="shared" si="31"/>
        <v/>
      </c>
      <c r="M452" s="63"/>
    </row>
    <row r="453" spans="2:13" s="46" customFormat="1" ht="15">
      <c r="B453" s="534">
        <f t="shared" si="28"/>
        <v>448</v>
      </c>
      <c r="C453" s="56" t="s">
        <v>2262</v>
      </c>
      <c r="D453" s="56" t="s">
        <v>2266</v>
      </c>
      <c r="E453" s="57" t="s">
        <v>2298</v>
      </c>
      <c r="F453" s="64" t="s">
        <v>2299</v>
      </c>
      <c r="G453" s="59">
        <v>45495</v>
      </c>
      <c r="H453" s="57" t="s">
        <v>2297</v>
      </c>
      <c r="I453" s="62">
        <f t="shared" si="29"/>
        <v>30</v>
      </c>
      <c r="J453" s="63">
        <v>330</v>
      </c>
      <c r="K453" s="63">
        <f t="shared" si="30"/>
        <v>330</v>
      </c>
      <c r="L453" s="62" t="str">
        <f t="shared" si="31"/>
        <v/>
      </c>
      <c r="M453" s="63"/>
    </row>
    <row r="454" spans="2:13" s="46" customFormat="1" ht="15">
      <c r="B454" s="534">
        <f t="shared" si="28"/>
        <v>449</v>
      </c>
      <c r="C454" s="56" t="s">
        <v>2262</v>
      </c>
      <c r="D454" s="56" t="s">
        <v>2266</v>
      </c>
      <c r="E454" s="57" t="s">
        <v>2722</v>
      </c>
      <c r="F454" s="58"/>
      <c r="G454" s="59">
        <v>45497</v>
      </c>
      <c r="H454" s="57" t="s">
        <v>27</v>
      </c>
      <c r="I454" s="62">
        <f t="shared" si="29"/>
        <v>93.63636363636374</v>
      </c>
      <c r="J454" s="63">
        <v>1030</v>
      </c>
      <c r="K454" s="63">
        <f t="shared" si="30"/>
        <v>1030</v>
      </c>
      <c r="L454" s="62" t="str">
        <f t="shared" si="31"/>
        <v/>
      </c>
      <c r="M454" s="63"/>
    </row>
    <row r="455" spans="2:13" s="46" customFormat="1" ht="15">
      <c r="B455" s="534">
        <f t="shared" si="28"/>
        <v>450</v>
      </c>
      <c r="C455" s="56" t="s">
        <v>2262</v>
      </c>
      <c r="D455" s="56" t="s">
        <v>2723</v>
      </c>
      <c r="E455" s="56" t="s">
        <v>2724</v>
      </c>
      <c r="F455" s="64"/>
      <c r="G455" s="59">
        <v>45501</v>
      </c>
      <c r="H455" s="57" t="s">
        <v>45</v>
      </c>
      <c r="I455" s="62">
        <f t="shared" si="29"/>
        <v>10.000000000000014</v>
      </c>
      <c r="J455" s="63">
        <v>110</v>
      </c>
      <c r="K455" s="63">
        <f t="shared" si="30"/>
        <v>110</v>
      </c>
      <c r="L455" s="62" t="str">
        <f t="shared" si="31"/>
        <v/>
      </c>
      <c r="M455" s="63"/>
    </row>
    <row r="456" spans="2:13" s="46" customFormat="1" ht="15">
      <c r="B456" s="534">
        <f t="shared" si="28"/>
        <v>451</v>
      </c>
      <c r="C456" s="56" t="s">
        <v>2262</v>
      </c>
      <c r="D456" s="56" t="s">
        <v>2725</v>
      </c>
      <c r="E456" s="57" t="s">
        <v>2726</v>
      </c>
      <c r="F456" s="64"/>
      <c r="G456" s="59">
        <v>45501</v>
      </c>
      <c r="H456" s="57" t="s">
        <v>45</v>
      </c>
      <c r="I456" s="62">
        <f t="shared" si="29"/>
        <v>10.000000000000014</v>
      </c>
      <c r="J456" s="63">
        <v>110</v>
      </c>
      <c r="K456" s="63">
        <f t="shared" si="30"/>
        <v>110</v>
      </c>
      <c r="L456" s="62" t="str">
        <f t="shared" si="31"/>
        <v/>
      </c>
      <c r="M456" s="63"/>
    </row>
    <row r="457" spans="2:13" s="46" customFormat="1" ht="15">
      <c r="B457" s="534">
        <f t="shared" si="28"/>
        <v>452</v>
      </c>
      <c r="C457" s="56" t="s">
        <v>2262</v>
      </c>
      <c r="D457" s="56" t="s">
        <v>2727</v>
      </c>
      <c r="E457" s="57" t="s">
        <v>2728</v>
      </c>
      <c r="F457" s="58"/>
      <c r="G457" s="59">
        <v>45501</v>
      </c>
      <c r="H457" s="57" t="s">
        <v>129</v>
      </c>
      <c r="I457" s="62">
        <f t="shared" si="29"/>
        <v>99.727272727272862</v>
      </c>
      <c r="J457" s="63">
        <v>1097</v>
      </c>
      <c r="K457" s="63">
        <f t="shared" si="30"/>
        <v>1097</v>
      </c>
      <c r="L457" s="62" t="str">
        <f t="shared" si="31"/>
        <v/>
      </c>
      <c r="M457" s="63"/>
    </row>
    <row r="458" spans="2:13" s="46" customFormat="1" ht="15">
      <c r="B458" s="534">
        <f t="shared" si="28"/>
        <v>453</v>
      </c>
      <c r="C458" s="56" t="s">
        <v>2262</v>
      </c>
      <c r="D458" s="56" t="s">
        <v>2315</v>
      </c>
      <c r="E458" s="57" t="s">
        <v>2315</v>
      </c>
      <c r="F458" s="58" t="s">
        <v>2299</v>
      </c>
      <c r="G458" s="59">
        <v>45501</v>
      </c>
      <c r="H458" s="57" t="s">
        <v>2715</v>
      </c>
      <c r="I458" s="62">
        <f t="shared" si="29"/>
        <v>10.000000000000014</v>
      </c>
      <c r="J458" s="63">
        <v>110</v>
      </c>
      <c r="K458" s="63">
        <f t="shared" si="30"/>
        <v>110</v>
      </c>
      <c r="L458" s="62" t="str">
        <f t="shared" si="31"/>
        <v/>
      </c>
      <c r="M458" s="63"/>
    </row>
    <row r="459" spans="2:13" s="46" customFormat="1" ht="15">
      <c r="B459" s="534">
        <f t="shared" si="28"/>
        <v>454</v>
      </c>
      <c r="C459" s="56" t="s">
        <v>2262</v>
      </c>
      <c r="D459" s="56" t="s">
        <v>2729</v>
      </c>
      <c r="E459" s="57" t="s">
        <v>2730</v>
      </c>
      <c r="F459" s="64"/>
      <c r="G459" s="59">
        <v>45521</v>
      </c>
      <c r="H459" s="57" t="s">
        <v>49</v>
      </c>
      <c r="I459" s="62">
        <f t="shared" si="29"/>
        <v>10.000000000000014</v>
      </c>
      <c r="J459" s="63">
        <v>110</v>
      </c>
      <c r="K459" s="63">
        <f t="shared" si="30"/>
        <v>110</v>
      </c>
      <c r="L459" s="62" t="str">
        <f t="shared" si="31"/>
        <v/>
      </c>
      <c r="M459" s="63"/>
    </row>
    <row r="460" spans="2:13" s="46" customFormat="1" ht="15">
      <c r="B460" s="534">
        <f t="shared" ref="B460:B523" si="32">ROW()-5</f>
        <v>455</v>
      </c>
      <c r="C460" s="56" t="s">
        <v>2262</v>
      </c>
      <c r="D460" s="56" t="s">
        <v>2729</v>
      </c>
      <c r="E460" s="57" t="s">
        <v>2731</v>
      </c>
      <c r="F460" s="64"/>
      <c r="G460" s="59">
        <v>45521</v>
      </c>
      <c r="H460" s="57" t="s">
        <v>49</v>
      </c>
      <c r="I460" s="62">
        <f t="shared" ref="I460:I523" si="33">IF(J460&lt;&gt;"",J460-J460/1.1,"")</f>
        <v>10.000000000000014</v>
      </c>
      <c r="J460" s="63">
        <v>110</v>
      </c>
      <c r="K460" s="63">
        <f t="shared" ref="K460:K523" si="34">IF(N460="",J460,0)</f>
        <v>110</v>
      </c>
      <c r="L460" s="62" t="str">
        <f t="shared" ref="L460:L523" si="35">IF(M460&lt;&gt;"",M460-M460/1.1,"")</f>
        <v/>
      </c>
      <c r="M460" s="63"/>
    </row>
    <row r="461" spans="2:13" s="46" customFormat="1" ht="15">
      <c r="B461" s="534">
        <f t="shared" si="32"/>
        <v>456</v>
      </c>
      <c r="C461" s="56" t="s">
        <v>2262</v>
      </c>
      <c r="D461" s="56" t="s">
        <v>2397</v>
      </c>
      <c r="E461" s="57" t="s">
        <v>2398</v>
      </c>
      <c r="F461" s="64"/>
      <c r="G461" s="59">
        <v>45521</v>
      </c>
      <c r="H461" s="57" t="s">
        <v>49</v>
      </c>
      <c r="I461" s="62">
        <f t="shared" si="33"/>
        <v>10.000000000000014</v>
      </c>
      <c r="J461" s="63">
        <v>110</v>
      </c>
      <c r="K461" s="63">
        <f t="shared" si="34"/>
        <v>110</v>
      </c>
      <c r="L461" s="62" t="str">
        <f t="shared" si="35"/>
        <v/>
      </c>
      <c r="M461" s="63"/>
    </row>
    <row r="462" spans="2:13" s="46" customFormat="1" ht="15">
      <c r="B462" s="534">
        <f t="shared" si="32"/>
        <v>457</v>
      </c>
      <c r="C462" s="56" t="s">
        <v>2262</v>
      </c>
      <c r="D462" s="56" t="s">
        <v>2321</v>
      </c>
      <c r="E462" s="57" t="s">
        <v>2322</v>
      </c>
      <c r="F462" s="64"/>
      <c r="G462" s="59">
        <v>45521</v>
      </c>
      <c r="H462" s="57" t="s">
        <v>49</v>
      </c>
      <c r="I462" s="62">
        <f t="shared" si="33"/>
        <v>10.000000000000014</v>
      </c>
      <c r="J462" s="63">
        <v>110</v>
      </c>
      <c r="K462" s="63">
        <f t="shared" si="34"/>
        <v>110</v>
      </c>
      <c r="L462" s="62" t="str">
        <f t="shared" si="35"/>
        <v/>
      </c>
      <c r="M462" s="63"/>
    </row>
    <row r="463" spans="2:13" s="46" customFormat="1" ht="15">
      <c r="B463" s="534">
        <f t="shared" si="32"/>
        <v>458</v>
      </c>
      <c r="C463" s="56" t="s">
        <v>2342</v>
      </c>
      <c r="D463" s="56" t="s">
        <v>2693</v>
      </c>
      <c r="E463" s="57" t="s">
        <v>2694</v>
      </c>
      <c r="F463" s="64">
        <v>159</v>
      </c>
      <c r="G463" s="59">
        <v>45530</v>
      </c>
      <c r="H463" s="57" t="s">
        <v>2695</v>
      </c>
      <c r="I463" s="62">
        <f t="shared" si="33"/>
        <v>19.090909090909093</v>
      </c>
      <c r="J463" s="63">
        <f>IF(F463&lt;=150,170,IF(F463&lt;=200,210,IF(F463&lt;=250,240,290)))</f>
        <v>210</v>
      </c>
      <c r="K463" s="63">
        <f t="shared" si="34"/>
        <v>210</v>
      </c>
      <c r="L463" s="62" t="str">
        <f t="shared" si="35"/>
        <v/>
      </c>
      <c r="M463" s="63"/>
    </row>
    <row r="464" spans="2:13" s="46" customFormat="1" ht="15">
      <c r="B464" s="534">
        <f t="shared" si="32"/>
        <v>459</v>
      </c>
      <c r="C464" s="56" t="s">
        <v>2342</v>
      </c>
      <c r="D464" s="56" t="s">
        <v>2693</v>
      </c>
      <c r="E464" s="57" t="s">
        <v>2694</v>
      </c>
      <c r="F464" s="64">
        <v>159</v>
      </c>
      <c r="G464" s="59">
        <v>45530</v>
      </c>
      <c r="H464" s="57" t="s">
        <v>2695</v>
      </c>
      <c r="I464" s="62">
        <f t="shared" si="33"/>
        <v>19.090909090909093</v>
      </c>
      <c r="J464" s="63">
        <f>IF(F464&lt;=150,170,IF(F464&lt;=200,210,IF(F464&lt;=250,240,290)))</f>
        <v>210</v>
      </c>
      <c r="K464" s="63">
        <f t="shared" si="34"/>
        <v>210</v>
      </c>
      <c r="L464" s="62" t="str">
        <f t="shared" si="35"/>
        <v/>
      </c>
      <c r="M464" s="63"/>
    </row>
    <row r="465" spans="2:13" s="46" customFormat="1" ht="15">
      <c r="B465" s="534">
        <f t="shared" si="32"/>
        <v>460</v>
      </c>
      <c r="C465" s="69" t="s">
        <v>2670</v>
      </c>
      <c r="D465" s="69" t="s">
        <v>2282</v>
      </c>
      <c r="E465" s="70" t="str">
        <f>VLOOKUP(F465,購入者リスト!B:F,4,FALSE)</f>
        <v>多肉 七福神入り 7種セット A 抜き苗</v>
      </c>
      <c r="F465" s="69">
        <v>5</v>
      </c>
      <c r="G465" s="71" t="str">
        <f>VLOOKUP(F465,購入者リスト!B:M,12,FALSE)</f>
        <v>24/08/29</v>
      </c>
      <c r="H465" s="70" t="s">
        <v>27</v>
      </c>
      <c r="I465" s="73" t="str">
        <f t="shared" si="33"/>
        <v/>
      </c>
      <c r="J465" s="74"/>
      <c r="K465" s="74">
        <f t="shared" si="34"/>
        <v>0</v>
      </c>
      <c r="L465" s="73">
        <f t="shared" si="35"/>
        <v>90.909090909090992</v>
      </c>
      <c r="M465" s="74">
        <f>VLOOKUP(F465,購入者リスト!B:F,5,FALSE)</f>
        <v>1000</v>
      </c>
    </row>
    <row r="466" spans="2:13" s="46" customFormat="1" ht="15">
      <c r="B466" s="534">
        <f t="shared" si="32"/>
        <v>461</v>
      </c>
      <c r="C466" s="69" t="s">
        <v>2671</v>
      </c>
      <c r="D466" s="69" t="s">
        <v>2672</v>
      </c>
      <c r="E466" s="70" t="s">
        <v>2673</v>
      </c>
      <c r="F466" s="72"/>
      <c r="G466" s="71" t="str">
        <f>G465</f>
        <v>24/08/29</v>
      </c>
      <c r="H466" s="70" t="s">
        <v>27</v>
      </c>
      <c r="I466" s="73">
        <f t="shared" si="33"/>
        <v>9.0909090909090935</v>
      </c>
      <c r="J466" s="74">
        <f>M465*0.1</f>
        <v>100</v>
      </c>
      <c r="K466" s="74">
        <f t="shared" si="34"/>
        <v>100</v>
      </c>
      <c r="L466" s="73" t="str">
        <f t="shared" si="35"/>
        <v/>
      </c>
      <c r="M466" s="74"/>
    </row>
    <row r="467" spans="2:13" s="46" customFormat="1" ht="15">
      <c r="B467" s="534">
        <f t="shared" si="32"/>
        <v>462</v>
      </c>
      <c r="C467" s="69" t="s">
        <v>2670</v>
      </c>
      <c r="D467" s="69" t="s">
        <v>2282</v>
      </c>
      <c r="E467" s="70" t="str">
        <f>VLOOKUP(F467,購入者リスト!B:F,4,FALSE)</f>
        <v>多肉 七福神入り 7種セット B 抜き苗</v>
      </c>
      <c r="F467" s="69">
        <v>6</v>
      </c>
      <c r="G467" s="71" t="str">
        <f>VLOOKUP(F467,購入者リスト!B:M,12,FALSE)</f>
        <v>24/09/02</v>
      </c>
      <c r="H467" s="70" t="s">
        <v>27</v>
      </c>
      <c r="I467" s="73" t="str">
        <f t="shared" si="33"/>
        <v/>
      </c>
      <c r="J467" s="74"/>
      <c r="K467" s="74">
        <f t="shared" si="34"/>
        <v>0</v>
      </c>
      <c r="L467" s="73">
        <f t="shared" si="35"/>
        <v>90.909090909090992</v>
      </c>
      <c r="M467" s="74">
        <f>VLOOKUP(F467,購入者リスト!B:F,5,FALSE)</f>
        <v>1000</v>
      </c>
    </row>
    <row r="468" spans="2:13" s="46" customFormat="1" ht="15">
      <c r="B468" s="534">
        <f t="shared" si="32"/>
        <v>463</v>
      </c>
      <c r="C468" s="69" t="s">
        <v>2671</v>
      </c>
      <c r="D468" s="69" t="s">
        <v>2672</v>
      </c>
      <c r="E468" s="70" t="s">
        <v>2673</v>
      </c>
      <c r="F468" s="72"/>
      <c r="G468" s="71" t="str">
        <f>G467</f>
        <v>24/09/02</v>
      </c>
      <c r="H468" s="70" t="s">
        <v>27</v>
      </c>
      <c r="I468" s="73">
        <f t="shared" si="33"/>
        <v>9.0909090909090935</v>
      </c>
      <c r="J468" s="74">
        <f>M467*0.1</f>
        <v>100</v>
      </c>
      <c r="K468" s="74">
        <f t="shared" si="34"/>
        <v>100</v>
      </c>
      <c r="L468" s="73" t="str">
        <f t="shared" si="35"/>
        <v/>
      </c>
      <c r="M468" s="74"/>
    </row>
    <row r="469" spans="2:13" s="46" customFormat="1" ht="15">
      <c r="B469" s="534">
        <f t="shared" si="32"/>
        <v>464</v>
      </c>
      <c r="C469" s="56" t="s">
        <v>2342</v>
      </c>
      <c r="D469" s="56" t="s">
        <v>2693</v>
      </c>
      <c r="E469" s="57" t="s">
        <v>2694</v>
      </c>
      <c r="F469" s="64">
        <v>214</v>
      </c>
      <c r="G469" s="59">
        <v>45543</v>
      </c>
      <c r="H469" s="57" t="s">
        <v>2695</v>
      </c>
      <c r="I469" s="62">
        <f t="shared" si="33"/>
        <v>21.818181818181841</v>
      </c>
      <c r="J469" s="63">
        <f>IF(F469&lt;=150,170,IF(F469&lt;=200,210,IF(F469&lt;=250,240,290)))</f>
        <v>240</v>
      </c>
      <c r="K469" s="63">
        <f t="shared" si="34"/>
        <v>240</v>
      </c>
      <c r="L469" s="62" t="str">
        <f t="shared" si="35"/>
        <v/>
      </c>
      <c r="M469" s="63"/>
    </row>
    <row r="470" spans="2:13" s="46" customFormat="1" ht="15">
      <c r="B470" s="534">
        <f t="shared" si="32"/>
        <v>465</v>
      </c>
      <c r="C470" s="56" t="s">
        <v>2342</v>
      </c>
      <c r="D470" s="56" t="s">
        <v>2693</v>
      </c>
      <c r="E470" s="57" t="s">
        <v>2694</v>
      </c>
      <c r="F470" s="64">
        <v>219</v>
      </c>
      <c r="G470" s="59">
        <v>45543</v>
      </c>
      <c r="H470" s="57" t="s">
        <v>2695</v>
      </c>
      <c r="I470" s="62">
        <f t="shared" si="33"/>
        <v>21.818181818181841</v>
      </c>
      <c r="J470" s="63">
        <f>IF(F470&lt;=150,170,IF(F470&lt;=200,210,IF(F470&lt;=250,240,290)))</f>
        <v>240</v>
      </c>
      <c r="K470" s="63">
        <f t="shared" si="34"/>
        <v>240</v>
      </c>
      <c r="L470" s="62" t="str">
        <f t="shared" si="35"/>
        <v/>
      </c>
      <c r="M470" s="63"/>
    </row>
    <row r="471" spans="2:13" s="46" customFormat="1" ht="15">
      <c r="B471" s="534">
        <f t="shared" si="32"/>
        <v>466</v>
      </c>
      <c r="C471" s="56" t="s">
        <v>2342</v>
      </c>
      <c r="D471" s="56" t="s">
        <v>2693</v>
      </c>
      <c r="E471" s="57" t="s">
        <v>2694</v>
      </c>
      <c r="F471" s="64">
        <v>237.5</v>
      </c>
      <c r="G471" s="59">
        <v>45543</v>
      </c>
      <c r="H471" s="57" t="s">
        <v>2695</v>
      </c>
      <c r="I471" s="62">
        <f t="shared" si="33"/>
        <v>21.818181818181841</v>
      </c>
      <c r="J471" s="63">
        <f>IF(F471&lt;=150,170,IF(F471&lt;=200,210,IF(F471&lt;=250,240,290)))</f>
        <v>240</v>
      </c>
      <c r="K471" s="63">
        <f t="shared" si="34"/>
        <v>240</v>
      </c>
      <c r="L471" s="62" t="str">
        <f t="shared" si="35"/>
        <v/>
      </c>
      <c r="M471" s="63"/>
    </row>
    <row r="472" spans="2:13" s="46" customFormat="1" ht="15">
      <c r="B472" s="534">
        <f t="shared" si="32"/>
        <v>467</v>
      </c>
      <c r="C472" s="56" t="s">
        <v>2262</v>
      </c>
      <c r="D472" s="56" t="s">
        <v>2276</v>
      </c>
      <c r="E472" s="57" t="s">
        <v>2732</v>
      </c>
      <c r="F472" s="58" t="s">
        <v>2271</v>
      </c>
      <c r="G472" s="59">
        <v>45547</v>
      </c>
      <c r="H472" s="57" t="s">
        <v>129</v>
      </c>
      <c r="I472" s="62">
        <f t="shared" si="33"/>
        <v>119.4545454545455</v>
      </c>
      <c r="J472" s="63">
        <v>1314</v>
      </c>
      <c r="K472" s="63">
        <f t="shared" si="34"/>
        <v>1314</v>
      </c>
      <c r="L472" s="62" t="str">
        <f t="shared" si="35"/>
        <v/>
      </c>
      <c r="M472" s="63"/>
    </row>
    <row r="473" spans="2:13" s="46" customFormat="1" ht="15">
      <c r="B473" s="534">
        <f t="shared" si="32"/>
        <v>468</v>
      </c>
      <c r="C473" s="56" t="s">
        <v>2262</v>
      </c>
      <c r="D473" s="56" t="s">
        <v>2266</v>
      </c>
      <c r="E473" s="57" t="s">
        <v>2314</v>
      </c>
      <c r="F473" s="58" t="s">
        <v>2304</v>
      </c>
      <c r="G473" s="59">
        <v>45547</v>
      </c>
      <c r="H473" s="57" t="s">
        <v>598</v>
      </c>
      <c r="I473" s="62">
        <f t="shared" si="33"/>
        <v>45.81818181818187</v>
      </c>
      <c r="J473" s="63">
        <v>504</v>
      </c>
      <c r="K473" s="63">
        <f t="shared" si="34"/>
        <v>504</v>
      </c>
      <c r="L473" s="62" t="str">
        <f t="shared" si="35"/>
        <v/>
      </c>
      <c r="M473" s="63"/>
    </row>
    <row r="474" spans="2:13" s="46" customFormat="1" ht="15">
      <c r="B474" s="534">
        <f t="shared" si="32"/>
        <v>469</v>
      </c>
      <c r="C474" s="56" t="s">
        <v>2262</v>
      </c>
      <c r="D474" s="56" t="s">
        <v>2276</v>
      </c>
      <c r="E474" s="57" t="s">
        <v>2733</v>
      </c>
      <c r="F474" s="58"/>
      <c r="G474" s="59">
        <v>45547</v>
      </c>
      <c r="H474" s="57" t="s">
        <v>598</v>
      </c>
      <c r="I474" s="62">
        <f t="shared" si="33"/>
        <v>143.63636363636374</v>
      </c>
      <c r="J474" s="63">
        <v>1580</v>
      </c>
      <c r="K474" s="63">
        <f t="shared" si="34"/>
        <v>1580</v>
      </c>
      <c r="L474" s="62" t="str">
        <f t="shared" si="35"/>
        <v/>
      </c>
      <c r="M474" s="63"/>
    </row>
    <row r="475" spans="2:13" s="46" customFormat="1" ht="15">
      <c r="B475" s="534">
        <f t="shared" si="32"/>
        <v>470</v>
      </c>
      <c r="C475" s="56" t="s">
        <v>2273</v>
      </c>
      <c r="D475" s="56" t="s">
        <v>2274</v>
      </c>
      <c r="E475" s="57" t="s">
        <v>2734</v>
      </c>
      <c r="F475" s="58"/>
      <c r="G475" s="59">
        <v>45547</v>
      </c>
      <c r="H475" s="57" t="s">
        <v>598</v>
      </c>
      <c r="I475" s="62">
        <f t="shared" si="33"/>
        <v>134.54545454545473</v>
      </c>
      <c r="J475" s="63">
        <v>1480</v>
      </c>
      <c r="K475" s="63">
        <f t="shared" si="34"/>
        <v>1480</v>
      </c>
      <c r="L475" s="62" t="str">
        <f t="shared" si="35"/>
        <v/>
      </c>
      <c r="M475" s="63"/>
    </row>
    <row r="476" spans="2:13" s="46" customFormat="1" ht="15">
      <c r="B476" s="534">
        <f t="shared" si="32"/>
        <v>471</v>
      </c>
      <c r="C476" s="56" t="s">
        <v>2273</v>
      </c>
      <c r="D476" s="56" t="s">
        <v>2274</v>
      </c>
      <c r="E476" s="57" t="s">
        <v>2735</v>
      </c>
      <c r="F476" s="58"/>
      <c r="G476" s="59">
        <v>45547</v>
      </c>
      <c r="H476" s="57" t="s">
        <v>598</v>
      </c>
      <c r="I476" s="62">
        <f t="shared" si="33"/>
        <v>152.72727272727275</v>
      </c>
      <c r="J476" s="63">
        <v>1680</v>
      </c>
      <c r="K476" s="63">
        <f t="shared" si="34"/>
        <v>1680</v>
      </c>
      <c r="L476" s="62" t="str">
        <f t="shared" si="35"/>
        <v/>
      </c>
      <c r="M476" s="63"/>
    </row>
    <row r="477" spans="2:13" s="46" customFormat="1" ht="15">
      <c r="B477" s="534">
        <f t="shared" si="32"/>
        <v>472</v>
      </c>
      <c r="C477" s="56" t="s">
        <v>2273</v>
      </c>
      <c r="D477" s="56" t="s">
        <v>2274</v>
      </c>
      <c r="E477" s="57" t="s">
        <v>2736</v>
      </c>
      <c r="F477" s="58"/>
      <c r="G477" s="59">
        <v>45547</v>
      </c>
      <c r="H477" s="57" t="s">
        <v>598</v>
      </c>
      <c r="I477" s="62">
        <f t="shared" si="33"/>
        <v>63.454545454545496</v>
      </c>
      <c r="J477" s="63">
        <v>698</v>
      </c>
      <c r="K477" s="63">
        <f t="shared" si="34"/>
        <v>698</v>
      </c>
      <c r="L477" s="62" t="str">
        <f t="shared" si="35"/>
        <v/>
      </c>
      <c r="M477" s="63"/>
    </row>
    <row r="478" spans="2:13" s="46" customFormat="1" ht="15">
      <c r="B478" s="534">
        <f t="shared" si="32"/>
        <v>473</v>
      </c>
      <c r="C478" s="56" t="s">
        <v>2262</v>
      </c>
      <c r="D478" s="56" t="s">
        <v>2504</v>
      </c>
      <c r="E478" s="57" t="s">
        <v>2737</v>
      </c>
      <c r="F478" s="64"/>
      <c r="G478" s="59">
        <v>45550</v>
      </c>
      <c r="H478" s="57" t="s">
        <v>49</v>
      </c>
      <c r="I478" s="62">
        <f t="shared" si="33"/>
        <v>10.000000000000014</v>
      </c>
      <c r="J478" s="63">
        <v>110</v>
      </c>
      <c r="K478" s="63">
        <f t="shared" si="34"/>
        <v>110</v>
      </c>
      <c r="L478" s="62" t="str">
        <f t="shared" si="35"/>
        <v/>
      </c>
      <c r="M478" s="63"/>
    </row>
    <row r="479" spans="2:13" s="46" customFormat="1" ht="15">
      <c r="B479" s="534">
        <f t="shared" si="32"/>
        <v>474</v>
      </c>
      <c r="C479" s="56" t="s">
        <v>2262</v>
      </c>
      <c r="D479" s="56" t="s">
        <v>2738</v>
      </c>
      <c r="E479" s="57" t="s">
        <v>2739</v>
      </c>
      <c r="F479" s="64" t="s">
        <v>2271</v>
      </c>
      <c r="G479" s="59">
        <v>45550</v>
      </c>
      <c r="H479" s="57" t="s">
        <v>49</v>
      </c>
      <c r="I479" s="62">
        <f t="shared" si="33"/>
        <v>20.000000000000028</v>
      </c>
      <c r="J479" s="63">
        <v>220</v>
      </c>
      <c r="K479" s="63">
        <f t="shared" si="34"/>
        <v>220</v>
      </c>
      <c r="L479" s="62" t="str">
        <f t="shared" si="35"/>
        <v/>
      </c>
      <c r="M479" s="63"/>
    </row>
    <row r="480" spans="2:13" s="46" customFormat="1" ht="15">
      <c r="B480" s="534">
        <f t="shared" si="32"/>
        <v>475</v>
      </c>
      <c r="C480" s="56" t="s">
        <v>2262</v>
      </c>
      <c r="D480" s="56" t="s">
        <v>2740</v>
      </c>
      <c r="E480" s="57" t="s">
        <v>2740</v>
      </c>
      <c r="F480" s="64" t="s">
        <v>2271</v>
      </c>
      <c r="G480" s="59">
        <v>45550</v>
      </c>
      <c r="H480" s="57" t="s">
        <v>49</v>
      </c>
      <c r="I480" s="62">
        <f t="shared" si="33"/>
        <v>20.000000000000028</v>
      </c>
      <c r="J480" s="63">
        <v>220</v>
      </c>
      <c r="K480" s="63">
        <f t="shared" si="34"/>
        <v>220</v>
      </c>
      <c r="L480" s="62" t="str">
        <f t="shared" si="35"/>
        <v/>
      </c>
      <c r="M480" s="63"/>
    </row>
    <row r="481" spans="2:13" s="46" customFormat="1" ht="15">
      <c r="B481" s="534">
        <f t="shared" si="32"/>
        <v>476</v>
      </c>
      <c r="C481" s="56" t="s">
        <v>2262</v>
      </c>
      <c r="D481" s="56" t="s">
        <v>2397</v>
      </c>
      <c r="E481" s="57" t="s">
        <v>2398</v>
      </c>
      <c r="F481" s="64"/>
      <c r="G481" s="59">
        <v>45550</v>
      </c>
      <c r="H481" s="57" t="s">
        <v>49</v>
      </c>
      <c r="I481" s="62">
        <f t="shared" si="33"/>
        <v>10.000000000000014</v>
      </c>
      <c r="J481" s="63">
        <v>110</v>
      </c>
      <c r="K481" s="63">
        <f t="shared" si="34"/>
        <v>110</v>
      </c>
      <c r="L481" s="62" t="str">
        <f t="shared" si="35"/>
        <v/>
      </c>
      <c r="M481" s="63"/>
    </row>
    <row r="482" spans="2:13" s="46" customFormat="1" ht="15">
      <c r="B482" s="534">
        <f t="shared" si="32"/>
        <v>477</v>
      </c>
      <c r="C482" s="56" t="s">
        <v>2262</v>
      </c>
      <c r="D482" s="56" t="s">
        <v>2741</v>
      </c>
      <c r="E482" s="57" t="s">
        <v>2742</v>
      </c>
      <c r="F482" s="64"/>
      <c r="G482" s="59">
        <v>45550</v>
      </c>
      <c r="H482" s="57" t="s">
        <v>49</v>
      </c>
      <c r="I482" s="62">
        <f t="shared" si="33"/>
        <v>10.000000000000014</v>
      </c>
      <c r="J482" s="63">
        <v>110</v>
      </c>
      <c r="K482" s="63">
        <f t="shared" si="34"/>
        <v>110</v>
      </c>
      <c r="L482" s="62" t="str">
        <f t="shared" si="35"/>
        <v/>
      </c>
      <c r="M482" s="63"/>
    </row>
    <row r="483" spans="2:13" s="46" customFormat="1" ht="15">
      <c r="B483" s="534">
        <f t="shared" si="32"/>
        <v>478</v>
      </c>
      <c r="C483" s="56" t="s">
        <v>2268</v>
      </c>
      <c r="D483" s="56" t="s">
        <v>2318</v>
      </c>
      <c r="E483" s="57" t="s">
        <v>2743</v>
      </c>
      <c r="F483" s="58" t="s">
        <v>2424</v>
      </c>
      <c r="G483" s="59">
        <v>45550</v>
      </c>
      <c r="H483" s="57" t="s">
        <v>598</v>
      </c>
      <c r="I483" s="62">
        <f t="shared" si="33"/>
        <v>718.18181818181893</v>
      </c>
      <c r="J483" s="63">
        <v>7900</v>
      </c>
      <c r="K483" s="63">
        <f t="shared" si="34"/>
        <v>7900</v>
      </c>
      <c r="L483" s="62" t="str">
        <f t="shared" si="35"/>
        <v/>
      </c>
      <c r="M483" s="63"/>
    </row>
    <row r="484" spans="2:13" s="46" customFormat="1" ht="15">
      <c r="B484" s="534">
        <f t="shared" si="32"/>
        <v>479</v>
      </c>
      <c r="C484" s="56" t="s">
        <v>2268</v>
      </c>
      <c r="D484" s="56" t="s">
        <v>2318</v>
      </c>
      <c r="E484" s="57" t="s">
        <v>2744</v>
      </c>
      <c r="F484" s="58" t="s">
        <v>2304</v>
      </c>
      <c r="G484" s="59">
        <v>45550</v>
      </c>
      <c r="H484" s="57" t="s">
        <v>598</v>
      </c>
      <c r="I484" s="62">
        <f t="shared" si="33"/>
        <v>239.4545454545455</v>
      </c>
      <c r="J484" s="63">
        <v>2634</v>
      </c>
      <c r="K484" s="63">
        <f t="shared" si="34"/>
        <v>2634</v>
      </c>
      <c r="L484" s="62" t="str">
        <f t="shared" si="35"/>
        <v/>
      </c>
      <c r="M484" s="63"/>
    </row>
    <row r="485" spans="2:13" s="46" customFormat="1" ht="15">
      <c r="B485" s="534">
        <f t="shared" si="32"/>
        <v>480</v>
      </c>
      <c r="C485" s="56" t="s">
        <v>2268</v>
      </c>
      <c r="D485" s="56" t="s">
        <v>2318</v>
      </c>
      <c r="E485" s="57" t="s">
        <v>2745</v>
      </c>
      <c r="F485" s="58"/>
      <c r="G485" s="59">
        <v>45550</v>
      </c>
      <c r="H485" s="57" t="s">
        <v>598</v>
      </c>
      <c r="I485" s="62">
        <f t="shared" si="33"/>
        <v>72.545454545454618</v>
      </c>
      <c r="J485" s="63">
        <v>798</v>
      </c>
      <c r="K485" s="63">
        <f t="shared" si="34"/>
        <v>798</v>
      </c>
      <c r="L485" s="62" t="str">
        <f t="shared" si="35"/>
        <v/>
      </c>
      <c r="M485" s="63"/>
    </row>
    <row r="486" spans="2:13" s="46" customFormat="1" ht="15">
      <c r="B486" s="534">
        <f t="shared" si="32"/>
        <v>481</v>
      </c>
      <c r="C486" s="56" t="s">
        <v>2268</v>
      </c>
      <c r="D486" s="56" t="s">
        <v>2318</v>
      </c>
      <c r="E486" s="57" t="s">
        <v>2746</v>
      </c>
      <c r="F486" s="58" t="s">
        <v>2747</v>
      </c>
      <c r="G486" s="59">
        <v>45550</v>
      </c>
      <c r="H486" s="57" t="s">
        <v>598</v>
      </c>
      <c r="I486" s="62">
        <f t="shared" si="33"/>
        <v>40.909090909090935</v>
      </c>
      <c r="J486" s="63">
        <v>450</v>
      </c>
      <c r="K486" s="63">
        <f t="shared" si="34"/>
        <v>450</v>
      </c>
      <c r="L486" s="62" t="str">
        <f t="shared" si="35"/>
        <v/>
      </c>
      <c r="M486" s="63"/>
    </row>
    <row r="487" spans="2:13" s="46" customFormat="1" ht="15">
      <c r="B487" s="534">
        <f t="shared" si="32"/>
        <v>482</v>
      </c>
      <c r="C487" s="56" t="s">
        <v>2273</v>
      </c>
      <c r="D487" s="56" t="s">
        <v>2428</v>
      </c>
      <c r="E487" s="57" t="s">
        <v>2429</v>
      </c>
      <c r="F487" s="58" t="s">
        <v>2271</v>
      </c>
      <c r="G487" s="59">
        <v>45550</v>
      </c>
      <c r="H487" s="57" t="s">
        <v>45</v>
      </c>
      <c r="I487" s="62">
        <f t="shared" si="33"/>
        <v>20.000000000000028</v>
      </c>
      <c r="J487" s="63">
        <v>220</v>
      </c>
      <c r="K487" s="63">
        <f t="shared" si="34"/>
        <v>220</v>
      </c>
      <c r="L487" s="62" t="str">
        <f t="shared" si="35"/>
        <v/>
      </c>
      <c r="M487" s="63"/>
    </row>
    <row r="488" spans="2:13" s="46" customFormat="1" ht="15">
      <c r="B488" s="534">
        <f t="shared" si="32"/>
        <v>483</v>
      </c>
      <c r="C488" s="56" t="s">
        <v>2262</v>
      </c>
      <c r="D488" s="56" t="s">
        <v>2356</v>
      </c>
      <c r="E488" s="57" t="s">
        <v>2748</v>
      </c>
      <c r="F488" s="64"/>
      <c r="G488" s="59">
        <v>45550</v>
      </c>
      <c r="H488" s="57" t="s">
        <v>45</v>
      </c>
      <c r="I488" s="62">
        <f t="shared" si="33"/>
        <v>10.000000000000014</v>
      </c>
      <c r="J488" s="63">
        <v>110</v>
      </c>
      <c r="K488" s="63">
        <f t="shared" si="34"/>
        <v>110</v>
      </c>
      <c r="L488" s="62" t="str">
        <f t="shared" si="35"/>
        <v/>
      </c>
      <c r="M488" s="63"/>
    </row>
    <row r="489" spans="2:13" s="46" customFormat="1" ht="15">
      <c r="B489" s="534">
        <f t="shared" si="32"/>
        <v>484</v>
      </c>
      <c r="C489" s="56" t="s">
        <v>2262</v>
      </c>
      <c r="D489" s="56" t="s">
        <v>2509</v>
      </c>
      <c r="E489" s="57" t="s">
        <v>2749</v>
      </c>
      <c r="F489" s="58" t="s">
        <v>2271</v>
      </c>
      <c r="G489" s="59">
        <v>45550</v>
      </c>
      <c r="H489" s="57" t="s">
        <v>45</v>
      </c>
      <c r="I489" s="62">
        <f t="shared" si="33"/>
        <v>20.000000000000028</v>
      </c>
      <c r="J489" s="63">
        <v>220</v>
      </c>
      <c r="K489" s="63">
        <f t="shared" si="34"/>
        <v>220</v>
      </c>
      <c r="L489" s="62" t="str">
        <f t="shared" si="35"/>
        <v/>
      </c>
      <c r="M489" s="63"/>
    </row>
    <row r="490" spans="2:13" s="46" customFormat="1" ht="15">
      <c r="B490" s="534">
        <f t="shared" si="32"/>
        <v>485</v>
      </c>
      <c r="C490" s="56" t="s">
        <v>2262</v>
      </c>
      <c r="D490" s="56" t="s">
        <v>2527</v>
      </c>
      <c r="E490" s="57" t="s">
        <v>2750</v>
      </c>
      <c r="F490" s="58"/>
      <c r="G490" s="59">
        <v>45550</v>
      </c>
      <c r="H490" s="57" t="s">
        <v>45</v>
      </c>
      <c r="I490" s="62">
        <f t="shared" si="33"/>
        <v>10.000000000000014</v>
      </c>
      <c r="J490" s="63">
        <v>110</v>
      </c>
      <c r="K490" s="63">
        <f t="shared" si="34"/>
        <v>110</v>
      </c>
      <c r="L490" s="62" t="str">
        <f t="shared" si="35"/>
        <v/>
      </c>
      <c r="M490" s="63"/>
    </row>
    <row r="491" spans="2:13" s="46" customFormat="1" ht="15">
      <c r="B491" s="534">
        <f t="shared" si="32"/>
        <v>486</v>
      </c>
      <c r="C491" s="56" t="s">
        <v>2262</v>
      </c>
      <c r="D491" s="56" t="s">
        <v>2751</v>
      </c>
      <c r="E491" s="57" t="s">
        <v>2752</v>
      </c>
      <c r="F491" s="58" t="s">
        <v>2271</v>
      </c>
      <c r="G491" s="59">
        <v>45550</v>
      </c>
      <c r="H491" s="57" t="s">
        <v>45</v>
      </c>
      <c r="I491" s="62">
        <f t="shared" si="33"/>
        <v>20.000000000000028</v>
      </c>
      <c r="J491" s="63">
        <v>220</v>
      </c>
      <c r="K491" s="63">
        <f t="shared" si="34"/>
        <v>220</v>
      </c>
      <c r="L491" s="62" t="str">
        <f t="shared" si="35"/>
        <v/>
      </c>
      <c r="M491" s="63"/>
    </row>
    <row r="492" spans="2:13" s="46" customFormat="1" ht="15">
      <c r="B492" s="534">
        <f t="shared" si="32"/>
        <v>487</v>
      </c>
      <c r="C492" s="56" t="s">
        <v>2262</v>
      </c>
      <c r="D492" s="56" t="s">
        <v>2392</v>
      </c>
      <c r="E492" s="57" t="s">
        <v>2576</v>
      </c>
      <c r="F492" s="58" t="s">
        <v>2304</v>
      </c>
      <c r="G492" s="59">
        <v>45550</v>
      </c>
      <c r="H492" s="57" t="s">
        <v>45</v>
      </c>
      <c r="I492" s="62">
        <f t="shared" si="33"/>
        <v>30</v>
      </c>
      <c r="J492" s="63">
        <v>330</v>
      </c>
      <c r="K492" s="63">
        <f t="shared" si="34"/>
        <v>330</v>
      </c>
      <c r="L492" s="62" t="str">
        <f t="shared" si="35"/>
        <v/>
      </c>
      <c r="M492" s="63"/>
    </row>
    <row r="493" spans="2:13" s="46" customFormat="1" ht="15">
      <c r="B493" s="534">
        <f t="shared" si="32"/>
        <v>488</v>
      </c>
      <c r="C493" s="56" t="s">
        <v>2262</v>
      </c>
      <c r="D493" s="56" t="s">
        <v>2364</v>
      </c>
      <c r="E493" s="57" t="s">
        <v>2589</v>
      </c>
      <c r="F493" s="58"/>
      <c r="G493" s="59">
        <v>45550</v>
      </c>
      <c r="H493" s="57" t="s">
        <v>45</v>
      </c>
      <c r="I493" s="62">
        <f t="shared" si="33"/>
        <v>30</v>
      </c>
      <c r="J493" s="63">
        <v>330</v>
      </c>
      <c r="K493" s="63">
        <f t="shared" si="34"/>
        <v>330</v>
      </c>
      <c r="L493" s="62" t="str">
        <f t="shared" si="35"/>
        <v/>
      </c>
      <c r="M493" s="63"/>
    </row>
    <row r="494" spans="2:13" s="46" customFormat="1" ht="15">
      <c r="B494" s="534">
        <f t="shared" si="32"/>
        <v>489</v>
      </c>
      <c r="C494" s="56" t="s">
        <v>2268</v>
      </c>
      <c r="D494" s="56" t="s">
        <v>2753</v>
      </c>
      <c r="E494" s="57" t="s">
        <v>2754</v>
      </c>
      <c r="F494" s="58"/>
      <c r="G494" s="59">
        <v>45550</v>
      </c>
      <c r="H494" s="57" t="s">
        <v>2307</v>
      </c>
      <c r="I494" s="62">
        <f t="shared" si="33"/>
        <v>74.090909090909122</v>
      </c>
      <c r="J494" s="63">
        <v>815</v>
      </c>
      <c r="K494" s="63">
        <f t="shared" si="34"/>
        <v>815</v>
      </c>
      <c r="L494" s="62" t="str">
        <f t="shared" si="35"/>
        <v/>
      </c>
      <c r="M494" s="63"/>
    </row>
    <row r="495" spans="2:13" s="46" customFormat="1" ht="15">
      <c r="B495" s="534">
        <f t="shared" si="32"/>
        <v>490</v>
      </c>
      <c r="C495" s="56" t="s">
        <v>2268</v>
      </c>
      <c r="D495" s="56" t="s">
        <v>2755</v>
      </c>
      <c r="E495" s="57" t="s">
        <v>2756</v>
      </c>
      <c r="F495" s="58"/>
      <c r="G495" s="59">
        <v>45550</v>
      </c>
      <c r="H495" s="57" t="s">
        <v>2307</v>
      </c>
      <c r="I495" s="62">
        <f t="shared" si="33"/>
        <v>180.00000000000023</v>
      </c>
      <c r="J495" s="63">
        <v>1980</v>
      </c>
      <c r="K495" s="63">
        <f t="shared" si="34"/>
        <v>1980</v>
      </c>
      <c r="L495" s="62" t="str">
        <f t="shared" si="35"/>
        <v/>
      </c>
      <c r="M495" s="63"/>
    </row>
    <row r="496" spans="2:13" s="46" customFormat="1" ht="15">
      <c r="B496" s="534">
        <f t="shared" si="32"/>
        <v>491</v>
      </c>
      <c r="C496" s="56" t="s">
        <v>2268</v>
      </c>
      <c r="D496" s="56" t="s">
        <v>2757</v>
      </c>
      <c r="E496" s="57" t="s">
        <v>2758</v>
      </c>
      <c r="F496" s="58"/>
      <c r="G496" s="59">
        <v>45550</v>
      </c>
      <c r="H496" s="57" t="s">
        <v>2307</v>
      </c>
      <c r="I496" s="62">
        <f t="shared" si="33"/>
        <v>209</v>
      </c>
      <c r="J496" s="63">
        <v>2299</v>
      </c>
      <c r="K496" s="63">
        <f t="shared" si="34"/>
        <v>2299</v>
      </c>
      <c r="L496" s="62" t="str">
        <f t="shared" si="35"/>
        <v/>
      </c>
      <c r="M496" s="63"/>
    </row>
    <row r="497" spans="2:13" s="46" customFormat="1" ht="15">
      <c r="B497" s="534">
        <f t="shared" si="32"/>
        <v>492</v>
      </c>
      <c r="C497" s="56" t="s">
        <v>2268</v>
      </c>
      <c r="D497" s="56" t="s">
        <v>2318</v>
      </c>
      <c r="E497" s="57" t="s">
        <v>2759</v>
      </c>
      <c r="F497" s="58" t="s">
        <v>2271</v>
      </c>
      <c r="G497" s="59">
        <v>45551</v>
      </c>
      <c r="H497" s="57" t="s">
        <v>129</v>
      </c>
      <c r="I497" s="62">
        <f t="shared" si="33"/>
        <v>456</v>
      </c>
      <c r="J497" s="63">
        <v>5016</v>
      </c>
      <c r="K497" s="63">
        <f t="shared" si="34"/>
        <v>5016</v>
      </c>
      <c r="L497" s="62" t="str">
        <f t="shared" si="35"/>
        <v/>
      </c>
      <c r="M497" s="63"/>
    </row>
    <row r="498" spans="2:13" s="46" customFormat="1" ht="15">
      <c r="B498" s="534">
        <f t="shared" si="32"/>
        <v>493</v>
      </c>
      <c r="C498" s="56" t="s">
        <v>2268</v>
      </c>
      <c r="D498" s="56" t="s">
        <v>2318</v>
      </c>
      <c r="E498" s="57" t="s">
        <v>2759</v>
      </c>
      <c r="F498" s="58" t="s">
        <v>2271</v>
      </c>
      <c r="G498" s="59">
        <v>45551</v>
      </c>
      <c r="H498" s="57" t="s">
        <v>129</v>
      </c>
      <c r="I498" s="62">
        <f t="shared" si="33"/>
        <v>556</v>
      </c>
      <c r="J498" s="63">
        <v>6116</v>
      </c>
      <c r="K498" s="63">
        <f t="shared" si="34"/>
        <v>6116</v>
      </c>
      <c r="L498" s="62" t="str">
        <f t="shared" si="35"/>
        <v/>
      </c>
      <c r="M498" s="63"/>
    </row>
    <row r="499" spans="2:13" s="46" customFormat="1" ht="15">
      <c r="B499" s="534">
        <f t="shared" si="32"/>
        <v>494</v>
      </c>
      <c r="C499" s="56" t="s">
        <v>2262</v>
      </c>
      <c r="D499" s="56" t="s">
        <v>2266</v>
      </c>
      <c r="E499" s="57" t="s">
        <v>2760</v>
      </c>
      <c r="F499" s="58"/>
      <c r="G499" s="59">
        <v>45554</v>
      </c>
      <c r="H499" s="57" t="s">
        <v>27</v>
      </c>
      <c r="I499" s="62">
        <f t="shared" si="33"/>
        <v>27.272727272727309</v>
      </c>
      <c r="J499" s="63">
        <v>300</v>
      </c>
      <c r="K499" s="63">
        <f t="shared" si="34"/>
        <v>300</v>
      </c>
      <c r="L499" s="62" t="str">
        <f t="shared" si="35"/>
        <v/>
      </c>
      <c r="M499" s="63"/>
    </row>
    <row r="500" spans="2:13" s="46" customFormat="1" ht="15">
      <c r="B500" s="534">
        <f t="shared" si="32"/>
        <v>495</v>
      </c>
      <c r="C500" s="56" t="s">
        <v>2268</v>
      </c>
      <c r="D500" s="56" t="s">
        <v>2318</v>
      </c>
      <c r="E500" s="57" t="s">
        <v>2761</v>
      </c>
      <c r="F500" s="58"/>
      <c r="G500" s="59">
        <v>45557</v>
      </c>
      <c r="H500" s="57" t="s">
        <v>598</v>
      </c>
      <c r="I500" s="62">
        <f t="shared" si="33"/>
        <v>81.63636363636374</v>
      </c>
      <c r="J500" s="63">
        <v>898</v>
      </c>
      <c r="K500" s="63">
        <f t="shared" si="34"/>
        <v>898</v>
      </c>
      <c r="L500" s="62" t="str">
        <f t="shared" si="35"/>
        <v/>
      </c>
      <c r="M500" s="63"/>
    </row>
    <row r="501" spans="2:13" s="46" customFormat="1" ht="15">
      <c r="B501" s="534">
        <f t="shared" si="32"/>
        <v>496</v>
      </c>
      <c r="C501" s="56" t="s">
        <v>2268</v>
      </c>
      <c r="D501" s="56" t="s">
        <v>2318</v>
      </c>
      <c r="E501" s="57" t="s">
        <v>2762</v>
      </c>
      <c r="F501" s="58"/>
      <c r="G501" s="59">
        <v>45557</v>
      </c>
      <c r="H501" s="57" t="s">
        <v>598</v>
      </c>
      <c r="I501" s="62">
        <f t="shared" si="33"/>
        <v>45.272727272727309</v>
      </c>
      <c r="J501" s="63">
        <v>498</v>
      </c>
      <c r="K501" s="63">
        <f t="shared" si="34"/>
        <v>498</v>
      </c>
      <c r="L501" s="62" t="str">
        <f t="shared" si="35"/>
        <v/>
      </c>
      <c r="M501" s="63"/>
    </row>
    <row r="502" spans="2:13" s="46" customFormat="1" ht="15">
      <c r="B502" s="534">
        <f t="shared" si="32"/>
        <v>497</v>
      </c>
      <c r="C502" s="56" t="s">
        <v>2268</v>
      </c>
      <c r="D502" s="56" t="s">
        <v>2318</v>
      </c>
      <c r="E502" s="57" t="s">
        <v>2763</v>
      </c>
      <c r="F502" s="58"/>
      <c r="G502" s="59">
        <v>45557</v>
      </c>
      <c r="H502" s="57" t="s">
        <v>598</v>
      </c>
      <c r="I502" s="62">
        <f t="shared" si="33"/>
        <v>54.363636363636374</v>
      </c>
      <c r="J502" s="63">
        <v>598</v>
      </c>
      <c r="K502" s="63">
        <f t="shared" si="34"/>
        <v>598</v>
      </c>
      <c r="L502" s="62" t="str">
        <f t="shared" si="35"/>
        <v/>
      </c>
      <c r="M502" s="63"/>
    </row>
    <row r="503" spans="2:13" s="46" customFormat="1" ht="15">
      <c r="B503" s="534">
        <f t="shared" si="32"/>
        <v>498</v>
      </c>
      <c r="C503" s="56" t="s">
        <v>2268</v>
      </c>
      <c r="D503" s="56" t="s">
        <v>2318</v>
      </c>
      <c r="E503" s="57" t="s">
        <v>2764</v>
      </c>
      <c r="F503" s="58" t="s">
        <v>2271</v>
      </c>
      <c r="G503" s="59">
        <v>45557</v>
      </c>
      <c r="H503" s="57" t="s">
        <v>598</v>
      </c>
      <c r="I503" s="62">
        <f t="shared" si="33"/>
        <v>46.909090909090935</v>
      </c>
      <c r="J503" s="63">
        <v>516</v>
      </c>
      <c r="K503" s="63">
        <f t="shared" si="34"/>
        <v>516</v>
      </c>
      <c r="L503" s="62" t="str">
        <f t="shared" si="35"/>
        <v/>
      </c>
      <c r="M503" s="63"/>
    </row>
    <row r="504" spans="2:13" s="46" customFormat="1" ht="15">
      <c r="B504" s="534">
        <f t="shared" si="32"/>
        <v>499</v>
      </c>
      <c r="C504" s="56" t="s">
        <v>2268</v>
      </c>
      <c r="D504" s="56" t="s">
        <v>2269</v>
      </c>
      <c r="E504" s="57" t="s">
        <v>2376</v>
      </c>
      <c r="F504" s="58" t="s">
        <v>2377</v>
      </c>
      <c r="G504" s="59">
        <v>45570</v>
      </c>
      <c r="H504" s="57" t="s">
        <v>129</v>
      </c>
      <c r="I504" s="62">
        <f t="shared" si="33"/>
        <v>41.81818181818187</v>
      </c>
      <c r="J504" s="63">
        <v>460</v>
      </c>
      <c r="K504" s="63">
        <f t="shared" si="34"/>
        <v>460</v>
      </c>
      <c r="L504" s="62" t="str">
        <f t="shared" si="35"/>
        <v/>
      </c>
      <c r="M504" s="63"/>
    </row>
    <row r="505" spans="2:13" s="46" customFormat="1" ht="15">
      <c r="B505" s="534">
        <f t="shared" si="32"/>
        <v>500</v>
      </c>
      <c r="C505" s="56" t="s">
        <v>2262</v>
      </c>
      <c r="D505" s="56" t="s">
        <v>2276</v>
      </c>
      <c r="E505" s="57" t="s">
        <v>2447</v>
      </c>
      <c r="F505" s="58" t="s">
        <v>2271</v>
      </c>
      <c r="G505" s="59">
        <v>45570</v>
      </c>
      <c r="H505" s="57" t="s">
        <v>598</v>
      </c>
      <c r="I505" s="62">
        <f t="shared" si="33"/>
        <v>108.72727272727275</v>
      </c>
      <c r="J505" s="63">
        <v>1196</v>
      </c>
      <c r="K505" s="63">
        <f t="shared" si="34"/>
        <v>1196</v>
      </c>
      <c r="L505" s="62" t="str">
        <f t="shared" si="35"/>
        <v/>
      </c>
      <c r="M505" s="63"/>
    </row>
    <row r="506" spans="2:13" s="46" customFormat="1" ht="15">
      <c r="B506" s="534">
        <f t="shared" si="32"/>
        <v>501</v>
      </c>
      <c r="C506" s="56" t="s">
        <v>2262</v>
      </c>
      <c r="D506" s="56" t="s">
        <v>2348</v>
      </c>
      <c r="E506" s="57" t="s">
        <v>2765</v>
      </c>
      <c r="F506" s="58"/>
      <c r="G506" s="59">
        <v>45570</v>
      </c>
      <c r="H506" s="57" t="s">
        <v>2265</v>
      </c>
      <c r="I506" s="62">
        <f t="shared" si="33"/>
        <v>10.000000000000014</v>
      </c>
      <c r="J506" s="63">
        <v>110</v>
      </c>
      <c r="K506" s="63">
        <f t="shared" si="34"/>
        <v>110</v>
      </c>
      <c r="L506" s="62" t="str">
        <f t="shared" si="35"/>
        <v/>
      </c>
      <c r="M506" s="63"/>
    </row>
    <row r="507" spans="2:13" s="46" customFormat="1" ht="15">
      <c r="B507" s="534">
        <f t="shared" si="32"/>
        <v>502</v>
      </c>
      <c r="C507" s="56" t="s">
        <v>2262</v>
      </c>
      <c r="D507" s="56" t="s">
        <v>2527</v>
      </c>
      <c r="E507" s="57" t="s">
        <v>2766</v>
      </c>
      <c r="F507" s="58"/>
      <c r="G507" s="59">
        <v>45570</v>
      </c>
      <c r="H507" s="57" t="s">
        <v>2265</v>
      </c>
      <c r="I507" s="62">
        <f t="shared" si="33"/>
        <v>30</v>
      </c>
      <c r="J507" s="63">
        <v>330</v>
      </c>
      <c r="K507" s="63">
        <f t="shared" si="34"/>
        <v>330</v>
      </c>
      <c r="L507" s="62" t="str">
        <f t="shared" si="35"/>
        <v/>
      </c>
      <c r="M507" s="63"/>
    </row>
    <row r="508" spans="2:13" s="46" customFormat="1" ht="15">
      <c r="B508" s="534">
        <f t="shared" si="32"/>
        <v>503</v>
      </c>
      <c r="C508" s="56" t="s">
        <v>2262</v>
      </c>
      <c r="D508" s="56" t="s">
        <v>2263</v>
      </c>
      <c r="E508" s="57" t="s">
        <v>2767</v>
      </c>
      <c r="F508" s="58"/>
      <c r="G508" s="59">
        <v>45570</v>
      </c>
      <c r="H508" s="57" t="s">
        <v>2265</v>
      </c>
      <c r="I508" s="62">
        <f t="shared" si="33"/>
        <v>10.000000000000014</v>
      </c>
      <c r="J508" s="63">
        <v>110</v>
      </c>
      <c r="K508" s="63">
        <f t="shared" si="34"/>
        <v>110</v>
      </c>
      <c r="L508" s="62" t="str">
        <f t="shared" si="35"/>
        <v/>
      </c>
      <c r="M508" s="63"/>
    </row>
    <row r="509" spans="2:13" s="46" customFormat="1" ht="15">
      <c r="B509" s="534">
        <f t="shared" si="32"/>
        <v>504</v>
      </c>
      <c r="C509" s="56" t="s">
        <v>2262</v>
      </c>
      <c r="D509" s="56" t="s">
        <v>2457</v>
      </c>
      <c r="E509" s="57" t="s">
        <v>2768</v>
      </c>
      <c r="F509" s="58" t="s">
        <v>2271</v>
      </c>
      <c r="G509" s="59">
        <v>45570</v>
      </c>
      <c r="H509" s="57" t="s">
        <v>2265</v>
      </c>
      <c r="I509" s="62">
        <f t="shared" si="33"/>
        <v>20.000000000000028</v>
      </c>
      <c r="J509" s="63">
        <v>220</v>
      </c>
      <c r="K509" s="63">
        <f t="shared" si="34"/>
        <v>220</v>
      </c>
      <c r="L509" s="62" t="str">
        <f t="shared" si="35"/>
        <v/>
      </c>
      <c r="M509" s="63"/>
    </row>
    <row r="510" spans="2:13" s="46" customFormat="1" ht="15">
      <c r="B510" s="534">
        <f t="shared" si="32"/>
        <v>505</v>
      </c>
      <c r="C510" s="56" t="s">
        <v>2262</v>
      </c>
      <c r="D510" s="56" t="s">
        <v>2579</v>
      </c>
      <c r="E510" s="57" t="s">
        <v>2769</v>
      </c>
      <c r="F510" s="58"/>
      <c r="G510" s="59">
        <v>45570</v>
      </c>
      <c r="H510" s="57" t="s">
        <v>2265</v>
      </c>
      <c r="I510" s="62">
        <f t="shared" si="33"/>
        <v>10.000000000000014</v>
      </c>
      <c r="J510" s="63">
        <v>110</v>
      </c>
      <c r="K510" s="63">
        <f t="shared" si="34"/>
        <v>110</v>
      </c>
      <c r="L510" s="62" t="str">
        <f t="shared" si="35"/>
        <v/>
      </c>
      <c r="M510" s="63"/>
    </row>
    <row r="511" spans="2:13" s="46" customFormat="1" ht="15">
      <c r="B511" s="534">
        <f t="shared" si="32"/>
        <v>506</v>
      </c>
      <c r="C511" s="56" t="s">
        <v>2262</v>
      </c>
      <c r="D511" s="56" t="s">
        <v>2597</v>
      </c>
      <c r="E511" s="57" t="s">
        <v>2770</v>
      </c>
      <c r="F511" s="58"/>
      <c r="G511" s="59">
        <v>45570</v>
      </c>
      <c r="H511" s="57" t="s">
        <v>2265</v>
      </c>
      <c r="I511" s="62">
        <f t="shared" si="33"/>
        <v>10.000000000000014</v>
      </c>
      <c r="J511" s="63">
        <v>110</v>
      </c>
      <c r="K511" s="63">
        <f t="shared" si="34"/>
        <v>110</v>
      </c>
      <c r="L511" s="62" t="str">
        <f t="shared" si="35"/>
        <v/>
      </c>
      <c r="M511" s="63"/>
    </row>
    <row r="512" spans="2:13" s="46" customFormat="1" ht="15">
      <c r="B512" s="534">
        <f t="shared" si="32"/>
        <v>507</v>
      </c>
      <c r="C512" s="56" t="s">
        <v>2262</v>
      </c>
      <c r="D512" s="56" t="s">
        <v>2404</v>
      </c>
      <c r="E512" s="57" t="s">
        <v>2771</v>
      </c>
      <c r="F512" s="58" t="s">
        <v>2271</v>
      </c>
      <c r="G512" s="59">
        <v>45577</v>
      </c>
      <c r="H512" s="57" t="s">
        <v>2772</v>
      </c>
      <c r="I512" s="62">
        <f t="shared" si="33"/>
        <v>400.00000000000045</v>
      </c>
      <c r="J512" s="63">
        <v>4400</v>
      </c>
      <c r="K512" s="63">
        <f t="shared" si="34"/>
        <v>4400</v>
      </c>
      <c r="L512" s="62" t="str">
        <f t="shared" si="35"/>
        <v/>
      </c>
      <c r="M512" s="63"/>
    </row>
    <row r="513" spans="2:14" s="46" customFormat="1" ht="15">
      <c r="B513" s="534">
        <f t="shared" si="32"/>
        <v>508</v>
      </c>
      <c r="C513" s="56" t="s">
        <v>2342</v>
      </c>
      <c r="D513" s="56" t="s">
        <v>2693</v>
      </c>
      <c r="E513" s="57" t="s">
        <v>2773</v>
      </c>
      <c r="F513" s="58"/>
      <c r="G513" s="59">
        <v>45577</v>
      </c>
      <c r="H513" s="57" t="s">
        <v>2772</v>
      </c>
      <c r="I513" s="62">
        <f t="shared" si="33"/>
        <v>39.090909090909122</v>
      </c>
      <c r="J513" s="63">
        <v>430</v>
      </c>
      <c r="K513" s="63">
        <f t="shared" si="34"/>
        <v>430</v>
      </c>
      <c r="L513" s="62" t="str">
        <f t="shared" si="35"/>
        <v/>
      </c>
      <c r="M513" s="63"/>
    </row>
    <row r="514" spans="2:14" s="46" customFormat="1" ht="15">
      <c r="B514" s="534">
        <f t="shared" si="32"/>
        <v>509</v>
      </c>
      <c r="C514" s="56" t="s">
        <v>2774</v>
      </c>
      <c r="D514" s="56" t="s">
        <v>2775</v>
      </c>
      <c r="E514" s="57" t="s">
        <v>2776</v>
      </c>
      <c r="F514" s="58"/>
      <c r="G514" s="59">
        <v>45579</v>
      </c>
      <c r="H514" s="57" t="s">
        <v>2777</v>
      </c>
      <c r="I514" s="62">
        <f t="shared" si="33"/>
        <v>352.72727272727298</v>
      </c>
      <c r="J514" s="63">
        <v>3880</v>
      </c>
      <c r="K514" s="63">
        <f t="shared" si="34"/>
        <v>0</v>
      </c>
      <c r="L514" s="62" t="str">
        <f t="shared" si="35"/>
        <v/>
      </c>
      <c r="M514" s="63"/>
      <c r="N514" s="66" t="s">
        <v>24</v>
      </c>
    </row>
    <row r="515" spans="2:14" s="46" customFormat="1" ht="15">
      <c r="B515" s="534">
        <f t="shared" si="32"/>
        <v>510</v>
      </c>
      <c r="C515" s="56" t="s">
        <v>2774</v>
      </c>
      <c r="D515" s="56" t="s">
        <v>2775</v>
      </c>
      <c r="E515" s="57" t="s">
        <v>2778</v>
      </c>
      <c r="F515" s="58"/>
      <c r="G515" s="59">
        <v>45579</v>
      </c>
      <c r="H515" s="57" t="s">
        <v>2777</v>
      </c>
      <c r="I515" s="62">
        <f t="shared" si="33"/>
        <v>116.36363636363649</v>
      </c>
      <c r="J515" s="63">
        <v>1280</v>
      </c>
      <c r="K515" s="63">
        <f t="shared" si="34"/>
        <v>0</v>
      </c>
      <c r="L515" s="62" t="str">
        <f t="shared" si="35"/>
        <v/>
      </c>
      <c r="M515" s="63"/>
      <c r="N515" s="66" t="s">
        <v>24</v>
      </c>
    </row>
    <row r="516" spans="2:14" s="46" customFormat="1" ht="15">
      <c r="B516" s="534">
        <f t="shared" si="32"/>
        <v>511</v>
      </c>
      <c r="C516" s="56" t="s">
        <v>2774</v>
      </c>
      <c r="D516" s="56" t="s">
        <v>2775</v>
      </c>
      <c r="E516" s="57" t="s">
        <v>2779</v>
      </c>
      <c r="F516" s="58"/>
      <c r="G516" s="59">
        <v>45579</v>
      </c>
      <c r="H516" s="57" t="s">
        <v>2777</v>
      </c>
      <c r="I516" s="62">
        <f t="shared" si="33"/>
        <v>50.000000000000057</v>
      </c>
      <c r="J516" s="63">
        <v>550</v>
      </c>
      <c r="K516" s="63">
        <f t="shared" si="34"/>
        <v>0</v>
      </c>
      <c r="L516" s="62" t="str">
        <f t="shared" si="35"/>
        <v/>
      </c>
      <c r="M516" s="63"/>
      <c r="N516" s="66" t="s">
        <v>24</v>
      </c>
    </row>
    <row r="517" spans="2:14" s="46" customFormat="1" ht="15">
      <c r="B517" s="534">
        <f t="shared" si="32"/>
        <v>512</v>
      </c>
      <c r="C517" s="56" t="s">
        <v>2262</v>
      </c>
      <c r="D517" s="56" t="s">
        <v>2527</v>
      </c>
      <c r="E517" s="57" t="s">
        <v>2552</v>
      </c>
      <c r="F517" s="58" t="s">
        <v>2377</v>
      </c>
      <c r="G517" s="59">
        <v>45584</v>
      </c>
      <c r="H517" s="57" t="s">
        <v>45</v>
      </c>
      <c r="I517" s="62">
        <f t="shared" si="33"/>
        <v>40.000000000000057</v>
      </c>
      <c r="J517" s="63">
        <v>440</v>
      </c>
      <c r="K517" s="63">
        <f t="shared" si="34"/>
        <v>440</v>
      </c>
      <c r="L517" s="62" t="str">
        <f t="shared" si="35"/>
        <v/>
      </c>
      <c r="M517" s="63"/>
    </row>
    <row r="518" spans="2:14" s="46" customFormat="1" ht="15">
      <c r="B518" s="534">
        <f t="shared" si="32"/>
        <v>513</v>
      </c>
      <c r="C518" s="56" t="s">
        <v>2442</v>
      </c>
      <c r="D518" s="56" t="s">
        <v>2443</v>
      </c>
      <c r="E518" s="57" t="s">
        <v>2444</v>
      </c>
      <c r="F518" s="58"/>
      <c r="G518" s="59">
        <v>45585</v>
      </c>
      <c r="H518" s="57" t="s">
        <v>2445</v>
      </c>
      <c r="I518" s="62">
        <f t="shared" si="33"/>
        <v>243.63636363636397</v>
      </c>
      <c r="J518" s="63">
        <v>2680</v>
      </c>
      <c r="K518" s="63">
        <f t="shared" si="34"/>
        <v>2680</v>
      </c>
      <c r="L518" s="62" t="str">
        <f t="shared" si="35"/>
        <v/>
      </c>
      <c r="M518" s="63"/>
    </row>
    <row r="519" spans="2:14" s="46" customFormat="1" ht="15">
      <c r="B519" s="534">
        <f t="shared" si="32"/>
        <v>514</v>
      </c>
      <c r="C519" s="56" t="s">
        <v>2281</v>
      </c>
      <c r="D519" s="56" t="s">
        <v>2282</v>
      </c>
      <c r="E519" s="57" t="s">
        <v>2780</v>
      </c>
      <c r="F519" s="64" t="s">
        <v>2781</v>
      </c>
      <c r="G519" s="59">
        <v>45585</v>
      </c>
      <c r="H519" s="57" t="s">
        <v>2782</v>
      </c>
      <c r="I519" s="62">
        <f t="shared" si="33"/>
        <v>4090.9090909090955</v>
      </c>
      <c r="J519" s="63">
        <v>45000</v>
      </c>
      <c r="K519" s="63">
        <f t="shared" si="34"/>
        <v>45000</v>
      </c>
      <c r="L519" s="62" t="str">
        <f t="shared" si="35"/>
        <v/>
      </c>
      <c r="M519" s="63"/>
    </row>
    <row r="520" spans="2:14" s="46" customFormat="1" ht="15">
      <c r="B520" s="534">
        <f t="shared" si="32"/>
        <v>515</v>
      </c>
      <c r="C520" s="56" t="s">
        <v>2442</v>
      </c>
      <c r="D520" s="56" t="s">
        <v>2443</v>
      </c>
      <c r="E520" s="57" t="s">
        <v>2446</v>
      </c>
      <c r="F520" s="58"/>
      <c r="G520" s="59">
        <v>45585</v>
      </c>
      <c r="H520" s="57" t="s">
        <v>2445</v>
      </c>
      <c r="I520" s="62">
        <f t="shared" si="33"/>
        <v>243.63636363636397</v>
      </c>
      <c r="J520" s="63">
        <v>2680</v>
      </c>
      <c r="K520" s="63">
        <f t="shared" si="34"/>
        <v>2680</v>
      </c>
      <c r="L520" s="62" t="str">
        <f t="shared" si="35"/>
        <v/>
      </c>
      <c r="M520" s="63"/>
    </row>
    <row r="521" spans="2:14" s="46" customFormat="1" ht="15">
      <c r="B521" s="534">
        <f t="shared" si="32"/>
        <v>516</v>
      </c>
      <c r="C521" s="56" t="s">
        <v>2262</v>
      </c>
      <c r="D521" s="56" t="s">
        <v>2266</v>
      </c>
      <c r="E521" s="57" t="s">
        <v>2314</v>
      </c>
      <c r="F521" s="58" t="s">
        <v>2377</v>
      </c>
      <c r="G521" s="59">
        <v>45591</v>
      </c>
      <c r="H521" s="57" t="s">
        <v>598</v>
      </c>
      <c r="I521" s="62">
        <f t="shared" si="33"/>
        <v>64.727272727272748</v>
      </c>
      <c r="J521" s="63">
        <v>712</v>
      </c>
      <c r="K521" s="63">
        <f t="shared" si="34"/>
        <v>712</v>
      </c>
      <c r="L521" s="62" t="str">
        <f t="shared" si="35"/>
        <v/>
      </c>
      <c r="M521" s="63"/>
    </row>
    <row r="522" spans="2:14" s="46" customFormat="1" ht="15">
      <c r="B522" s="534">
        <f t="shared" si="32"/>
        <v>517</v>
      </c>
      <c r="C522" s="56" t="s">
        <v>2262</v>
      </c>
      <c r="D522" s="56" t="s">
        <v>2711</v>
      </c>
      <c r="E522" s="57" t="s">
        <v>2783</v>
      </c>
      <c r="F522" s="58"/>
      <c r="G522" s="59">
        <v>45591</v>
      </c>
      <c r="H522" s="57" t="s">
        <v>598</v>
      </c>
      <c r="I522" s="62">
        <f t="shared" si="33"/>
        <v>72.545454545454618</v>
      </c>
      <c r="J522" s="63">
        <v>798</v>
      </c>
      <c r="K522" s="63">
        <f t="shared" si="34"/>
        <v>798</v>
      </c>
      <c r="L522" s="62" t="str">
        <f t="shared" si="35"/>
        <v/>
      </c>
      <c r="M522" s="63"/>
    </row>
    <row r="523" spans="2:14" s="46" customFormat="1" ht="15">
      <c r="B523" s="534">
        <f t="shared" si="32"/>
        <v>518</v>
      </c>
      <c r="C523" s="56" t="s">
        <v>2262</v>
      </c>
      <c r="D523" s="56" t="s">
        <v>2283</v>
      </c>
      <c r="E523" s="57" t="s">
        <v>2784</v>
      </c>
      <c r="F523" s="58"/>
      <c r="G523" s="59">
        <v>45591</v>
      </c>
      <c r="H523" s="57" t="s">
        <v>2265</v>
      </c>
      <c r="I523" s="62">
        <f t="shared" si="33"/>
        <v>20.000000000000028</v>
      </c>
      <c r="J523" s="63">
        <v>220</v>
      </c>
      <c r="K523" s="63">
        <f t="shared" si="34"/>
        <v>220</v>
      </c>
      <c r="L523" s="62" t="str">
        <f t="shared" si="35"/>
        <v/>
      </c>
      <c r="M523" s="63"/>
    </row>
    <row r="524" spans="2:14" s="46" customFormat="1" ht="15">
      <c r="B524" s="534">
        <f t="shared" ref="B524:B587" si="36">ROW()-5</f>
        <v>519</v>
      </c>
      <c r="C524" s="56" t="s">
        <v>2262</v>
      </c>
      <c r="D524" s="56" t="s">
        <v>2283</v>
      </c>
      <c r="E524" s="57" t="s">
        <v>2785</v>
      </c>
      <c r="F524" s="58"/>
      <c r="G524" s="59">
        <v>45591</v>
      </c>
      <c r="H524" s="57" t="s">
        <v>2265</v>
      </c>
      <c r="I524" s="62">
        <f t="shared" ref="I524:I587" si="37">IF(J524&lt;&gt;"",J524-J524/1.1,"")</f>
        <v>20.000000000000028</v>
      </c>
      <c r="J524" s="63">
        <v>220</v>
      </c>
      <c r="K524" s="63">
        <f t="shared" ref="K524:K587" si="38">IF(N524="",J524,0)</f>
        <v>220</v>
      </c>
      <c r="L524" s="62" t="str">
        <f t="shared" ref="L524:L587" si="39">IF(M524&lt;&gt;"",M524-M524/1.1,"")</f>
        <v/>
      </c>
      <c r="M524" s="63"/>
    </row>
    <row r="525" spans="2:14" s="46" customFormat="1" ht="15">
      <c r="B525" s="534">
        <f t="shared" si="36"/>
        <v>520</v>
      </c>
      <c r="C525" s="56" t="s">
        <v>2262</v>
      </c>
      <c r="D525" s="56" t="s">
        <v>2786</v>
      </c>
      <c r="E525" s="57" t="s">
        <v>2787</v>
      </c>
      <c r="F525" s="58"/>
      <c r="G525" s="59">
        <v>45591</v>
      </c>
      <c r="H525" s="57" t="s">
        <v>45</v>
      </c>
      <c r="I525" s="62">
        <f t="shared" si="37"/>
        <v>20.000000000000028</v>
      </c>
      <c r="J525" s="63">
        <v>220</v>
      </c>
      <c r="K525" s="63">
        <f t="shared" si="38"/>
        <v>220</v>
      </c>
      <c r="L525" s="62" t="str">
        <f t="shared" si="39"/>
        <v/>
      </c>
      <c r="M525" s="63"/>
    </row>
    <row r="526" spans="2:14" s="46" customFormat="1" ht="15">
      <c r="B526" s="534">
        <f t="shared" si="36"/>
        <v>521</v>
      </c>
      <c r="C526" s="56" t="s">
        <v>2262</v>
      </c>
      <c r="D526" s="56" t="s">
        <v>2432</v>
      </c>
      <c r="E526" s="57" t="s">
        <v>2788</v>
      </c>
      <c r="F526" s="58" t="s">
        <v>2271</v>
      </c>
      <c r="G526" s="59">
        <v>45591</v>
      </c>
      <c r="H526" s="57" t="s">
        <v>45</v>
      </c>
      <c r="I526" s="62">
        <f t="shared" si="37"/>
        <v>20.000000000000028</v>
      </c>
      <c r="J526" s="63">
        <v>220</v>
      </c>
      <c r="K526" s="63">
        <f t="shared" si="38"/>
        <v>220</v>
      </c>
      <c r="L526" s="62" t="str">
        <f t="shared" si="39"/>
        <v/>
      </c>
      <c r="M526" s="63"/>
    </row>
    <row r="527" spans="2:14" s="46" customFormat="1" ht="15">
      <c r="B527" s="534">
        <f t="shared" si="36"/>
        <v>522</v>
      </c>
      <c r="C527" s="56" t="s">
        <v>2262</v>
      </c>
      <c r="D527" s="56" t="s">
        <v>2283</v>
      </c>
      <c r="E527" s="57" t="s">
        <v>2789</v>
      </c>
      <c r="F527" s="58" t="s">
        <v>2271</v>
      </c>
      <c r="G527" s="59">
        <v>45591</v>
      </c>
      <c r="H527" s="57" t="s">
        <v>45</v>
      </c>
      <c r="I527" s="62">
        <f t="shared" si="37"/>
        <v>20.000000000000028</v>
      </c>
      <c r="J527" s="63">
        <v>220</v>
      </c>
      <c r="K527" s="63">
        <f t="shared" si="38"/>
        <v>220</v>
      </c>
      <c r="L527" s="62" t="str">
        <f t="shared" si="39"/>
        <v/>
      </c>
      <c r="M527" s="63"/>
    </row>
    <row r="528" spans="2:14" s="46" customFormat="1" ht="15">
      <c r="B528" s="534">
        <f t="shared" si="36"/>
        <v>523</v>
      </c>
      <c r="C528" s="56" t="s">
        <v>2342</v>
      </c>
      <c r="D528" s="56" t="s">
        <v>2693</v>
      </c>
      <c r="E528" s="57" t="s">
        <v>2694</v>
      </c>
      <c r="F528" s="64">
        <v>147</v>
      </c>
      <c r="G528" s="59">
        <v>45594</v>
      </c>
      <c r="H528" s="57" t="s">
        <v>2695</v>
      </c>
      <c r="I528" s="62">
        <f t="shared" si="37"/>
        <v>15.454545454545467</v>
      </c>
      <c r="J528" s="63">
        <f t="shared" ref="J528:J534" si="40">IF(F528&lt;=150,170,IF(F528&lt;=200,210,IF(F528&lt;=250,240,290)))</f>
        <v>170</v>
      </c>
      <c r="K528" s="63">
        <f t="shared" si="38"/>
        <v>170</v>
      </c>
      <c r="L528" s="62" t="str">
        <f t="shared" si="39"/>
        <v/>
      </c>
      <c r="M528" s="63"/>
    </row>
    <row r="529" spans="2:13" s="46" customFormat="1" ht="15">
      <c r="B529" s="534">
        <f t="shared" si="36"/>
        <v>524</v>
      </c>
      <c r="C529" s="56" t="s">
        <v>2342</v>
      </c>
      <c r="D529" s="56" t="s">
        <v>2693</v>
      </c>
      <c r="E529" s="57" t="s">
        <v>2694</v>
      </c>
      <c r="F529" s="64">
        <v>164</v>
      </c>
      <c r="G529" s="59">
        <v>45594</v>
      </c>
      <c r="H529" s="57" t="s">
        <v>2695</v>
      </c>
      <c r="I529" s="62">
        <f t="shared" si="37"/>
        <v>19.090909090909093</v>
      </c>
      <c r="J529" s="63">
        <f t="shared" si="40"/>
        <v>210</v>
      </c>
      <c r="K529" s="63">
        <f t="shared" si="38"/>
        <v>210</v>
      </c>
      <c r="L529" s="62" t="str">
        <f t="shared" si="39"/>
        <v/>
      </c>
      <c r="M529" s="63"/>
    </row>
    <row r="530" spans="2:13" s="46" customFormat="1" ht="15">
      <c r="B530" s="534">
        <f t="shared" si="36"/>
        <v>525</v>
      </c>
      <c r="C530" s="56" t="s">
        <v>2342</v>
      </c>
      <c r="D530" s="56" t="s">
        <v>2693</v>
      </c>
      <c r="E530" s="57" t="s">
        <v>2694</v>
      </c>
      <c r="F530" s="64">
        <v>193</v>
      </c>
      <c r="G530" s="59">
        <v>45594</v>
      </c>
      <c r="H530" s="57" t="s">
        <v>2695</v>
      </c>
      <c r="I530" s="62">
        <f t="shared" si="37"/>
        <v>19.090909090909093</v>
      </c>
      <c r="J530" s="63">
        <f t="shared" si="40"/>
        <v>210</v>
      </c>
      <c r="K530" s="63">
        <f t="shared" si="38"/>
        <v>210</v>
      </c>
      <c r="L530" s="62" t="str">
        <f t="shared" si="39"/>
        <v/>
      </c>
      <c r="M530" s="63"/>
    </row>
    <row r="531" spans="2:13" s="46" customFormat="1" ht="15">
      <c r="B531" s="534">
        <f t="shared" si="36"/>
        <v>526</v>
      </c>
      <c r="C531" s="56" t="s">
        <v>2342</v>
      </c>
      <c r="D531" s="56" t="s">
        <v>2693</v>
      </c>
      <c r="E531" s="57" t="s">
        <v>2694</v>
      </c>
      <c r="F531" s="64">
        <v>193</v>
      </c>
      <c r="G531" s="59">
        <v>45594</v>
      </c>
      <c r="H531" s="57" t="s">
        <v>2695</v>
      </c>
      <c r="I531" s="62">
        <f t="shared" si="37"/>
        <v>19.090909090909093</v>
      </c>
      <c r="J531" s="63">
        <f t="shared" si="40"/>
        <v>210</v>
      </c>
      <c r="K531" s="63">
        <f t="shared" si="38"/>
        <v>210</v>
      </c>
      <c r="L531" s="62" t="str">
        <f t="shared" si="39"/>
        <v/>
      </c>
      <c r="M531" s="63"/>
    </row>
    <row r="532" spans="2:13" s="46" customFormat="1" ht="15">
      <c r="B532" s="534">
        <f t="shared" si="36"/>
        <v>527</v>
      </c>
      <c r="C532" s="56" t="s">
        <v>2342</v>
      </c>
      <c r="D532" s="56" t="s">
        <v>2693</v>
      </c>
      <c r="E532" s="57" t="s">
        <v>2694</v>
      </c>
      <c r="F532" s="64">
        <v>193</v>
      </c>
      <c r="G532" s="59">
        <v>45594</v>
      </c>
      <c r="H532" s="57" t="s">
        <v>2695</v>
      </c>
      <c r="I532" s="62">
        <f t="shared" si="37"/>
        <v>19.090909090909093</v>
      </c>
      <c r="J532" s="63">
        <f t="shared" si="40"/>
        <v>210</v>
      </c>
      <c r="K532" s="63">
        <f t="shared" si="38"/>
        <v>210</v>
      </c>
      <c r="L532" s="62" t="str">
        <f t="shared" si="39"/>
        <v/>
      </c>
      <c r="M532" s="63"/>
    </row>
    <row r="533" spans="2:13" s="46" customFormat="1" ht="15">
      <c r="B533" s="534">
        <f t="shared" si="36"/>
        <v>528</v>
      </c>
      <c r="C533" s="56" t="s">
        <v>2342</v>
      </c>
      <c r="D533" s="56" t="s">
        <v>2693</v>
      </c>
      <c r="E533" s="57" t="s">
        <v>2694</v>
      </c>
      <c r="F533" s="64">
        <v>200</v>
      </c>
      <c r="G533" s="59">
        <v>45594</v>
      </c>
      <c r="H533" s="57" t="s">
        <v>2695</v>
      </c>
      <c r="I533" s="62">
        <f t="shared" si="37"/>
        <v>19.090909090909093</v>
      </c>
      <c r="J533" s="63">
        <f t="shared" si="40"/>
        <v>210</v>
      </c>
      <c r="K533" s="63">
        <f t="shared" si="38"/>
        <v>210</v>
      </c>
      <c r="L533" s="62" t="str">
        <f t="shared" si="39"/>
        <v/>
      </c>
      <c r="M533" s="63"/>
    </row>
    <row r="534" spans="2:13" s="46" customFormat="1" ht="15">
      <c r="B534" s="534">
        <f t="shared" si="36"/>
        <v>529</v>
      </c>
      <c r="C534" s="56" t="s">
        <v>2342</v>
      </c>
      <c r="D534" s="56" t="s">
        <v>2693</v>
      </c>
      <c r="E534" s="57" t="s">
        <v>2694</v>
      </c>
      <c r="F534" s="64">
        <v>192</v>
      </c>
      <c r="G534" s="59">
        <v>45596</v>
      </c>
      <c r="H534" s="57" t="s">
        <v>2695</v>
      </c>
      <c r="I534" s="62">
        <f t="shared" si="37"/>
        <v>19.090909090909093</v>
      </c>
      <c r="J534" s="63">
        <f t="shared" si="40"/>
        <v>210</v>
      </c>
      <c r="K534" s="63">
        <f t="shared" si="38"/>
        <v>210</v>
      </c>
      <c r="L534" s="62" t="str">
        <f t="shared" si="39"/>
        <v/>
      </c>
      <c r="M534" s="63"/>
    </row>
    <row r="535" spans="2:13" s="46" customFormat="1" ht="15">
      <c r="B535" s="534">
        <f t="shared" si="36"/>
        <v>530</v>
      </c>
      <c r="C535" s="69" t="s">
        <v>2670</v>
      </c>
      <c r="D535" s="69" t="s">
        <v>2282</v>
      </c>
      <c r="E535" s="70" t="str">
        <f>VLOOKUP(F535,購入者リスト!B:F,4,FALSE)</f>
        <v>多肉 はじまりの花入り 7種セット 抜き苗</v>
      </c>
      <c r="F535" s="69">
        <v>7</v>
      </c>
      <c r="G535" s="71" t="str">
        <f>VLOOKUP(F535,購入者リスト!B:M,12,FALSE)</f>
        <v>24/10/31</v>
      </c>
      <c r="H535" s="70" t="s">
        <v>27</v>
      </c>
      <c r="I535" s="73" t="str">
        <f t="shared" si="37"/>
        <v/>
      </c>
      <c r="J535" s="74"/>
      <c r="K535" s="74">
        <f t="shared" si="38"/>
        <v>0</v>
      </c>
      <c r="L535" s="73">
        <f t="shared" si="39"/>
        <v>154.54545454545473</v>
      </c>
      <c r="M535" s="74">
        <f>VLOOKUP(F535,購入者リスト!B:F,5,FALSE)</f>
        <v>1700</v>
      </c>
    </row>
    <row r="536" spans="2:13" s="46" customFormat="1" ht="15">
      <c r="B536" s="534">
        <f t="shared" si="36"/>
        <v>531</v>
      </c>
      <c r="C536" s="69" t="s">
        <v>2671</v>
      </c>
      <c r="D536" s="69" t="s">
        <v>2672</v>
      </c>
      <c r="E536" s="70" t="s">
        <v>2673</v>
      </c>
      <c r="F536" s="72"/>
      <c r="G536" s="71" t="str">
        <f>G535</f>
        <v>24/10/31</v>
      </c>
      <c r="H536" s="70" t="s">
        <v>27</v>
      </c>
      <c r="I536" s="73">
        <f t="shared" si="37"/>
        <v>15.454545454545467</v>
      </c>
      <c r="J536" s="74">
        <f>M535*0.1</f>
        <v>170</v>
      </c>
      <c r="K536" s="74">
        <f t="shared" si="38"/>
        <v>170</v>
      </c>
      <c r="L536" s="73" t="str">
        <f t="shared" si="39"/>
        <v/>
      </c>
      <c r="M536" s="74"/>
    </row>
    <row r="537" spans="2:13" s="46" customFormat="1" ht="15">
      <c r="B537" s="534">
        <f t="shared" si="36"/>
        <v>532</v>
      </c>
      <c r="C537" s="69" t="s">
        <v>2670</v>
      </c>
      <c r="D537" s="69" t="s">
        <v>2282</v>
      </c>
      <c r="E537" s="70" t="str">
        <f>VLOOKUP(F537,購入者リスト!B:F,4,FALSE)</f>
        <v>多肉 ももりん入り 7種セット 抜き苗</v>
      </c>
      <c r="F537" s="69">
        <v>8</v>
      </c>
      <c r="G537" s="71" t="str">
        <f>VLOOKUP(F537,購入者リスト!B:M,12,FALSE)</f>
        <v>24/11/01</v>
      </c>
      <c r="H537" s="70" t="s">
        <v>27</v>
      </c>
      <c r="I537" s="73" t="str">
        <f t="shared" si="37"/>
        <v/>
      </c>
      <c r="J537" s="74"/>
      <c r="K537" s="74">
        <f t="shared" si="38"/>
        <v>0</v>
      </c>
      <c r="L537" s="73">
        <f t="shared" si="39"/>
        <v>145.4545454545455</v>
      </c>
      <c r="M537" s="74">
        <f>VLOOKUP(F537,購入者リスト!B:F,5,FALSE)</f>
        <v>1600</v>
      </c>
    </row>
    <row r="538" spans="2:13" s="46" customFormat="1" ht="15">
      <c r="B538" s="534">
        <f t="shared" si="36"/>
        <v>533</v>
      </c>
      <c r="C538" s="69" t="s">
        <v>2671</v>
      </c>
      <c r="D538" s="69" t="s">
        <v>2672</v>
      </c>
      <c r="E538" s="70" t="s">
        <v>2673</v>
      </c>
      <c r="F538" s="72"/>
      <c r="G538" s="71" t="str">
        <f>G537</f>
        <v>24/11/01</v>
      </c>
      <c r="H538" s="70" t="s">
        <v>27</v>
      </c>
      <c r="I538" s="73">
        <f t="shared" si="37"/>
        <v>14.545454545454561</v>
      </c>
      <c r="J538" s="74">
        <f>M537*0.1</f>
        <v>160</v>
      </c>
      <c r="K538" s="74">
        <f t="shared" si="38"/>
        <v>160</v>
      </c>
      <c r="L538" s="73" t="str">
        <f t="shared" si="39"/>
        <v/>
      </c>
      <c r="M538" s="74"/>
    </row>
    <row r="539" spans="2:13" s="46" customFormat="1" ht="15">
      <c r="B539" s="534">
        <f t="shared" si="36"/>
        <v>534</v>
      </c>
      <c r="C539" s="69" t="s">
        <v>2670</v>
      </c>
      <c r="D539" s="69" t="s">
        <v>2282</v>
      </c>
      <c r="E539" s="70" t="str">
        <f>VLOOKUP(F539,購入者リスト!B:F,4,FALSE)</f>
        <v>多肉 クリームローズ入り 7種セット 抜き苗</v>
      </c>
      <c r="F539" s="69">
        <v>12</v>
      </c>
      <c r="G539" s="71" t="str">
        <f>VLOOKUP(F539,購入者リスト!B:M,12,FALSE)</f>
        <v>24/10/31</v>
      </c>
      <c r="H539" s="70" t="s">
        <v>27</v>
      </c>
      <c r="I539" s="73" t="str">
        <f t="shared" si="37"/>
        <v/>
      </c>
      <c r="J539" s="74"/>
      <c r="K539" s="74">
        <f t="shared" si="38"/>
        <v>0</v>
      </c>
      <c r="L539" s="73">
        <f t="shared" si="39"/>
        <v>136.36363636363649</v>
      </c>
      <c r="M539" s="74">
        <f>VLOOKUP(F539,購入者リスト!B:F,5,FALSE)</f>
        <v>1500</v>
      </c>
    </row>
    <row r="540" spans="2:13" s="46" customFormat="1" ht="15">
      <c r="B540" s="534">
        <f t="shared" si="36"/>
        <v>535</v>
      </c>
      <c r="C540" s="69" t="s">
        <v>2671</v>
      </c>
      <c r="D540" s="69" t="s">
        <v>2672</v>
      </c>
      <c r="E540" s="70" t="s">
        <v>2673</v>
      </c>
      <c r="F540" s="72"/>
      <c r="G540" s="71" t="str">
        <f>G539</f>
        <v>24/10/31</v>
      </c>
      <c r="H540" s="70" t="s">
        <v>27</v>
      </c>
      <c r="I540" s="73">
        <f t="shared" si="37"/>
        <v>13.636363636363654</v>
      </c>
      <c r="J540" s="74">
        <f>M539*0.1</f>
        <v>150</v>
      </c>
      <c r="K540" s="74">
        <f t="shared" si="38"/>
        <v>150</v>
      </c>
      <c r="L540" s="73" t="str">
        <f t="shared" si="39"/>
        <v/>
      </c>
      <c r="M540" s="74"/>
    </row>
    <row r="541" spans="2:13" s="46" customFormat="1" ht="15">
      <c r="B541" s="534">
        <f t="shared" si="36"/>
        <v>536</v>
      </c>
      <c r="C541" s="69" t="s">
        <v>2670</v>
      </c>
      <c r="D541" s="69" t="s">
        <v>2282</v>
      </c>
      <c r="E541" s="70" t="str">
        <f>VLOOKUP(F541,購入者リスト!B:F,4,FALSE)</f>
        <v>多肉 紫紺の矢入り 7種セット A 抜き苗</v>
      </c>
      <c r="F541" s="69">
        <v>9</v>
      </c>
      <c r="G541" s="71" t="str">
        <f>VLOOKUP(F541,購入者リスト!B:M,12,FALSE)</f>
        <v>24/10/31</v>
      </c>
      <c r="H541" s="70" t="s">
        <v>27</v>
      </c>
      <c r="I541" s="73" t="str">
        <f t="shared" si="37"/>
        <v/>
      </c>
      <c r="J541" s="74"/>
      <c r="K541" s="74">
        <f t="shared" si="38"/>
        <v>0</v>
      </c>
      <c r="L541" s="73">
        <f t="shared" si="39"/>
        <v>218.18181818181847</v>
      </c>
      <c r="M541" s="74">
        <f>VLOOKUP(F541,購入者リスト!B:F,5,FALSE)</f>
        <v>2400</v>
      </c>
    </row>
    <row r="542" spans="2:13" s="46" customFormat="1" ht="15">
      <c r="B542" s="534">
        <f t="shared" si="36"/>
        <v>537</v>
      </c>
      <c r="C542" s="69" t="s">
        <v>2671</v>
      </c>
      <c r="D542" s="69" t="s">
        <v>2672</v>
      </c>
      <c r="E542" s="70" t="s">
        <v>2673</v>
      </c>
      <c r="F542" s="72"/>
      <c r="G542" s="71" t="str">
        <f>G541</f>
        <v>24/10/31</v>
      </c>
      <c r="H542" s="70" t="s">
        <v>27</v>
      </c>
      <c r="I542" s="73">
        <f t="shared" si="37"/>
        <v>21.818181818181841</v>
      </c>
      <c r="J542" s="74">
        <f>M541*0.1</f>
        <v>240</v>
      </c>
      <c r="K542" s="74">
        <f t="shared" si="38"/>
        <v>240</v>
      </c>
      <c r="L542" s="73" t="str">
        <f t="shared" si="39"/>
        <v/>
      </c>
      <c r="M542" s="74"/>
    </row>
    <row r="543" spans="2:13" s="46" customFormat="1" ht="15">
      <c r="B543" s="534">
        <f t="shared" si="36"/>
        <v>538</v>
      </c>
      <c r="C543" s="69" t="s">
        <v>2670</v>
      </c>
      <c r="D543" s="69" t="s">
        <v>2282</v>
      </c>
      <c r="E543" s="70" t="str">
        <f>VLOOKUP(F543,購入者リスト!B:F,4,FALSE)</f>
        <v>多肉 紫紺の矢入り 7種セット B 抜き苗</v>
      </c>
      <c r="F543" s="69">
        <v>10</v>
      </c>
      <c r="G543" s="71" t="str">
        <f>VLOOKUP(F543,購入者リスト!B:M,12,FALSE)</f>
        <v>24/11/01</v>
      </c>
      <c r="H543" s="70" t="s">
        <v>27</v>
      </c>
      <c r="I543" s="73" t="str">
        <f t="shared" si="37"/>
        <v/>
      </c>
      <c r="J543" s="74"/>
      <c r="K543" s="74">
        <f t="shared" si="38"/>
        <v>0</v>
      </c>
      <c r="L543" s="73">
        <f t="shared" si="39"/>
        <v>218.18181818181847</v>
      </c>
      <c r="M543" s="74">
        <f>VLOOKUP(F543,購入者リスト!B:F,5,FALSE)</f>
        <v>2400</v>
      </c>
    </row>
    <row r="544" spans="2:13" s="46" customFormat="1" ht="15">
      <c r="B544" s="534">
        <f t="shared" si="36"/>
        <v>539</v>
      </c>
      <c r="C544" s="69" t="s">
        <v>2671</v>
      </c>
      <c r="D544" s="69" t="s">
        <v>2672</v>
      </c>
      <c r="E544" s="70" t="s">
        <v>2673</v>
      </c>
      <c r="F544" s="72"/>
      <c r="G544" s="71" t="str">
        <f>G543</f>
        <v>24/11/01</v>
      </c>
      <c r="H544" s="70" t="s">
        <v>27</v>
      </c>
      <c r="I544" s="73">
        <f t="shared" si="37"/>
        <v>21.818181818181841</v>
      </c>
      <c r="J544" s="74">
        <f>M543*0.1</f>
        <v>240</v>
      </c>
      <c r="K544" s="74">
        <f t="shared" si="38"/>
        <v>240</v>
      </c>
      <c r="L544" s="73" t="str">
        <f t="shared" si="39"/>
        <v/>
      </c>
      <c r="M544" s="74"/>
    </row>
    <row r="545" spans="2:13" s="46" customFormat="1" ht="15">
      <c r="B545" s="534">
        <f t="shared" si="36"/>
        <v>540</v>
      </c>
      <c r="C545" s="69" t="s">
        <v>2670</v>
      </c>
      <c r="D545" s="69" t="s">
        <v>2282</v>
      </c>
      <c r="E545" s="70" t="str">
        <f>VLOOKUP(F545,購入者リスト!B:F,4,FALSE)</f>
        <v>多肉 クリスベートビューティー入り 7種セット 抜き苗</v>
      </c>
      <c r="F545" s="69">
        <v>11</v>
      </c>
      <c r="G545" s="71" t="str">
        <f>VLOOKUP(F545,購入者リスト!B:M,12,FALSE)</f>
        <v>24/11/01</v>
      </c>
      <c r="H545" s="70" t="s">
        <v>27</v>
      </c>
      <c r="I545" s="73" t="str">
        <f t="shared" si="37"/>
        <v/>
      </c>
      <c r="J545" s="74"/>
      <c r="K545" s="74">
        <f t="shared" si="38"/>
        <v>0</v>
      </c>
      <c r="L545" s="73">
        <f t="shared" si="39"/>
        <v>145.4545454545455</v>
      </c>
      <c r="M545" s="74">
        <f>VLOOKUP(F545,購入者リスト!B:F,5,FALSE)</f>
        <v>1600</v>
      </c>
    </row>
    <row r="546" spans="2:13" s="46" customFormat="1" ht="15">
      <c r="B546" s="534">
        <f t="shared" si="36"/>
        <v>541</v>
      </c>
      <c r="C546" s="69" t="s">
        <v>2671</v>
      </c>
      <c r="D546" s="69" t="s">
        <v>2672</v>
      </c>
      <c r="E546" s="70" t="s">
        <v>2673</v>
      </c>
      <c r="F546" s="72"/>
      <c r="G546" s="71" t="str">
        <f>G545</f>
        <v>24/11/01</v>
      </c>
      <c r="H546" s="70" t="s">
        <v>27</v>
      </c>
      <c r="I546" s="73">
        <f t="shared" si="37"/>
        <v>14.545454545454561</v>
      </c>
      <c r="J546" s="74">
        <f>M545*0.1</f>
        <v>160</v>
      </c>
      <c r="K546" s="74">
        <f t="shared" si="38"/>
        <v>160</v>
      </c>
      <c r="L546" s="73" t="str">
        <f t="shared" si="39"/>
        <v/>
      </c>
      <c r="M546" s="74"/>
    </row>
    <row r="547" spans="2:13" s="46" customFormat="1" ht="15">
      <c r="B547" s="534">
        <f t="shared" si="36"/>
        <v>542</v>
      </c>
      <c r="C547" s="56" t="s">
        <v>2262</v>
      </c>
      <c r="D547" s="56" t="s">
        <v>2711</v>
      </c>
      <c r="E547" s="57" t="s">
        <v>2783</v>
      </c>
      <c r="F547" s="58" t="s">
        <v>2271</v>
      </c>
      <c r="G547" s="59">
        <v>45598</v>
      </c>
      <c r="H547" s="57" t="s">
        <v>598</v>
      </c>
      <c r="I547" s="62">
        <f t="shared" si="37"/>
        <v>145.09090909090924</v>
      </c>
      <c r="J547" s="63">
        <v>1596</v>
      </c>
      <c r="K547" s="63">
        <f t="shared" si="38"/>
        <v>1596</v>
      </c>
      <c r="L547" s="62" t="str">
        <f t="shared" si="39"/>
        <v/>
      </c>
      <c r="M547" s="63"/>
    </row>
    <row r="548" spans="2:13" s="46" customFormat="1" ht="15">
      <c r="B548" s="534">
        <f t="shared" si="36"/>
        <v>543</v>
      </c>
      <c r="C548" s="56" t="s">
        <v>2262</v>
      </c>
      <c r="D548" s="56" t="s">
        <v>2790</v>
      </c>
      <c r="E548" s="57" t="s">
        <v>2791</v>
      </c>
      <c r="F548" s="64"/>
      <c r="G548" s="59">
        <v>45598</v>
      </c>
      <c r="H548" s="57" t="s">
        <v>49</v>
      </c>
      <c r="I548" s="62">
        <f t="shared" si="37"/>
        <v>120</v>
      </c>
      <c r="J548" s="63">
        <v>1320</v>
      </c>
      <c r="K548" s="63">
        <f t="shared" si="38"/>
        <v>1320</v>
      </c>
      <c r="L548" s="62" t="str">
        <f t="shared" si="39"/>
        <v/>
      </c>
      <c r="M548" s="63"/>
    </row>
    <row r="549" spans="2:13" s="46" customFormat="1" ht="15">
      <c r="B549" s="534">
        <f t="shared" si="36"/>
        <v>544</v>
      </c>
      <c r="C549" s="56" t="s">
        <v>2262</v>
      </c>
      <c r="D549" s="56" t="s">
        <v>2504</v>
      </c>
      <c r="E549" s="57" t="s">
        <v>2792</v>
      </c>
      <c r="F549" s="64"/>
      <c r="G549" s="59">
        <v>45598</v>
      </c>
      <c r="H549" s="57" t="s">
        <v>49</v>
      </c>
      <c r="I549" s="62">
        <f t="shared" si="37"/>
        <v>10.000000000000014</v>
      </c>
      <c r="J549" s="63">
        <v>110</v>
      </c>
      <c r="K549" s="63">
        <f t="shared" si="38"/>
        <v>110</v>
      </c>
      <c r="L549" s="62" t="str">
        <f t="shared" si="39"/>
        <v/>
      </c>
      <c r="M549" s="63"/>
    </row>
    <row r="550" spans="2:13" s="46" customFormat="1" ht="15">
      <c r="B550" s="534">
        <f t="shared" si="36"/>
        <v>545</v>
      </c>
      <c r="C550" s="56" t="s">
        <v>2262</v>
      </c>
      <c r="D550" s="56" t="s">
        <v>3</v>
      </c>
      <c r="E550" s="57" t="s">
        <v>2793</v>
      </c>
      <c r="F550" s="58"/>
      <c r="G550" s="59">
        <v>45600</v>
      </c>
      <c r="H550" s="57" t="s">
        <v>27</v>
      </c>
      <c r="I550" s="62">
        <f t="shared" si="37"/>
        <v>136.36363636363649</v>
      </c>
      <c r="J550" s="63">
        <v>1500</v>
      </c>
      <c r="K550" s="63">
        <f t="shared" si="38"/>
        <v>1500</v>
      </c>
      <c r="L550" s="62" t="str">
        <f t="shared" si="39"/>
        <v/>
      </c>
      <c r="M550" s="63"/>
    </row>
    <row r="551" spans="2:13" s="46" customFormat="1" ht="15">
      <c r="B551" s="534">
        <f t="shared" si="36"/>
        <v>546</v>
      </c>
      <c r="C551" s="56" t="s">
        <v>2342</v>
      </c>
      <c r="D551" s="56" t="s">
        <v>2693</v>
      </c>
      <c r="E551" s="57" t="s">
        <v>2694</v>
      </c>
      <c r="F551" s="64">
        <v>178.5</v>
      </c>
      <c r="G551" s="59">
        <v>45601</v>
      </c>
      <c r="H551" s="57" t="s">
        <v>2695</v>
      </c>
      <c r="I551" s="62">
        <f t="shared" si="37"/>
        <v>19.090909090909093</v>
      </c>
      <c r="J551" s="63">
        <f>IF(F551&lt;=150,170,IF(F551&lt;=200,210,IF(F551&lt;=250,240,290)))</f>
        <v>210</v>
      </c>
      <c r="K551" s="63">
        <f t="shared" si="38"/>
        <v>210</v>
      </c>
      <c r="L551" s="62" t="str">
        <f t="shared" si="39"/>
        <v/>
      </c>
      <c r="M551" s="63"/>
    </row>
    <row r="552" spans="2:13" s="46" customFormat="1" ht="15">
      <c r="B552" s="534">
        <f t="shared" si="36"/>
        <v>547</v>
      </c>
      <c r="C552" s="56" t="s">
        <v>2342</v>
      </c>
      <c r="D552" s="56" t="s">
        <v>2693</v>
      </c>
      <c r="E552" s="57" t="s">
        <v>2694</v>
      </c>
      <c r="F552" s="64">
        <v>194</v>
      </c>
      <c r="G552" s="59">
        <v>45601</v>
      </c>
      <c r="H552" s="57" t="s">
        <v>2695</v>
      </c>
      <c r="I552" s="62">
        <f t="shared" si="37"/>
        <v>19.090909090909093</v>
      </c>
      <c r="J552" s="63">
        <f>IF(F552&lt;=150,170,IF(F552&lt;=200,210,IF(F552&lt;=250,240,290)))</f>
        <v>210</v>
      </c>
      <c r="K552" s="63">
        <f t="shared" si="38"/>
        <v>210</v>
      </c>
      <c r="L552" s="62" t="str">
        <f t="shared" si="39"/>
        <v/>
      </c>
      <c r="M552" s="63"/>
    </row>
    <row r="553" spans="2:13" s="46" customFormat="1" ht="15">
      <c r="B553" s="534">
        <f t="shared" si="36"/>
        <v>548</v>
      </c>
      <c r="C553" s="69" t="s">
        <v>2670</v>
      </c>
      <c r="D553" s="69" t="s">
        <v>2282</v>
      </c>
      <c r="E553" s="70" t="str">
        <f>VLOOKUP(F553,購入者リスト!B:F,4,FALSE)</f>
        <v>多肉 モラニーxルンヨニーサンカルロス入り 7種セット 抜き苗</v>
      </c>
      <c r="F553" s="69">
        <v>13</v>
      </c>
      <c r="G553" s="71" t="str">
        <f>VLOOKUP(F553,購入者リスト!B:M,12,FALSE)</f>
        <v>24/11/05</v>
      </c>
      <c r="H553" s="70" t="s">
        <v>27</v>
      </c>
      <c r="I553" s="73" t="str">
        <f t="shared" si="37"/>
        <v/>
      </c>
      <c r="J553" s="74"/>
      <c r="K553" s="74">
        <f t="shared" si="38"/>
        <v>0</v>
      </c>
      <c r="L553" s="73">
        <f t="shared" si="39"/>
        <v>154.54545454545473</v>
      </c>
      <c r="M553" s="74">
        <f>VLOOKUP(F553,購入者リスト!B:F,5,FALSE)</f>
        <v>1700</v>
      </c>
    </row>
    <row r="554" spans="2:13" s="46" customFormat="1" ht="15">
      <c r="B554" s="534">
        <f t="shared" si="36"/>
        <v>549</v>
      </c>
      <c r="C554" s="69" t="s">
        <v>2671</v>
      </c>
      <c r="D554" s="69" t="s">
        <v>2672</v>
      </c>
      <c r="E554" s="70" t="s">
        <v>2673</v>
      </c>
      <c r="F554" s="72"/>
      <c r="G554" s="71" t="str">
        <f>G553</f>
        <v>24/11/05</v>
      </c>
      <c r="H554" s="70" t="s">
        <v>27</v>
      </c>
      <c r="I554" s="73">
        <f t="shared" si="37"/>
        <v>15.454545454545467</v>
      </c>
      <c r="J554" s="74">
        <f>M553*0.1</f>
        <v>170</v>
      </c>
      <c r="K554" s="74">
        <f t="shared" si="38"/>
        <v>170</v>
      </c>
      <c r="L554" s="73" t="str">
        <f t="shared" si="39"/>
        <v/>
      </c>
      <c r="M554" s="74"/>
    </row>
    <row r="555" spans="2:13" s="46" customFormat="1" ht="15">
      <c r="B555" s="534">
        <f t="shared" si="36"/>
        <v>550</v>
      </c>
      <c r="C555" s="69" t="s">
        <v>2670</v>
      </c>
      <c r="D555" s="69" t="s">
        <v>2282</v>
      </c>
      <c r="E555" s="70" t="str">
        <f>VLOOKUP(F555,購入者リスト!B:F,4,FALSE)</f>
        <v>多肉 ピンクキャビア入り 7種セット B 抜き苗</v>
      </c>
      <c r="F555" s="69">
        <v>15</v>
      </c>
      <c r="G555" s="71" t="str">
        <f>VLOOKUP(F555,購入者リスト!B:M,12,FALSE)</f>
        <v>24/11/08</v>
      </c>
      <c r="H555" s="70" t="s">
        <v>27</v>
      </c>
      <c r="I555" s="73" t="str">
        <f t="shared" si="37"/>
        <v/>
      </c>
      <c r="J555" s="74"/>
      <c r="K555" s="74">
        <f t="shared" si="38"/>
        <v>0</v>
      </c>
      <c r="L555" s="73">
        <f t="shared" si="39"/>
        <v>136.36363636363649</v>
      </c>
      <c r="M555" s="74">
        <f>VLOOKUP(F555,購入者リスト!B:F,5,FALSE)</f>
        <v>1500</v>
      </c>
    </row>
    <row r="556" spans="2:13" s="46" customFormat="1" ht="15">
      <c r="B556" s="534">
        <f t="shared" si="36"/>
        <v>551</v>
      </c>
      <c r="C556" s="69" t="s">
        <v>2671</v>
      </c>
      <c r="D556" s="69" t="s">
        <v>2672</v>
      </c>
      <c r="E556" s="70" t="s">
        <v>2673</v>
      </c>
      <c r="F556" s="72"/>
      <c r="G556" s="71" t="str">
        <f>G555</f>
        <v>24/11/08</v>
      </c>
      <c r="H556" s="70" t="s">
        <v>27</v>
      </c>
      <c r="I556" s="73">
        <f t="shared" si="37"/>
        <v>13.636363636363654</v>
      </c>
      <c r="J556" s="74">
        <f>M555*0.1</f>
        <v>150</v>
      </c>
      <c r="K556" s="74">
        <f t="shared" si="38"/>
        <v>150</v>
      </c>
      <c r="L556" s="73" t="str">
        <f t="shared" si="39"/>
        <v/>
      </c>
      <c r="M556" s="74"/>
    </row>
    <row r="557" spans="2:13" s="46" customFormat="1" ht="15">
      <c r="B557" s="534">
        <f t="shared" si="36"/>
        <v>552</v>
      </c>
      <c r="C557" s="56" t="s">
        <v>2262</v>
      </c>
      <c r="D557" s="56" t="s">
        <v>2305</v>
      </c>
      <c r="E557" s="57" t="s">
        <v>2423</v>
      </c>
      <c r="F557" s="58"/>
      <c r="G557" s="59">
        <v>45606</v>
      </c>
      <c r="H557" s="57" t="s">
        <v>2307</v>
      </c>
      <c r="I557" s="62">
        <f t="shared" si="37"/>
        <v>727.09090909090992</v>
      </c>
      <c r="J557" s="63">
        <v>7998</v>
      </c>
      <c r="K557" s="63">
        <f t="shared" si="38"/>
        <v>7998</v>
      </c>
      <c r="L557" s="62" t="str">
        <f t="shared" si="39"/>
        <v/>
      </c>
      <c r="M557" s="63"/>
    </row>
    <row r="558" spans="2:13" s="46" customFormat="1" ht="15">
      <c r="B558" s="534">
        <f t="shared" si="36"/>
        <v>553</v>
      </c>
      <c r="C558" s="56" t="s">
        <v>2262</v>
      </c>
      <c r="D558" s="56" t="s">
        <v>2305</v>
      </c>
      <c r="E558" s="57" t="s">
        <v>2423</v>
      </c>
      <c r="F558" s="58"/>
      <c r="G558" s="59">
        <v>45606</v>
      </c>
      <c r="H558" s="57" t="s">
        <v>2307</v>
      </c>
      <c r="I558" s="62">
        <f t="shared" si="37"/>
        <v>727.09090909090992</v>
      </c>
      <c r="J558" s="63">
        <v>7998</v>
      </c>
      <c r="K558" s="63">
        <f t="shared" si="38"/>
        <v>7998</v>
      </c>
      <c r="L558" s="62" t="str">
        <f t="shared" si="39"/>
        <v/>
      </c>
      <c r="M558" s="63"/>
    </row>
    <row r="559" spans="2:13" s="46" customFormat="1" ht="15">
      <c r="B559" s="534">
        <f t="shared" si="36"/>
        <v>554</v>
      </c>
      <c r="C559" s="56" t="s">
        <v>2262</v>
      </c>
      <c r="D559" s="56" t="s">
        <v>2794</v>
      </c>
      <c r="E559" s="57" t="s">
        <v>2795</v>
      </c>
      <c r="F559" s="58"/>
      <c r="G559" s="59">
        <v>45606</v>
      </c>
      <c r="H559" s="57" t="s">
        <v>45</v>
      </c>
      <c r="I559" s="62">
        <f t="shared" si="37"/>
        <v>30</v>
      </c>
      <c r="J559" s="63">
        <v>330</v>
      </c>
      <c r="K559" s="63">
        <f t="shared" si="38"/>
        <v>330</v>
      </c>
      <c r="L559" s="62" t="str">
        <f t="shared" si="39"/>
        <v/>
      </c>
      <c r="M559" s="63"/>
    </row>
    <row r="560" spans="2:13" s="46" customFormat="1" ht="15">
      <c r="B560" s="534">
        <f t="shared" si="36"/>
        <v>555</v>
      </c>
      <c r="C560" s="56" t="s">
        <v>2262</v>
      </c>
      <c r="D560" s="56" t="s">
        <v>2796</v>
      </c>
      <c r="E560" s="57" t="s">
        <v>2797</v>
      </c>
      <c r="F560" s="58"/>
      <c r="G560" s="59">
        <v>45606</v>
      </c>
      <c r="H560" s="57" t="s">
        <v>45</v>
      </c>
      <c r="I560" s="62">
        <f t="shared" si="37"/>
        <v>30</v>
      </c>
      <c r="J560" s="63">
        <v>330</v>
      </c>
      <c r="K560" s="63">
        <f t="shared" si="38"/>
        <v>330</v>
      </c>
      <c r="L560" s="62" t="str">
        <f t="shared" si="39"/>
        <v/>
      </c>
      <c r="M560" s="63"/>
    </row>
    <row r="561" spans="2:13" s="46" customFormat="1" ht="15">
      <c r="B561" s="534">
        <f t="shared" si="36"/>
        <v>556</v>
      </c>
      <c r="C561" s="56" t="s">
        <v>2262</v>
      </c>
      <c r="D561" s="56" t="s">
        <v>2283</v>
      </c>
      <c r="E561" s="57" t="s">
        <v>2798</v>
      </c>
      <c r="F561" s="58"/>
      <c r="G561" s="59">
        <v>45606</v>
      </c>
      <c r="H561" s="57" t="s">
        <v>45</v>
      </c>
      <c r="I561" s="62">
        <f t="shared" si="37"/>
        <v>20.000000000000028</v>
      </c>
      <c r="J561" s="63">
        <v>220</v>
      </c>
      <c r="K561" s="63">
        <f t="shared" si="38"/>
        <v>220</v>
      </c>
      <c r="L561" s="62" t="str">
        <f t="shared" si="39"/>
        <v/>
      </c>
      <c r="M561" s="63"/>
    </row>
    <row r="562" spans="2:13" s="46" customFormat="1" ht="15">
      <c r="B562" s="534">
        <f t="shared" si="36"/>
        <v>557</v>
      </c>
      <c r="C562" s="56" t="s">
        <v>2342</v>
      </c>
      <c r="D562" s="56" t="s">
        <v>2693</v>
      </c>
      <c r="E562" s="57" t="s">
        <v>2694</v>
      </c>
      <c r="F562" s="64">
        <v>177.5</v>
      </c>
      <c r="G562" s="59">
        <v>45607</v>
      </c>
      <c r="H562" s="57" t="s">
        <v>2695</v>
      </c>
      <c r="I562" s="62">
        <f t="shared" si="37"/>
        <v>19.090909090909093</v>
      </c>
      <c r="J562" s="63">
        <f>IF(F562&lt;=150,170,IF(F562&lt;=200,210,IF(F562&lt;=250,240,290)))</f>
        <v>210</v>
      </c>
      <c r="K562" s="63">
        <f t="shared" si="38"/>
        <v>210</v>
      </c>
      <c r="L562" s="62" t="str">
        <f t="shared" si="39"/>
        <v/>
      </c>
      <c r="M562" s="63"/>
    </row>
    <row r="563" spans="2:13" s="46" customFormat="1" ht="15">
      <c r="B563" s="534">
        <f t="shared" si="36"/>
        <v>558</v>
      </c>
      <c r="C563" s="56" t="s">
        <v>2342</v>
      </c>
      <c r="D563" s="56" t="s">
        <v>2693</v>
      </c>
      <c r="E563" s="57" t="s">
        <v>2694</v>
      </c>
      <c r="F563" s="64">
        <v>177.5</v>
      </c>
      <c r="G563" s="59">
        <v>45607</v>
      </c>
      <c r="H563" s="57" t="s">
        <v>2695</v>
      </c>
      <c r="I563" s="62">
        <f t="shared" si="37"/>
        <v>19.090909090909093</v>
      </c>
      <c r="J563" s="63">
        <f>IF(F563&lt;=150,170,IF(F563&lt;=200,210,IF(F563&lt;=250,240,290)))</f>
        <v>210</v>
      </c>
      <c r="K563" s="63">
        <f t="shared" si="38"/>
        <v>210</v>
      </c>
      <c r="L563" s="62" t="str">
        <f t="shared" si="39"/>
        <v/>
      </c>
      <c r="M563" s="63"/>
    </row>
    <row r="564" spans="2:13" s="46" customFormat="1" ht="15">
      <c r="B564" s="534">
        <f t="shared" si="36"/>
        <v>559</v>
      </c>
      <c r="C564" s="56" t="s">
        <v>2342</v>
      </c>
      <c r="D564" s="56" t="s">
        <v>2693</v>
      </c>
      <c r="E564" s="57" t="s">
        <v>2694</v>
      </c>
      <c r="F564" s="64">
        <v>220.5</v>
      </c>
      <c r="G564" s="59">
        <v>45607</v>
      </c>
      <c r="H564" s="57" t="s">
        <v>2695</v>
      </c>
      <c r="I564" s="62">
        <f t="shared" si="37"/>
        <v>21.818181818181841</v>
      </c>
      <c r="J564" s="63">
        <f>IF(F564&lt;=150,170,IF(F564&lt;=200,210,IF(F564&lt;=250,240,290)))</f>
        <v>240</v>
      </c>
      <c r="K564" s="63">
        <f t="shared" si="38"/>
        <v>240</v>
      </c>
      <c r="L564" s="62" t="str">
        <f t="shared" si="39"/>
        <v/>
      </c>
      <c r="M564" s="63"/>
    </row>
    <row r="565" spans="2:13" s="46" customFormat="1" ht="15">
      <c r="B565" s="534">
        <f t="shared" si="36"/>
        <v>560</v>
      </c>
      <c r="C565" s="69" t="s">
        <v>2670</v>
      </c>
      <c r="D565" s="69" t="s">
        <v>2282</v>
      </c>
      <c r="E565" s="70" t="str">
        <f>VLOOKUP(F565,購入者リスト!B:F,4,FALSE)</f>
        <v>多肉 ピンクキャビア入り 7種セット A 抜き苗</v>
      </c>
      <c r="F565" s="69">
        <v>14</v>
      </c>
      <c r="G565" s="71" t="str">
        <f>VLOOKUP(F565,購入者リスト!B:M,12,FALSE)</f>
        <v>24/11/11</v>
      </c>
      <c r="H565" s="70" t="s">
        <v>27</v>
      </c>
      <c r="I565" s="73" t="str">
        <f t="shared" si="37"/>
        <v/>
      </c>
      <c r="J565" s="74"/>
      <c r="K565" s="74">
        <f t="shared" si="38"/>
        <v>0</v>
      </c>
      <c r="L565" s="73">
        <f t="shared" si="39"/>
        <v>136.36363636363649</v>
      </c>
      <c r="M565" s="74">
        <f>VLOOKUP(F565,購入者リスト!B:F,5,FALSE)</f>
        <v>1500</v>
      </c>
    </row>
    <row r="566" spans="2:13" s="46" customFormat="1" ht="15">
      <c r="B566" s="534">
        <f t="shared" si="36"/>
        <v>561</v>
      </c>
      <c r="C566" s="69" t="s">
        <v>2671</v>
      </c>
      <c r="D566" s="69" t="s">
        <v>2672</v>
      </c>
      <c r="E566" s="70" t="s">
        <v>2673</v>
      </c>
      <c r="F566" s="72"/>
      <c r="G566" s="71" t="str">
        <f>G565</f>
        <v>24/11/11</v>
      </c>
      <c r="H566" s="70" t="s">
        <v>27</v>
      </c>
      <c r="I566" s="73">
        <f t="shared" si="37"/>
        <v>13.636363636363654</v>
      </c>
      <c r="J566" s="74">
        <f>M565*0.1</f>
        <v>150</v>
      </c>
      <c r="K566" s="74">
        <f t="shared" si="38"/>
        <v>150</v>
      </c>
      <c r="L566" s="73" t="str">
        <f t="shared" si="39"/>
        <v/>
      </c>
      <c r="M566" s="74"/>
    </row>
    <row r="567" spans="2:13" s="46" customFormat="1" ht="15">
      <c r="B567" s="534">
        <f t="shared" si="36"/>
        <v>562</v>
      </c>
      <c r="C567" s="69" t="s">
        <v>2670</v>
      </c>
      <c r="D567" s="69" t="s">
        <v>2282</v>
      </c>
      <c r="E567" s="70" t="str">
        <f>VLOOKUP(F567,購入者リスト!B:F,4,FALSE)</f>
        <v>多肉 七福神入り 7種セット A 抜き苗</v>
      </c>
      <c r="F567" s="69">
        <v>17</v>
      </c>
      <c r="G567" s="71" t="str">
        <f>VLOOKUP(F567,購入者リスト!B:M,12,FALSE)</f>
        <v>24/11/14</v>
      </c>
      <c r="H567" s="70" t="s">
        <v>27</v>
      </c>
      <c r="I567" s="73" t="str">
        <f t="shared" si="37"/>
        <v/>
      </c>
      <c r="J567" s="74"/>
      <c r="K567" s="74">
        <f t="shared" si="38"/>
        <v>0</v>
      </c>
      <c r="L567" s="73">
        <f t="shared" si="39"/>
        <v>136.36363636363649</v>
      </c>
      <c r="M567" s="74">
        <f>VLOOKUP(F567,購入者リスト!B:F,5,FALSE)</f>
        <v>1500</v>
      </c>
    </row>
    <row r="568" spans="2:13" s="46" customFormat="1" ht="15">
      <c r="B568" s="534">
        <f t="shared" si="36"/>
        <v>563</v>
      </c>
      <c r="C568" s="69" t="s">
        <v>2671</v>
      </c>
      <c r="D568" s="69" t="s">
        <v>2672</v>
      </c>
      <c r="E568" s="70" t="s">
        <v>2673</v>
      </c>
      <c r="F568" s="72"/>
      <c r="G568" s="71" t="str">
        <f>G567</f>
        <v>24/11/14</v>
      </c>
      <c r="H568" s="70" t="s">
        <v>27</v>
      </c>
      <c r="I568" s="73">
        <f t="shared" si="37"/>
        <v>13.636363636363654</v>
      </c>
      <c r="J568" s="74">
        <f>M567*0.1</f>
        <v>150</v>
      </c>
      <c r="K568" s="74">
        <f t="shared" si="38"/>
        <v>150</v>
      </c>
      <c r="L568" s="73" t="str">
        <f t="shared" si="39"/>
        <v/>
      </c>
      <c r="M568" s="74"/>
    </row>
    <row r="569" spans="2:13" s="46" customFormat="1" ht="15">
      <c r="B569" s="534">
        <f t="shared" si="36"/>
        <v>564</v>
      </c>
      <c r="C569" s="69" t="s">
        <v>2670</v>
      </c>
      <c r="D569" s="69" t="s">
        <v>2282</v>
      </c>
      <c r="E569" s="70" t="str">
        <f>VLOOKUP(F569,購入者リスト!B:F,4,FALSE)</f>
        <v>多肉 ももりん入り 7種セット 抜き苗</v>
      </c>
      <c r="F569" s="69">
        <v>16</v>
      </c>
      <c r="G569" s="71" t="str">
        <f>VLOOKUP(F569,購入者リスト!B:M,12,FALSE)</f>
        <v>24/11/14</v>
      </c>
      <c r="H569" s="70" t="s">
        <v>27</v>
      </c>
      <c r="I569" s="73" t="str">
        <f t="shared" si="37"/>
        <v/>
      </c>
      <c r="J569" s="74"/>
      <c r="K569" s="74">
        <f t="shared" si="38"/>
        <v>0</v>
      </c>
      <c r="L569" s="73">
        <f t="shared" si="39"/>
        <v>145.4545454545455</v>
      </c>
      <c r="M569" s="74">
        <f>VLOOKUP(F569,購入者リスト!B:F,5,FALSE)</f>
        <v>1600</v>
      </c>
    </row>
    <row r="570" spans="2:13" s="46" customFormat="1" ht="15">
      <c r="B570" s="534">
        <f t="shared" si="36"/>
        <v>565</v>
      </c>
      <c r="C570" s="69" t="s">
        <v>2671</v>
      </c>
      <c r="D570" s="69" t="s">
        <v>2672</v>
      </c>
      <c r="E570" s="70" t="s">
        <v>2673</v>
      </c>
      <c r="F570" s="72"/>
      <c r="G570" s="71" t="str">
        <f>G569</f>
        <v>24/11/14</v>
      </c>
      <c r="H570" s="70" t="s">
        <v>27</v>
      </c>
      <c r="I570" s="73">
        <f t="shared" si="37"/>
        <v>14.545454545454561</v>
      </c>
      <c r="J570" s="74">
        <f>M569*0.1</f>
        <v>160</v>
      </c>
      <c r="K570" s="74">
        <f t="shared" si="38"/>
        <v>160</v>
      </c>
      <c r="L570" s="73" t="str">
        <f t="shared" si="39"/>
        <v/>
      </c>
      <c r="M570" s="74"/>
    </row>
    <row r="571" spans="2:13" s="46" customFormat="1" ht="15">
      <c r="B571" s="534">
        <f t="shared" si="36"/>
        <v>566</v>
      </c>
      <c r="C571" s="69" t="s">
        <v>2670</v>
      </c>
      <c r="D571" s="69" t="s">
        <v>2282</v>
      </c>
      <c r="E571" s="70" t="str">
        <f>VLOOKUP(F571,購入者リスト!B:F,4,FALSE)</f>
        <v>多肉 七福神入り 7種セット B 抜き苗</v>
      </c>
      <c r="F571" s="69">
        <v>18</v>
      </c>
      <c r="G571" s="71" t="str">
        <f>VLOOKUP(F571,購入者リスト!B:M,12,FALSE)</f>
        <v>24/11/13</v>
      </c>
      <c r="H571" s="70" t="s">
        <v>27</v>
      </c>
      <c r="I571" s="73" t="str">
        <f t="shared" si="37"/>
        <v/>
      </c>
      <c r="J571" s="74"/>
      <c r="K571" s="74">
        <f t="shared" si="38"/>
        <v>0</v>
      </c>
      <c r="L571" s="73">
        <f t="shared" si="39"/>
        <v>136.36363636363649</v>
      </c>
      <c r="M571" s="74">
        <f>VLOOKUP(F571,購入者リスト!B:F,5,FALSE)</f>
        <v>1500</v>
      </c>
    </row>
    <row r="572" spans="2:13" s="46" customFormat="1" ht="15">
      <c r="B572" s="534">
        <f t="shared" si="36"/>
        <v>567</v>
      </c>
      <c r="C572" s="69" t="s">
        <v>2671</v>
      </c>
      <c r="D572" s="69" t="s">
        <v>2672</v>
      </c>
      <c r="E572" s="70" t="s">
        <v>2673</v>
      </c>
      <c r="F572" s="72"/>
      <c r="G572" s="71" t="str">
        <f>G571</f>
        <v>24/11/13</v>
      </c>
      <c r="H572" s="70" t="s">
        <v>27</v>
      </c>
      <c r="I572" s="73">
        <f t="shared" si="37"/>
        <v>13.636363636363654</v>
      </c>
      <c r="J572" s="74">
        <f>M571*0.1</f>
        <v>150</v>
      </c>
      <c r="K572" s="74">
        <f t="shared" si="38"/>
        <v>150</v>
      </c>
      <c r="L572" s="73" t="str">
        <f t="shared" si="39"/>
        <v/>
      </c>
      <c r="M572" s="74"/>
    </row>
    <row r="573" spans="2:13" s="46" customFormat="1" ht="15">
      <c r="B573" s="534">
        <f t="shared" si="36"/>
        <v>568</v>
      </c>
      <c r="C573" s="56" t="s">
        <v>2262</v>
      </c>
      <c r="D573" s="56" t="s">
        <v>2786</v>
      </c>
      <c r="E573" s="57" t="s">
        <v>2799</v>
      </c>
      <c r="F573" s="58"/>
      <c r="G573" s="59">
        <v>45612</v>
      </c>
      <c r="H573" s="57" t="s">
        <v>2265</v>
      </c>
      <c r="I573" s="62">
        <f t="shared" si="37"/>
        <v>10.000000000000014</v>
      </c>
      <c r="J573" s="63">
        <v>110</v>
      </c>
      <c r="K573" s="63">
        <f t="shared" si="38"/>
        <v>110</v>
      </c>
      <c r="L573" s="62" t="str">
        <f t="shared" si="39"/>
        <v/>
      </c>
      <c r="M573" s="63"/>
    </row>
    <row r="574" spans="2:13" s="46" customFormat="1" ht="15">
      <c r="B574" s="534">
        <f t="shared" si="36"/>
        <v>569</v>
      </c>
      <c r="C574" s="56" t="s">
        <v>2262</v>
      </c>
      <c r="D574" s="56" t="s">
        <v>2579</v>
      </c>
      <c r="E574" s="57" t="s">
        <v>2800</v>
      </c>
      <c r="F574" s="58" t="s">
        <v>2271</v>
      </c>
      <c r="G574" s="59">
        <v>45612</v>
      </c>
      <c r="H574" s="57" t="s">
        <v>2265</v>
      </c>
      <c r="I574" s="62">
        <f t="shared" si="37"/>
        <v>20.000000000000028</v>
      </c>
      <c r="J574" s="63">
        <v>220</v>
      </c>
      <c r="K574" s="63">
        <f t="shared" si="38"/>
        <v>220</v>
      </c>
      <c r="L574" s="62" t="str">
        <f t="shared" si="39"/>
        <v/>
      </c>
      <c r="M574" s="63"/>
    </row>
    <row r="575" spans="2:13" s="46" customFormat="1" ht="15">
      <c r="B575" s="534">
        <f t="shared" si="36"/>
        <v>570</v>
      </c>
      <c r="C575" s="56" t="s">
        <v>2262</v>
      </c>
      <c r="D575" s="56" t="s">
        <v>2579</v>
      </c>
      <c r="E575" s="57" t="s">
        <v>2801</v>
      </c>
      <c r="F575" s="58"/>
      <c r="G575" s="59">
        <v>45619</v>
      </c>
      <c r="H575" s="57" t="s">
        <v>2265</v>
      </c>
      <c r="I575" s="62">
        <f t="shared" si="37"/>
        <v>20.000000000000028</v>
      </c>
      <c r="J575" s="63">
        <v>220</v>
      </c>
      <c r="K575" s="63">
        <f t="shared" si="38"/>
        <v>220</v>
      </c>
      <c r="L575" s="62" t="str">
        <f t="shared" si="39"/>
        <v/>
      </c>
      <c r="M575" s="63"/>
    </row>
    <row r="576" spans="2:13" s="46" customFormat="1" ht="15">
      <c r="B576" s="534">
        <f t="shared" si="36"/>
        <v>571</v>
      </c>
      <c r="C576" s="56" t="s">
        <v>2262</v>
      </c>
      <c r="D576" s="56" t="s">
        <v>2295</v>
      </c>
      <c r="E576" s="57" t="s">
        <v>2766</v>
      </c>
      <c r="F576" s="58"/>
      <c r="G576" s="59">
        <v>45619</v>
      </c>
      <c r="H576" s="57" t="s">
        <v>2265</v>
      </c>
      <c r="I576" s="62">
        <f t="shared" si="37"/>
        <v>40.000000000000057</v>
      </c>
      <c r="J576" s="63">
        <v>440</v>
      </c>
      <c r="K576" s="63">
        <f t="shared" si="38"/>
        <v>440</v>
      </c>
      <c r="L576" s="62" t="str">
        <f t="shared" si="39"/>
        <v/>
      </c>
      <c r="M576" s="63"/>
    </row>
    <row r="577" spans="2:13" s="46" customFormat="1" ht="15">
      <c r="B577" s="534">
        <f t="shared" si="36"/>
        <v>572</v>
      </c>
      <c r="C577" s="56" t="s">
        <v>2262</v>
      </c>
      <c r="D577" s="56" t="s">
        <v>2640</v>
      </c>
      <c r="E577" s="57" t="s">
        <v>2802</v>
      </c>
      <c r="F577" s="58"/>
      <c r="G577" s="59">
        <v>45619</v>
      </c>
      <c r="H577" s="57" t="s">
        <v>2265</v>
      </c>
      <c r="I577" s="62">
        <f t="shared" si="37"/>
        <v>10.000000000000014</v>
      </c>
      <c r="J577" s="63">
        <v>110</v>
      </c>
      <c r="K577" s="63">
        <f t="shared" si="38"/>
        <v>110</v>
      </c>
      <c r="L577" s="62" t="str">
        <f t="shared" si="39"/>
        <v/>
      </c>
      <c r="M577" s="63"/>
    </row>
    <row r="578" spans="2:13" s="46" customFormat="1" ht="15">
      <c r="B578" s="534">
        <f t="shared" si="36"/>
        <v>573</v>
      </c>
      <c r="C578" s="56" t="s">
        <v>2262</v>
      </c>
      <c r="D578" s="56" t="s">
        <v>2803</v>
      </c>
      <c r="E578" s="57" t="s">
        <v>2804</v>
      </c>
      <c r="F578" s="58"/>
      <c r="G578" s="59">
        <v>45619</v>
      </c>
      <c r="H578" s="57" t="s">
        <v>2265</v>
      </c>
      <c r="I578" s="62">
        <f t="shared" si="37"/>
        <v>10.000000000000014</v>
      </c>
      <c r="J578" s="63">
        <v>110</v>
      </c>
      <c r="K578" s="63">
        <f t="shared" si="38"/>
        <v>110</v>
      </c>
      <c r="L578" s="62" t="str">
        <f t="shared" si="39"/>
        <v/>
      </c>
      <c r="M578" s="63"/>
    </row>
    <row r="579" spans="2:13" s="46" customFormat="1" ht="15">
      <c r="B579" s="534">
        <f t="shared" si="36"/>
        <v>574</v>
      </c>
      <c r="C579" s="56" t="s">
        <v>2262</v>
      </c>
      <c r="D579" s="56" t="s">
        <v>2805</v>
      </c>
      <c r="E579" s="57" t="s">
        <v>2805</v>
      </c>
      <c r="F579" s="58" t="s">
        <v>2271</v>
      </c>
      <c r="G579" s="59">
        <v>45619</v>
      </c>
      <c r="H579" s="57" t="s">
        <v>2265</v>
      </c>
      <c r="I579" s="62">
        <f t="shared" si="37"/>
        <v>20.000000000000028</v>
      </c>
      <c r="J579" s="63">
        <v>220</v>
      </c>
      <c r="K579" s="63">
        <f t="shared" si="38"/>
        <v>220</v>
      </c>
      <c r="L579" s="62" t="str">
        <f t="shared" si="39"/>
        <v/>
      </c>
      <c r="M579" s="63"/>
    </row>
    <row r="580" spans="2:13" s="46" customFormat="1" ht="15">
      <c r="B580" s="534">
        <f t="shared" si="36"/>
        <v>575</v>
      </c>
      <c r="C580" s="56" t="s">
        <v>2262</v>
      </c>
      <c r="D580" s="56" t="s">
        <v>2283</v>
      </c>
      <c r="E580" s="57" t="s">
        <v>2798</v>
      </c>
      <c r="F580" s="58" t="s">
        <v>2586</v>
      </c>
      <c r="G580" s="59">
        <v>45620</v>
      </c>
      <c r="H580" s="57" t="s">
        <v>45</v>
      </c>
      <c r="I580" s="62">
        <f t="shared" si="37"/>
        <v>120</v>
      </c>
      <c r="J580" s="63">
        <v>1320</v>
      </c>
      <c r="K580" s="63">
        <f t="shared" si="38"/>
        <v>1320</v>
      </c>
      <c r="L580" s="62" t="str">
        <f t="shared" si="39"/>
        <v/>
      </c>
      <c r="M580" s="63"/>
    </row>
    <row r="581" spans="2:13" s="46" customFormat="1" ht="15">
      <c r="B581" s="534">
        <f t="shared" si="36"/>
        <v>576</v>
      </c>
      <c r="C581" s="56" t="s">
        <v>2262</v>
      </c>
      <c r="D581" s="56" t="s">
        <v>2806</v>
      </c>
      <c r="E581" s="57" t="s">
        <v>2807</v>
      </c>
      <c r="F581" s="64" t="s">
        <v>2271</v>
      </c>
      <c r="G581" s="59">
        <v>45622</v>
      </c>
      <c r="H581" s="57" t="s">
        <v>2808</v>
      </c>
      <c r="I581" s="62">
        <f t="shared" si="37"/>
        <v>592.72727272727298</v>
      </c>
      <c r="J581" s="63">
        <v>6520</v>
      </c>
      <c r="K581" s="63">
        <f t="shared" si="38"/>
        <v>6520</v>
      </c>
      <c r="L581" s="62" t="str">
        <f t="shared" si="39"/>
        <v/>
      </c>
      <c r="M581" s="63"/>
    </row>
    <row r="582" spans="2:13" s="46" customFormat="1" ht="15">
      <c r="B582" s="534">
        <f t="shared" si="36"/>
        <v>577</v>
      </c>
      <c r="C582" s="56" t="s">
        <v>2262</v>
      </c>
      <c r="D582" s="56" t="s">
        <v>2809</v>
      </c>
      <c r="E582" s="57" t="s">
        <v>2810</v>
      </c>
      <c r="F582" s="58"/>
      <c r="G582" s="59">
        <v>45626</v>
      </c>
      <c r="H582" s="57" t="s">
        <v>2307</v>
      </c>
      <c r="I582" s="62">
        <f t="shared" si="37"/>
        <v>154.4545454545455</v>
      </c>
      <c r="J582" s="63">
        <v>1699</v>
      </c>
      <c r="K582" s="63">
        <f t="shared" si="38"/>
        <v>1699</v>
      </c>
      <c r="L582" s="62" t="str">
        <f t="shared" si="39"/>
        <v/>
      </c>
      <c r="M582" s="63"/>
    </row>
    <row r="583" spans="2:13" s="46" customFormat="1" ht="15">
      <c r="B583" s="534">
        <f t="shared" si="36"/>
        <v>578</v>
      </c>
      <c r="C583" s="56" t="s">
        <v>2262</v>
      </c>
      <c r="D583" s="56" t="s">
        <v>2459</v>
      </c>
      <c r="E583" s="57" t="s">
        <v>2811</v>
      </c>
      <c r="F583" s="58"/>
      <c r="G583" s="59">
        <v>45627</v>
      </c>
      <c r="H583" s="57" t="s">
        <v>2265</v>
      </c>
      <c r="I583" s="62">
        <f t="shared" si="37"/>
        <v>30</v>
      </c>
      <c r="J583" s="63">
        <v>330</v>
      </c>
      <c r="K583" s="63">
        <f t="shared" si="38"/>
        <v>330</v>
      </c>
      <c r="L583" s="62" t="str">
        <f t="shared" si="39"/>
        <v/>
      </c>
      <c r="M583" s="63"/>
    </row>
    <row r="584" spans="2:13" s="46" customFormat="1" ht="15">
      <c r="B584" s="534">
        <f t="shared" si="36"/>
        <v>579</v>
      </c>
      <c r="C584" s="56" t="s">
        <v>2262</v>
      </c>
      <c r="D584" s="56" t="s">
        <v>2295</v>
      </c>
      <c r="E584" s="57" t="s">
        <v>2766</v>
      </c>
      <c r="F584" s="58"/>
      <c r="G584" s="59">
        <v>45627</v>
      </c>
      <c r="H584" s="57" t="s">
        <v>2265</v>
      </c>
      <c r="I584" s="62">
        <f t="shared" si="37"/>
        <v>80.000000000000114</v>
      </c>
      <c r="J584" s="63">
        <v>880</v>
      </c>
      <c r="K584" s="63">
        <f t="shared" si="38"/>
        <v>880</v>
      </c>
      <c r="L584" s="62" t="str">
        <f t="shared" si="39"/>
        <v/>
      </c>
      <c r="M584" s="63"/>
    </row>
    <row r="585" spans="2:13" s="46" customFormat="1" ht="15">
      <c r="B585" s="534">
        <f t="shared" si="36"/>
        <v>580</v>
      </c>
      <c r="C585" s="56" t="s">
        <v>2342</v>
      </c>
      <c r="D585" s="56" t="s">
        <v>2693</v>
      </c>
      <c r="E585" s="57" t="s">
        <v>2694</v>
      </c>
      <c r="F585" s="64">
        <v>169.5</v>
      </c>
      <c r="G585" s="59">
        <v>45628</v>
      </c>
      <c r="H585" s="57" t="s">
        <v>2695</v>
      </c>
      <c r="I585" s="62">
        <f t="shared" si="37"/>
        <v>19.090909090909093</v>
      </c>
      <c r="J585" s="63">
        <f>IF(F585&lt;=150,170,IF(F585&lt;=200,210,IF(F585&lt;=250,240,290)))</f>
        <v>210</v>
      </c>
      <c r="K585" s="63">
        <f t="shared" si="38"/>
        <v>210</v>
      </c>
      <c r="L585" s="62" t="str">
        <f t="shared" si="39"/>
        <v/>
      </c>
      <c r="M585" s="63"/>
    </row>
    <row r="586" spans="2:13" s="46" customFormat="1" ht="15">
      <c r="B586" s="534">
        <f t="shared" si="36"/>
        <v>581</v>
      </c>
      <c r="C586" s="56" t="s">
        <v>2342</v>
      </c>
      <c r="D586" s="56" t="s">
        <v>2693</v>
      </c>
      <c r="E586" s="57" t="s">
        <v>2694</v>
      </c>
      <c r="F586" s="64">
        <v>169.5</v>
      </c>
      <c r="G586" s="59">
        <v>45628</v>
      </c>
      <c r="H586" s="57" t="s">
        <v>2695</v>
      </c>
      <c r="I586" s="62">
        <f t="shared" si="37"/>
        <v>19.090909090909093</v>
      </c>
      <c r="J586" s="63">
        <f>IF(F586&lt;=150,170,IF(F586&lt;=200,210,IF(F586&lt;=250,240,290)))</f>
        <v>210</v>
      </c>
      <c r="K586" s="63">
        <f t="shared" si="38"/>
        <v>210</v>
      </c>
      <c r="L586" s="62" t="str">
        <f t="shared" si="39"/>
        <v/>
      </c>
      <c r="M586" s="63"/>
    </row>
    <row r="587" spans="2:13" s="46" customFormat="1" ht="15">
      <c r="B587" s="534">
        <f t="shared" si="36"/>
        <v>582</v>
      </c>
      <c r="C587" s="56" t="s">
        <v>2342</v>
      </c>
      <c r="D587" s="56" t="s">
        <v>2693</v>
      </c>
      <c r="E587" s="57" t="s">
        <v>2694</v>
      </c>
      <c r="F587" s="64">
        <v>169.5</v>
      </c>
      <c r="G587" s="59">
        <v>45628</v>
      </c>
      <c r="H587" s="57" t="s">
        <v>2695</v>
      </c>
      <c r="I587" s="62">
        <f t="shared" si="37"/>
        <v>19.090909090909093</v>
      </c>
      <c r="J587" s="63">
        <f>IF(F587&lt;=150,170,IF(F587&lt;=200,210,IF(F587&lt;=250,240,290)))</f>
        <v>210</v>
      </c>
      <c r="K587" s="63">
        <f t="shared" si="38"/>
        <v>210</v>
      </c>
      <c r="L587" s="62" t="str">
        <f t="shared" si="39"/>
        <v/>
      </c>
      <c r="M587" s="63"/>
    </row>
    <row r="588" spans="2:13" s="46" customFormat="1" ht="15">
      <c r="B588" s="534">
        <f t="shared" ref="B588:B622" si="41">ROW()-5</f>
        <v>583</v>
      </c>
      <c r="C588" s="56" t="s">
        <v>2342</v>
      </c>
      <c r="D588" s="56" t="s">
        <v>2693</v>
      </c>
      <c r="E588" s="57" t="s">
        <v>2694</v>
      </c>
      <c r="F588" s="64">
        <v>169.5</v>
      </c>
      <c r="G588" s="59">
        <v>45628</v>
      </c>
      <c r="H588" s="57" t="s">
        <v>2695</v>
      </c>
      <c r="I588" s="62">
        <f t="shared" ref="I588:I622" si="42">IF(J588&lt;&gt;"",J588-J588/1.1,"")</f>
        <v>19.090909090909093</v>
      </c>
      <c r="J588" s="63">
        <f>IF(F588&lt;=150,170,IF(F588&lt;=200,210,IF(F588&lt;=250,240,290)))</f>
        <v>210</v>
      </c>
      <c r="K588" s="63">
        <f t="shared" ref="K588:K622" si="43">IF(N588="",J588,0)</f>
        <v>210</v>
      </c>
      <c r="L588" s="62" t="str">
        <f t="shared" ref="L588:L622" si="44">IF(M588&lt;&gt;"",M588-M588/1.1,"")</f>
        <v/>
      </c>
      <c r="M588" s="63"/>
    </row>
    <row r="589" spans="2:13" s="46" customFormat="1" ht="15">
      <c r="B589" s="534">
        <f t="shared" si="41"/>
        <v>584</v>
      </c>
      <c r="C589" s="56" t="s">
        <v>2342</v>
      </c>
      <c r="D589" s="56" t="s">
        <v>2693</v>
      </c>
      <c r="E589" s="57" t="s">
        <v>2694</v>
      </c>
      <c r="F589" s="64">
        <v>383</v>
      </c>
      <c r="G589" s="59">
        <v>45628</v>
      </c>
      <c r="H589" s="57" t="s">
        <v>2695</v>
      </c>
      <c r="I589" s="62">
        <f t="shared" si="42"/>
        <v>26.363636363636374</v>
      </c>
      <c r="J589" s="63">
        <f>IF(F589&lt;=150,170,IF(F589&lt;=200,210,IF(F589&lt;=250,240,290)))</f>
        <v>290</v>
      </c>
      <c r="K589" s="63">
        <f t="shared" si="43"/>
        <v>290</v>
      </c>
      <c r="L589" s="62" t="str">
        <f t="shared" si="44"/>
        <v/>
      </c>
      <c r="M589" s="63"/>
    </row>
    <row r="590" spans="2:13" s="46" customFormat="1" ht="15">
      <c r="B590" s="534">
        <f t="shared" si="41"/>
        <v>585</v>
      </c>
      <c r="C590" s="69" t="s">
        <v>2670</v>
      </c>
      <c r="D590" s="69" t="s">
        <v>2282</v>
      </c>
      <c r="E590" s="70" t="str">
        <f>VLOOKUP(F590,購入者リスト!B:F,4,FALSE)</f>
        <v>多肉 はじまりの花入り 7種セット B 抜き苗</v>
      </c>
      <c r="F590" s="69">
        <v>22</v>
      </c>
      <c r="G590" s="71" t="str">
        <f>VLOOKUP(F590,購入者リスト!B:M,12,FALSE)</f>
        <v>24/12/06</v>
      </c>
      <c r="H590" s="70" t="s">
        <v>27</v>
      </c>
      <c r="I590" s="73" t="str">
        <f t="shared" si="42"/>
        <v/>
      </c>
      <c r="J590" s="74"/>
      <c r="K590" s="74">
        <f t="shared" si="43"/>
        <v>0</v>
      </c>
      <c r="L590" s="73">
        <f t="shared" si="44"/>
        <v>154.54545454545473</v>
      </c>
      <c r="M590" s="74">
        <f>VLOOKUP(F590,購入者リスト!B:F,5,FALSE)</f>
        <v>1700</v>
      </c>
    </row>
    <row r="591" spans="2:13" s="46" customFormat="1" ht="15">
      <c r="B591" s="534">
        <f t="shared" si="41"/>
        <v>586</v>
      </c>
      <c r="C591" s="69" t="s">
        <v>2671</v>
      </c>
      <c r="D591" s="69" t="s">
        <v>2672</v>
      </c>
      <c r="E591" s="70" t="s">
        <v>2673</v>
      </c>
      <c r="F591" s="72"/>
      <c r="G591" s="71" t="str">
        <f>G590</f>
        <v>24/12/06</v>
      </c>
      <c r="H591" s="70" t="s">
        <v>27</v>
      </c>
      <c r="I591" s="73">
        <f t="shared" si="42"/>
        <v>15.454545454545467</v>
      </c>
      <c r="J591" s="74">
        <f>M590*0.1</f>
        <v>170</v>
      </c>
      <c r="K591" s="74">
        <f t="shared" si="43"/>
        <v>170</v>
      </c>
      <c r="L591" s="73" t="str">
        <f t="shared" si="44"/>
        <v/>
      </c>
      <c r="M591" s="74"/>
    </row>
    <row r="592" spans="2:13" s="46" customFormat="1" ht="15">
      <c r="B592" s="534">
        <f t="shared" si="41"/>
        <v>587</v>
      </c>
      <c r="C592" s="69" t="s">
        <v>2670</v>
      </c>
      <c r="D592" s="69" t="s">
        <v>2282</v>
      </c>
      <c r="E592" s="70" t="str">
        <f>VLOOKUP(F592,購入者リスト!B:F,4,FALSE)</f>
        <v>多肉 クリスペートビューティー入り 7種セット A 抜き苗</v>
      </c>
      <c r="F592" s="69">
        <v>23</v>
      </c>
      <c r="G592" s="71" t="str">
        <f>VLOOKUP(F592,購入者リスト!B:M,12,FALSE)</f>
        <v>24/12/06</v>
      </c>
      <c r="H592" s="70" t="s">
        <v>27</v>
      </c>
      <c r="I592" s="73" t="str">
        <f t="shared" si="42"/>
        <v/>
      </c>
      <c r="J592" s="74"/>
      <c r="K592" s="74">
        <f t="shared" si="43"/>
        <v>0</v>
      </c>
      <c r="L592" s="73">
        <f t="shared" si="44"/>
        <v>145.4545454545455</v>
      </c>
      <c r="M592" s="74">
        <f>VLOOKUP(F592,購入者リスト!B:F,5,FALSE)</f>
        <v>1600</v>
      </c>
    </row>
    <row r="593" spans="2:13" s="46" customFormat="1" ht="15">
      <c r="B593" s="534">
        <f t="shared" si="41"/>
        <v>588</v>
      </c>
      <c r="C593" s="69" t="s">
        <v>2671</v>
      </c>
      <c r="D593" s="69" t="s">
        <v>2672</v>
      </c>
      <c r="E593" s="70" t="s">
        <v>2673</v>
      </c>
      <c r="F593" s="72"/>
      <c r="G593" s="71" t="str">
        <f>G592</f>
        <v>24/12/06</v>
      </c>
      <c r="H593" s="70" t="s">
        <v>27</v>
      </c>
      <c r="I593" s="73">
        <f t="shared" si="42"/>
        <v>14.545454545454561</v>
      </c>
      <c r="J593" s="74">
        <f>M592*0.1</f>
        <v>160</v>
      </c>
      <c r="K593" s="74">
        <f t="shared" si="43"/>
        <v>160</v>
      </c>
      <c r="L593" s="73" t="str">
        <f t="shared" si="44"/>
        <v/>
      </c>
      <c r="M593" s="74"/>
    </row>
    <row r="594" spans="2:13" s="46" customFormat="1" ht="15">
      <c r="B594" s="534">
        <f t="shared" si="41"/>
        <v>589</v>
      </c>
      <c r="C594" s="69" t="s">
        <v>2670</v>
      </c>
      <c r="D594" s="69" t="s">
        <v>2282</v>
      </c>
      <c r="E594" s="70" t="str">
        <f>VLOOKUP(F594,購入者リスト!B:F,4,FALSE)</f>
        <v>多肉 はじまりの花入り 7種セット A 抜き苗</v>
      </c>
      <c r="F594" s="69">
        <v>21</v>
      </c>
      <c r="G594" s="71" t="str">
        <f>VLOOKUP(F594,購入者リスト!B:M,12,FALSE)</f>
        <v>24/12/04</v>
      </c>
      <c r="H594" s="70" t="s">
        <v>27</v>
      </c>
      <c r="I594" s="73" t="str">
        <f t="shared" si="42"/>
        <v/>
      </c>
      <c r="J594" s="74"/>
      <c r="K594" s="74">
        <f t="shared" si="43"/>
        <v>0</v>
      </c>
      <c r="L594" s="73">
        <f t="shared" si="44"/>
        <v>154.54545454545473</v>
      </c>
      <c r="M594" s="74">
        <f>VLOOKUP(F594,購入者リスト!B:F,5,FALSE)</f>
        <v>1700</v>
      </c>
    </row>
    <row r="595" spans="2:13" s="46" customFormat="1" ht="15">
      <c r="B595" s="534">
        <f t="shared" si="41"/>
        <v>590</v>
      </c>
      <c r="C595" s="69" t="s">
        <v>2671</v>
      </c>
      <c r="D595" s="69" t="s">
        <v>2672</v>
      </c>
      <c r="E595" s="70" t="s">
        <v>2673</v>
      </c>
      <c r="F595" s="72"/>
      <c r="G595" s="71" t="str">
        <f>G594</f>
        <v>24/12/04</v>
      </c>
      <c r="H595" s="70" t="s">
        <v>27</v>
      </c>
      <c r="I595" s="73">
        <f t="shared" si="42"/>
        <v>15.454545454545467</v>
      </c>
      <c r="J595" s="74">
        <f>M594*0.1</f>
        <v>170</v>
      </c>
      <c r="K595" s="74">
        <f t="shared" si="43"/>
        <v>170</v>
      </c>
      <c r="L595" s="73" t="str">
        <f t="shared" si="44"/>
        <v/>
      </c>
      <c r="M595" s="74"/>
    </row>
    <row r="596" spans="2:13" s="46" customFormat="1" ht="15">
      <c r="B596" s="534">
        <f t="shared" si="41"/>
        <v>591</v>
      </c>
      <c r="C596" s="69" t="s">
        <v>2670</v>
      </c>
      <c r="D596" s="69" t="s">
        <v>2282</v>
      </c>
      <c r="E596" s="70" t="str">
        <f>VLOOKUP(F596,購入者リスト!B:F,4,FALSE)</f>
        <v>多肉 ももりん入り 7種セット 抜き苗</v>
      </c>
      <c r="F596" s="69">
        <v>19</v>
      </c>
      <c r="G596" s="71" t="str">
        <f>VLOOKUP(F596,購入者リスト!B:M,12,FALSE)</f>
        <v>24/12/05</v>
      </c>
      <c r="H596" s="70" t="s">
        <v>27</v>
      </c>
      <c r="I596" s="73" t="str">
        <f t="shared" si="42"/>
        <v/>
      </c>
      <c r="J596" s="74"/>
      <c r="K596" s="74">
        <f t="shared" si="43"/>
        <v>0</v>
      </c>
      <c r="L596" s="73">
        <f t="shared" si="44"/>
        <v>145.4545454545455</v>
      </c>
      <c r="M596" s="74">
        <f>VLOOKUP(F596,購入者リスト!B:F,5,FALSE)</f>
        <v>1600</v>
      </c>
    </row>
    <row r="597" spans="2:13" s="46" customFormat="1" ht="15">
      <c r="B597" s="534">
        <f t="shared" si="41"/>
        <v>592</v>
      </c>
      <c r="C597" s="69" t="s">
        <v>2671</v>
      </c>
      <c r="D597" s="69" t="s">
        <v>2672</v>
      </c>
      <c r="E597" s="70" t="s">
        <v>2673</v>
      </c>
      <c r="F597" s="72"/>
      <c r="G597" s="71" t="str">
        <f>G596</f>
        <v>24/12/05</v>
      </c>
      <c r="H597" s="70" t="s">
        <v>27</v>
      </c>
      <c r="I597" s="73">
        <f t="shared" si="42"/>
        <v>14.545454545454561</v>
      </c>
      <c r="J597" s="74">
        <f>M596*0.1</f>
        <v>160</v>
      </c>
      <c r="K597" s="74">
        <f t="shared" si="43"/>
        <v>160</v>
      </c>
      <c r="L597" s="73" t="str">
        <f t="shared" si="44"/>
        <v/>
      </c>
      <c r="M597" s="74"/>
    </row>
    <row r="598" spans="2:13" s="46" customFormat="1" ht="15">
      <c r="B598" s="534">
        <f t="shared" si="41"/>
        <v>593</v>
      </c>
      <c r="C598" s="69" t="s">
        <v>2670</v>
      </c>
      <c r="D598" s="69" t="s">
        <v>2282</v>
      </c>
      <c r="E598" s="70" t="str">
        <f>VLOOKUP(F598,購入者リスト!B:F,4,FALSE)</f>
        <v>多肉 紫紺の矢入り 7種セット 抜き苗</v>
      </c>
      <c r="F598" s="69">
        <v>20</v>
      </c>
      <c r="G598" s="71" t="str">
        <f>VLOOKUP(F598,購入者リスト!B:M,12,FALSE)</f>
        <v>24/12/04</v>
      </c>
      <c r="H598" s="70" t="s">
        <v>27</v>
      </c>
      <c r="I598" s="73" t="str">
        <f t="shared" si="42"/>
        <v/>
      </c>
      <c r="J598" s="74"/>
      <c r="K598" s="74">
        <f t="shared" si="43"/>
        <v>0</v>
      </c>
      <c r="L598" s="73">
        <f t="shared" si="44"/>
        <v>218.18181818181847</v>
      </c>
      <c r="M598" s="74">
        <f>VLOOKUP(F598,購入者リスト!B:F,5,FALSE)</f>
        <v>2400</v>
      </c>
    </row>
    <row r="599" spans="2:13" s="46" customFormat="1" ht="15">
      <c r="B599" s="534">
        <f t="shared" si="41"/>
        <v>594</v>
      </c>
      <c r="C599" s="69" t="s">
        <v>2671</v>
      </c>
      <c r="D599" s="69" t="s">
        <v>2672</v>
      </c>
      <c r="E599" s="70" t="s">
        <v>2673</v>
      </c>
      <c r="F599" s="72"/>
      <c r="G599" s="71" t="str">
        <f>G598</f>
        <v>24/12/04</v>
      </c>
      <c r="H599" s="70" t="s">
        <v>27</v>
      </c>
      <c r="I599" s="73">
        <f t="shared" si="42"/>
        <v>21.818181818181841</v>
      </c>
      <c r="J599" s="74">
        <f>M598*0.1</f>
        <v>240</v>
      </c>
      <c r="K599" s="74">
        <f t="shared" si="43"/>
        <v>240</v>
      </c>
      <c r="L599" s="73" t="str">
        <f t="shared" si="44"/>
        <v/>
      </c>
      <c r="M599" s="74"/>
    </row>
    <row r="600" spans="2:13" s="46" customFormat="1" ht="15">
      <c r="B600" s="534">
        <f t="shared" si="41"/>
        <v>595</v>
      </c>
      <c r="C600" s="69" t="s">
        <v>2670</v>
      </c>
      <c r="D600" s="69" t="s">
        <v>2282</v>
      </c>
      <c r="E600" s="70" t="str">
        <f>VLOOKUP(F600,購入者リスト!B:F,4,FALSE)</f>
        <v>多肉 クリスペートビューティー入り 7種セット B 抜き苗</v>
      </c>
      <c r="F600" s="69">
        <v>24</v>
      </c>
      <c r="G600" s="71" t="str">
        <f>VLOOKUP(F600,購入者リスト!B:M,12,FALSE)</f>
        <v>24/12/05</v>
      </c>
      <c r="H600" s="70" t="s">
        <v>27</v>
      </c>
      <c r="I600" s="73" t="str">
        <f t="shared" si="42"/>
        <v/>
      </c>
      <c r="J600" s="74"/>
      <c r="K600" s="74">
        <f t="shared" si="43"/>
        <v>0</v>
      </c>
      <c r="L600" s="73">
        <f t="shared" si="44"/>
        <v>145.4545454545455</v>
      </c>
      <c r="M600" s="74">
        <f>VLOOKUP(F600,購入者リスト!B:F,5,FALSE)</f>
        <v>1600</v>
      </c>
    </row>
    <row r="601" spans="2:13" s="46" customFormat="1" ht="15">
      <c r="B601" s="534">
        <f t="shared" si="41"/>
        <v>596</v>
      </c>
      <c r="C601" s="69" t="s">
        <v>2671</v>
      </c>
      <c r="D601" s="69" t="s">
        <v>2672</v>
      </c>
      <c r="E601" s="70" t="s">
        <v>2673</v>
      </c>
      <c r="F601" s="72"/>
      <c r="G601" s="71" t="str">
        <f>G600</f>
        <v>24/12/05</v>
      </c>
      <c r="H601" s="70" t="s">
        <v>27</v>
      </c>
      <c r="I601" s="73">
        <f t="shared" si="42"/>
        <v>14.545454545454561</v>
      </c>
      <c r="J601" s="74">
        <f>M600*0.1</f>
        <v>160</v>
      </c>
      <c r="K601" s="74">
        <f t="shared" si="43"/>
        <v>160</v>
      </c>
      <c r="L601" s="73" t="str">
        <f t="shared" si="44"/>
        <v/>
      </c>
      <c r="M601" s="74"/>
    </row>
    <row r="602" spans="2:13" s="46" customFormat="1" ht="15">
      <c r="B602" s="534">
        <f t="shared" si="41"/>
        <v>597</v>
      </c>
      <c r="C602" s="56" t="s">
        <v>2273</v>
      </c>
      <c r="D602" s="56" t="s">
        <v>2274</v>
      </c>
      <c r="E602" s="57" t="s">
        <v>2812</v>
      </c>
      <c r="F602" s="58"/>
      <c r="G602" s="59">
        <v>45640</v>
      </c>
      <c r="H602" s="57" t="s">
        <v>129</v>
      </c>
      <c r="I602" s="62">
        <f t="shared" si="42"/>
        <v>74.727272727272748</v>
      </c>
      <c r="J602" s="63">
        <v>822</v>
      </c>
      <c r="K602" s="63">
        <f t="shared" si="43"/>
        <v>822</v>
      </c>
      <c r="L602" s="62" t="str">
        <f t="shared" si="44"/>
        <v/>
      </c>
      <c r="M602" s="63"/>
    </row>
    <row r="603" spans="2:13" s="46" customFormat="1" ht="15">
      <c r="B603" s="534">
        <f t="shared" si="41"/>
        <v>598</v>
      </c>
      <c r="C603" s="56" t="s">
        <v>2342</v>
      </c>
      <c r="D603" s="56" t="s">
        <v>2693</v>
      </c>
      <c r="E603" s="57" t="s">
        <v>2694</v>
      </c>
      <c r="F603" s="64">
        <v>170.5</v>
      </c>
      <c r="G603" s="59">
        <v>45649</v>
      </c>
      <c r="H603" s="57" t="s">
        <v>2695</v>
      </c>
      <c r="I603" s="62">
        <f t="shared" si="42"/>
        <v>19.090909090909093</v>
      </c>
      <c r="J603" s="63">
        <f>IF(F603&lt;=150,170,IF(F603&lt;=200,210,IF(F603&lt;=250,240,290)))</f>
        <v>210</v>
      </c>
      <c r="K603" s="63">
        <f t="shared" si="43"/>
        <v>210</v>
      </c>
      <c r="L603" s="62" t="str">
        <f t="shared" si="44"/>
        <v/>
      </c>
      <c r="M603" s="63"/>
    </row>
    <row r="604" spans="2:13" s="46" customFormat="1" ht="15">
      <c r="B604" s="534">
        <f t="shared" si="41"/>
        <v>599</v>
      </c>
      <c r="C604" s="56" t="s">
        <v>2342</v>
      </c>
      <c r="D604" s="56" t="s">
        <v>2693</v>
      </c>
      <c r="E604" s="57" t="s">
        <v>2694</v>
      </c>
      <c r="F604" s="64">
        <v>187</v>
      </c>
      <c r="G604" s="59">
        <v>45649</v>
      </c>
      <c r="H604" s="57" t="s">
        <v>2695</v>
      </c>
      <c r="I604" s="62">
        <f t="shared" si="42"/>
        <v>19.090909090909093</v>
      </c>
      <c r="J604" s="63">
        <f>IF(F604&lt;=150,170,IF(F604&lt;=200,210,IF(F604&lt;=250,240,290)))</f>
        <v>210</v>
      </c>
      <c r="K604" s="63">
        <f t="shared" si="43"/>
        <v>210</v>
      </c>
      <c r="L604" s="62" t="str">
        <f t="shared" si="44"/>
        <v/>
      </c>
      <c r="M604" s="63"/>
    </row>
    <row r="605" spans="2:13" s="46" customFormat="1" ht="15">
      <c r="B605" s="534">
        <f t="shared" si="41"/>
        <v>600</v>
      </c>
      <c r="C605" s="56" t="s">
        <v>2342</v>
      </c>
      <c r="D605" s="56" t="s">
        <v>2693</v>
      </c>
      <c r="E605" s="57" t="s">
        <v>2694</v>
      </c>
      <c r="F605" s="64">
        <v>205.5</v>
      </c>
      <c r="G605" s="59">
        <v>45649</v>
      </c>
      <c r="H605" s="57" t="s">
        <v>2695</v>
      </c>
      <c r="I605" s="62">
        <f t="shared" si="42"/>
        <v>21.818181818181841</v>
      </c>
      <c r="J605" s="63">
        <f>IF(F605&lt;=150,170,IF(F605&lt;=200,210,IF(F605&lt;=250,240,290)))</f>
        <v>240</v>
      </c>
      <c r="K605" s="63">
        <f t="shared" si="43"/>
        <v>240</v>
      </c>
      <c r="L605" s="62" t="str">
        <f t="shared" si="44"/>
        <v/>
      </c>
      <c r="M605" s="63"/>
    </row>
    <row r="606" spans="2:13" s="46" customFormat="1" ht="15">
      <c r="B606" s="534">
        <f t="shared" si="41"/>
        <v>601</v>
      </c>
      <c r="C606" s="56" t="s">
        <v>2342</v>
      </c>
      <c r="D606" s="56" t="s">
        <v>2693</v>
      </c>
      <c r="E606" s="57" t="s">
        <v>2694</v>
      </c>
      <c r="F606" s="64">
        <v>468</v>
      </c>
      <c r="G606" s="59">
        <v>45649</v>
      </c>
      <c r="H606" s="57" t="s">
        <v>2695</v>
      </c>
      <c r="I606" s="62">
        <f t="shared" si="42"/>
        <v>31.090909090909122</v>
      </c>
      <c r="J606" s="63">
        <v>342</v>
      </c>
      <c r="K606" s="63">
        <f t="shared" si="43"/>
        <v>342</v>
      </c>
      <c r="L606" s="62" t="str">
        <f t="shared" si="44"/>
        <v/>
      </c>
      <c r="M606" s="63"/>
    </row>
    <row r="607" spans="2:13" s="46" customFormat="1" ht="15">
      <c r="B607" s="534">
        <f t="shared" si="41"/>
        <v>602</v>
      </c>
      <c r="C607" s="56" t="s">
        <v>2342</v>
      </c>
      <c r="D607" s="56" t="s">
        <v>2693</v>
      </c>
      <c r="E607" s="57" t="s">
        <v>2813</v>
      </c>
      <c r="F607" s="64"/>
      <c r="G607" s="59">
        <v>45649</v>
      </c>
      <c r="H607" s="57" t="s">
        <v>2695</v>
      </c>
      <c r="I607" s="62">
        <f t="shared" si="42"/>
        <v>36.363636363636374</v>
      </c>
      <c r="J607" s="63">
        <v>400</v>
      </c>
      <c r="K607" s="63">
        <f t="shared" si="43"/>
        <v>400</v>
      </c>
      <c r="L607" s="62" t="str">
        <f t="shared" si="44"/>
        <v/>
      </c>
      <c r="M607" s="63"/>
    </row>
    <row r="608" spans="2:13" s="46" customFormat="1" ht="15">
      <c r="B608" s="534">
        <f t="shared" si="41"/>
        <v>603</v>
      </c>
      <c r="C608" s="56" t="s">
        <v>2281</v>
      </c>
      <c r="D608" s="56" t="s">
        <v>2282</v>
      </c>
      <c r="E608" s="57" t="s">
        <v>2814</v>
      </c>
      <c r="F608" s="64"/>
      <c r="G608" s="59">
        <v>45649</v>
      </c>
      <c r="H608" s="57" t="s">
        <v>2808</v>
      </c>
      <c r="I608" s="62">
        <f t="shared" si="42"/>
        <v>416.36363636363694</v>
      </c>
      <c r="J608" s="63">
        <v>4580</v>
      </c>
      <c r="K608" s="63">
        <f t="shared" si="43"/>
        <v>4580</v>
      </c>
      <c r="L608" s="62" t="str">
        <f t="shared" si="44"/>
        <v/>
      </c>
      <c r="M608" s="63"/>
    </row>
    <row r="609" spans="2:13" s="46" customFormat="1" ht="15">
      <c r="B609" s="534">
        <f t="shared" si="41"/>
        <v>604</v>
      </c>
      <c r="C609" s="56" t="s">
        <v>2281</v>
      </c>
      <c r="D609" s="56" t="s">
        <v>2282</v>
      </c>
      <c r="E609" s="57" t="s">
        <v>2815</v>
      </c>
      <c r="F609" s="64"/>
      <c r="G609" s="59">
        <v>45649</v>
      </c>
      <c r="H609" s="57" t="s">
        <v>2808</v>
      </c>
      <c r="I609" s="62">
        <f t="shared" si="42"/>
        <v>443.63636363636397</v>
      </c>
      <c r="J609" s="63">
        <v>4880</v>
      </c>
      <c r="K609" s="63">
        <f t="shared" si="43"/>
        <v>4880</v>
      </c>
      <c r="L609" s="62" t="str">
        <f t="shared" si="44"/>
        <v/>
      </c>
      <c r="M609" s="63"/>
    </row>
    <row r="610" spans="2:13" s="46" customFormat="1" ht="15">
      <c r="B610" s="534">
        <f t="shared" si="41"/>
        <v>605</v>
      </c>
      <c r="C610" s="56" t="s">
        <v>2281</v>
      </c>
      <c r="D610" s="56" t="s">
        <v>2282</v>
      </c>
      <c r="E610" s="57" t="s">
        <v>152</v>
      </c>
      <c r="F610" s="64"/>
      <c r="G610" s="59">
        <v>45649</v>
      </c>
      <c r="H610" s="57" t="s">
        <v>2808</v>
      </c>
      <c r="I610" s="62">
        <f t="shared" si="42"/>
        <v>407.27272727272748</v>
      </c>
      <c r="J610" s="63">
        <v>4480</v>
      </c>
      <c r="K610" s="63">
        <f t="shared" si="43"/>
        <v>4480</v>
      </c>
      <c r="L610" s="62" t="str">
        <f t="shared" si="44"/>
        <v/>
      </c>
      <c r="M610" s="63"/>
    </row>
    <row r="611" spans="2:13" s="46" customFormat="1" ht="15">
      <c r="B611" s="534">
        <f t="shared" si="41"/>
        <v>606</v>
      </c>
      <c r="C611" s="69" t="s">
        <v>2670</v>
      </c>
      <c r="D611" s="69" t="s">
        <v>2282</v>
      </c>
      <c r="E611" s="70" t="str">
        <f>VLOOKUP(F611,購入者リスト!B:F,4,FALSE)</f>
        <v>多肉 はじまりの花入り 7種セット 抜き苗</v>
      </c>
      <c r="F611" s="69">
        <v>25</v>
      </c>
      <c r="G611" s="71" t="str">
        <f>VLOOKUP(F611,購入者リスト!B:M,12,FALSE)</f>
        <v>24/12/24</v>
      </c>
      <c r="H611" s="70" t="s">
        <v>27</v>
      </c>
      <c r="I611" s="73" t="str">
        <f t="shared" si="42"/>
        <v/>
      </c>
      <c r="J611" s="74"/>
      <c r="K611" s="74">
        <f t="shared" si="43"/>
        <v>0</v>
      </c>
      <c r="L611" s="73">
        <f t="shared" si="44"/>
        <v>136.36363636363649</v>
      </c>
      <c r="M611" s="74">
        <f>VLOOKUP(F611,購入者リスト!B:F,5,FALSE)</f>
        <v>1500</v>
      </c>
    </row>
    <row r="612" spans="2:13" s="46" customFormat="1" ht="15">
      <c r="B612" s="534">
        <f t="shared" si="41"/>
        <v>607</v>
      </c>
      <c r="C612" s="69" t="s">
        <v>2671</v>
      </c>
      <c r="D612" s="69" t="s">
        <v>2672</v>
      </c>
      <c r="E612" s="70" t="s">
        <v>2673</v>
      </c>
      <c r="F612" s="72"/>
      <c r="G612" s="71" t="str">
        <f>G611</f>
        <v>24/12/24</v>
      </c>
      <c r="H612" s="70" t="s">
        <v>27</v>
      </c>
      <c r="I612" s="73">
        <f t="shared" si="42"/>
        <v>13.636363636363654</v>
      </c>
      <c r="J612" s="74">
        <f>M611*0.1</f>
        <v>150</v>
      </c>
      <c r="K612" s="74">
        <f t="shared" si="43"/>
        <v>150</v>
      </c>
      <c r="L612" s="73" t="str">
        <f t="shared" si="44"/>
        <v/>
      </c>
      <c r="M612" s="74"/>
    </row>
    <row r="613" spans="2:13" s="46" customFormat="1" ht="15">
      <c r="B613" s="534">
        <f t="shared" si="41"/>
        <v>608</v>
      </c>
      <c r="C613" s="69" t="s">
        <v>2670</v>
      </c>
      <c r="D613" s="69" t="s">
        <v>2282</v>
      </c>
      <c r="E613" s="70" t="str">
        <f>VLOOKUP(F613,購入者リスト!B:F,4,FALSE)</f>
        <v>多肉 紫紺の矢入り 7種セット A 抜き苗</v>
      </c>
      <c r="F613" s="69">
        <v>26</v>
      </c>
      <c r="G613" s="71" t="str">
        <f>VLOOKUP(F613,購入者リスト!B:M,12,FALSE)</f>
        <v>24/12/24</v>
      </c>
      <c r="H613" s="70" t="s">
        <v>27</v>
      </c>
      <c r="I613" s="73" t="str">
        <f t="shared" si="42"/>
        <v/>
      </c>
      <c r="J613" s="74"/>
      <c r="K613" s="74">
        <f t="shared" si="43"/>
        <v>0</v>
      </c>
      <c r="L613" s="73">
        <f t="shared" si="44"/>
        <v>200.00000000000023</v>
      </c>
      <c r="M613" s="74">
        <f>VLOOKUP(F613,購入者リスト!B:F,5,FALSE)</f>
        <v>2200</v>
      </c>
    </row>
    <row r="614" spans="2:13" s="46" customFormat="1" ht="15">
      <c r="B614" s="534">
        <f t="shared" si="41"/>
        <v>609</v>
      </c>
      <c r="C614" s="69" t="s">
        <v>2671</v>
      </c>
      <c r="D614" s="69" t="s">
        <v>2672</v>
      </c>
      <c r="E614" s="70" t="s">
        <v>2673</v>
      </c>
      <c r="F614" s="72"/>
      <c r="G614" s="71" t="str">
        <f>G613</f>
        <v>24/12/24</v>
      </c>
      <c r="H614" s="70" t="s">
        <v>27</v>
      </c>
      <c r="I614" s="73">
        <f t="shared" si="42"/>
        <v>20.000000000000028</v>
      </c>
      <c r="J614" s="74">
        <f>M613*0.1</f>
        <v>220</v>
      </c>
      <c r="K614" s="74">
        <f t="shared" si="43"/>
        <v>220</v>
      </c>
      <c r="L614" s="73" t="str">
        <f t="shared" si="44"/>
        <v/>
      </c>
      <c r="M614" s="74"/>
    </row>
    <row r="615" spans="2:13" s="46" customFormat="1" ht="15">
      <c r="B615" s="534">
        <f t="shared" si="41"/>
        <v>610</v>
      </c>
      <c r="C615" s="69" t="s">
        <v>2670</v>
      </c>
      <c r="D615" s="69" t="s">
        <v>2813</v>
      </c>
      <c r="E615" s="69" t="s">
        <v>2813</v>
      </c>
      <c r="F615" s="69" t="s">
        <v>2816</v>
      </c>
      <c r="G615" s="71" t="str">
        <f>G614</f>
        <v>24/12/24</v>
      </c>
      <c r="H615" s="70" t="s">
        <v>27</v>
      </c>
      <c r="I615" s="73" t="str">
        <f t="shared" si="42"/>
        <v/>
      </c>
      <c r="J615" s="74"/>
      <c r="K615" s="74">
        <f t="shared" si="43"/>
        <v>0</v>
      </c>
      <c r="L615" s="73">
        <f t="shared" si="44"/>
        <v>27.272727272727309</v>
      </c>
      <c r="M615" s="74">
        <v>300</v>
      </c>
    </row>
    <row r="616" spans="2:13" s="46" customFormat="1" ht="15">
      <c r="B616" s="534">
        <f t="shared" si="41"/>
        <v>611</v>
      </c>
      <c r="C616" s="69" t="s">
        <v>2671</v>
      </c>
      <c r="D616" s="69" t="s">
        <v>2672</v>
      </c>
      <c r="E616" s="70" t="s">
        <v>2673</v>
      </c>
      <c r="F616" s="72"/>
      <c r="G616" s="71" t="str">
        <f>G615</f>
        <v>24/12/24</v>
      </c>
      <c r="H616" s="70" t="s">
        <v>27</v>
      </c>
      <c r="I616" s="73">
        <f t="shared" si="42"/>
        <v>2.7272727272727302</v>
      </c>
      <c r="J616" s="74">
        <f>M615*0.1</f>
        <v>30</v>
      </c>
      <c r="K616" s="74">
        <f t="shared" si="43"/>
        <v>30</v>
      </c>
      <c r="L616" s="73" t="str">
        <f t="shared" si="44"/>
        <v/>
      </c>
      <c r="M616" s="74"/>
    </row>
    <row r="617" spans="2:13" s="46" customFormat="1" ht="15">
      <c r="B617" s="534">
        <f t="shared" si="41"/>
        <v>612</v>
      </c>
      <c r="C617" s="69" t="s">
        <v>2670</v>
      </c>
      <c r="D617" s="69" t="s">
        <v>2282</v>
      </c>
      <c r="E617" s="70" t="str">
        <f>VLOOKUP(F617,購入者リスト!B:F,4,FALSE)</f>
        <v>多肉 ももりん入り 7種セット 抜き苗</v>
      </c>
      <c r="F617" s="69">
        <v>28</v>
      </c>
      <c r="G617" s="71" t="str">
        <f>VLOOKUP(F617,購入者リスト!B:M,12,FALSE)</f>
        <v>24/12/27</v>
      </c>
      <c r="H617" s="70" t="s">
        <v>27</v>
      </c>
      <c r="I617" s="73" t="str">
        <f t="shared" si="42"/>
        <v/>
      </c>
      <c r="J617" s="74"/>
      <c r="K617" s="74">
        <f t="shared" si="43"/>
        <v>0</v>
      </c>
      <c r="L617" s="73">
        <f t="shared" si="44"/>
        <v>136.36363636363649</v>
      </c>
      <c r="M617" s="74">
        <f>VLOOKUP(F617,購入者リスト!B:F,5,FALSE)</f>
        <v>1500</v>
      </c>
    </row>
    <row r="618" spans="2:13" s="46" customFormat="1" ht="15">
      <c r="B618" s="534">
        <f t="shared" si="41"/>
        <v>613</v>
      </c>
      <c r="C618" s="69" t="s">
        <v>2671</v>
      </c>
      <c r="D618" s="69" t="s">
        <v>2672</v>
      </c>
      <c r="E618" s="70" t="s">
        <v>2673</v>
      </c>
      <c r="F618" s="72"/>
      <c r="G618" s="71" t="str">
        <f>G617</f>
        <v>24/12/27</v>
      </c>
      <c r="H618" s="70" t="s">
        <v>27</v>
      </c>
      <c r="I618" s="73">
        <f t="shared" si="42"/>
        <v>13.636363636363654</v>
      </c>
      <c r="J618" s="74">
        <f>M617*0.1</f>
        <v>150</v>
      </c>
      <c r="K618" s="74">
        <f t="shared" si="43"/>
        <v>150</v>
      </c>
      <c r="L618" s="73" t="str">
        <f t="shared" si="44"/>
        <v/>
      </c>
      <c r="M618" s="74"/>
    </row>
    <row r="619" spans="2:13" s="46" customFormat="1" ht="15">
      <c r="B619" s="534">
        <f t="shared" si="41"/>
        <v>614</v>
      </c>
      <c r="C619" s="69" t="s">
        <v>2670</v>
      </c>
      <c r="D619" s="69" t="s">
        <v>2282</v>
      </c>
      <c r="E619" s="70" t="str">
        <f>VLOOKUP(F619,購入者リスト!B:F,4,FALSE)</f>
        <v>多肉 クリスペートビューティー入り 7種セット 抜き苗</v>
      </c>
      <c r="F619" s="69">
        <v>29</v>
      </c>
      <c r="G619" s="71" t="str">
        <f>VLOOKUP(F619,購入者リスト!B:M,12,FALSE)</f>
        <v>24/12/26</v>
      </c>
      <c r="H619" s="70" t="s">
        <v>27</v>
      </c>
      <c r="I619" s="73" t="str">
        <f t="shared" si="42"/>
        <v/>
      </c>
      <c r="J619" s="74"/>
      <c r="K619" s="74">
        <f t="shared" si="43"/>
        <v>0</v>
      </c>
      <c r="L619" s="73">
        <f t="shared" si="44"/>
        <v>127.27272727272748</v>
      </c>
      <c r="M619" s="74">
        <f>VLOOKUP(F619,購入者リスト!B:F,5,FALSE)</f>
        <v>1400</v>
      </c>
    </row>
    <row r="620" spans="2:13" s="46" customFormat="1" ht="15">
      <c r="B620" s="534">
        <f t="shared" si="41"/>
        <v>615</v>
      </c>
      <c r="C620" s="69" t="s">
        <v>2671</v>
      </c>
      <c r="D620" s="69" t="s">
        <v>2672</v>
      </c>
      <c r="E620" s="70" t="s">
        <v>2673</v>
      </c>
      <c r="F620" s="72"/>
      <c r="G620" s="71" t="str">
        <f>G619</f>
        <v>24/12/26</v>
      </c>
      <c r="H620" s="70" t="s">
        <v>27</v>
      </c>
      <c r="I620" s="73">
        <f t="shared" si="42"/>
        <v>12.727272727272734</v>
      </c>
      <c r="J620" s="74">
        <f>M619*0.1</f>
        <v>140</v>
      </c>
      <c r="K620" s="74">
        <f t="shared" si="43"/>
        <v>140</v>
      </c>
      <c r="L620" s="73" t="str">
        <f t="shared" si="44"/>
        <v/>
      </c>
      <c r="M620" s="74"/>
    </row>
    <row r="621" spans="2:13" s="46" customFormat="1" ht="15">
      <c r="B621" s="534">
        <f t="shared" si="41"/>
        <v>616</v>
      </c>
      <c r="C621" s="69" t="s">
        <v>2670</v>
      </c>
      <c r="D621" s="69" t="s">
        <v>2282</v>
      </c>
      <c r="E621" s="70" t="str">
        <f>VLOOKUP(F621,購入者リスト!B:F,4,FALSE)</f>
        <v>多肉 紫紺の矢入り 7種セット B 抜き苗</v>
      </c>
      <c r="F621" s="69">
        <v>27</v>
      </c>
      <c r="G621" s="71" t="str">
        <f>VLOOKUP(F621,購入者リスト!B:M,12,FALSE)</f>
        <v>24/12/26</v>
      </c>
      <c r="H621" s="70" t="s">
        <v>27</v>
      </c>
      <c r="I621" s="73" t="str">
        <f t="shared" si="42"/>
        <v/>
      </c>
      <c r="J621" s="74"/>
      <c r="K621" s="74">
        <f t="shared" si="43"/>
        <v>0</v>
      </c>
      <c r="L621" s="73">
        <f t="shared" si="44"/>
        <v>218.18181818181847</v>
      </c>
      <c r="M621" s="74">
        <f>VLOOKUP(F621,購入者リスト!B:F,5,FALSE)</f>
        <v>2400</v>
      </c>
    </row>
    <row r="622" spans="2:13" s="46" customFormat="1" ht="15">
      <c r="B622" s="534">
        <f t="shared" si="41"/>
        <v>617</v>
      </c>
      <c r="C622" s="69" t="s">
        <v>2671</v>
      </c>
      <c r="D622" s="69" t="s">
        <v>2672</v>
      </c>
      <c r="E622" s="70" t="s">
        <v>2673</v>
      </c>
      <c r="F622" s="72"/>
      <c r="G622" s="71" t="str">
        <f>G621</f>
        <v>24/12/26</v>
      </c>
      <c r="H622" s="70" t="s">
        <v>27</v>
      </c>
      <c r="I622" s="73">
        <f t="shared" si="42"/>
        <v>21.818181818181841</v>
      </c>
      <c r="J622" s="74">
        <f>M621*0.1</f>
        <v>240</v>
      </c>
      <c r="K622" s="74">
        <f t="shared" si="43"/>
        <v>240</v>
      </c>
      <c r="L622" s="73" t="str">
        <f t="shared" si="44"/>
        <v/>
      </c>
      <c r="M622" s="74"/>
    </row>
    <row r="623" spans="2:13" s="46" customFormat="1" ht="15">
      <c r="B623" s="534"/>
      <c r="C623" s="65" t="s">
        <v>2817</v>
      </c>
      <c r="D623" s="56"/>
      <c r="E623" s="57"/>
      <c r="F623" s="58"/>
      <c r="G623" s="59"/>
      <c r="H623" s="57"/>
      <c r="I623" s="62"/>
      <c r="J623" s="67">
        <f>SUM(J140:J622)</f>
        <v>450536</v>
      </c>
      <c r="K623" s="67">
        <f>SUM(K140:K622)</f>
        <v>397326</v>
      </c>
      <c r="L623" s="62"/>
      <c r="M623" s="68">
        <f>SUM(M140:M622)</f>
        <v>47300</v>
      </c>
    </row>
    <row r="624" spans="2:13" s="46" customFormat="1" ht="15">
      <c r="B624" s="534"/>
      <c r="C624" s="66" t="s">
        <v>3367</v>
      </c>
      <c r="D624" s="66" t="s">
        <v>3367</v>
      </c>
      <c r="E624" s="66" t="s">
        <v>3367</v>
      </c>
      <c r="F624" s="66" t="s">
        <v>3367</v>
      </c>
      <c r="G624" s="66" t="s">
        <v>3367</v>
      </c>
      <c r="H624" s="66" t="s">
        <v>3367</v>
      </c>
      <c r="I624" s="66" t="s">
        <v>3367</v>
      </c>
      <c r="J624" s="66" t="s">
        <v>3367</v>
      </c>
      <c r="K624" s="66" t="s">
        <v>3367</v>
      </c>
      <c r="L624" s="66" t="s">
        <v>3367</v>
      </c>
      <c r="M624" s="66" t="s">
        <v>3367</v>
      </c>
    </row>
    <row r="625" spans="2:13" s="46" customFormat="1" ht="15">
      <c r="B625" s="534">
        <f t="shared" ref="B625:B688" si="45">ROW()-7</f>
        <v>618</v>
      </c>
      <c r="C625" s="56" t="s">
        <v>2262</v>
      </c>
      <c r="D625" s="56" t="s">
        <v>3</v>
      </c>
      <c r="E625" s="57" t="s">
        <v>29</v>
      </c>
      <c r="F625" s="58"/>
      <c r="G625" s="59">
        <v>45665</v>
      </c>
      <c r="H625" s="57" t="s">
        <v>27</v>
      </c>
      <c r="I625" s="62">
        <f t="shared" ref="I625:I688" si="46">IF(J625&lt;&gt;"",J625-J625/1.1,"")</f>
        <v>154.54545454545473</v>
      </c>
      <c r="J625" s="63">
        <v>1700</v>
      </c>
      <c r="K625" s="63">
        <f t="shared" ref="K625:K688" si="47">IF(N625="",J625,0)</f>
        <v>1700</v>
      </c>
      <c r="L625" s="62" t="str">
        <f t="shared" ref="L625:L688" si="48">IF(M625&lt;&gt;"",M625-M625/1.1,"")</f>
        <v/>
      </c>
      <c r="M625" s="63"/>
    </row>
    <row r="626" spans="2:13" s="46" customFormat="1" ht="15">
      <c r="B626" s="534">
        <f t="shared" si="45"/>
        <v>619</v>
      </c>
      <c r="C626" s="56" t="s">
        <v>2262</v>
      </c>
      <c r="D626" s="56" t="s">
        <v>2305</v>
      </c>
      <c r="E626" s="57" t="s">
        <v>2423</v>
      </c>
      <c r="F626" s="58"/>
      <c r="G626" s="59">
        <v>45667</v>
      </c>
      <c r="H626" s="57" t="s">
        <v>2307</v>
      </c>
      <c r="I626" s="62">
        <f t="shared" si="46"/>
        <v>545.36363636363694</v>
      </c>
      <c r="J626" s="63">
        <v>5999</v>
      </c>
      <c r="K626" s="63">
        <f t="shared" si="47"/>
        <v>5999</v>
      </c>
      <c r="L626" s="62" t="str">
        <f t="shared" si="48"/>
        <v/>
      </c>
      <c r="M626" s="63"/>
    </row>
    <row r="627" spans="2:13" s="46" customFormat="1" ht="15">
      <c r="B627" s="534">
        <f t="shared" si="45"/>
        <v>620</v>
      </c>
      <c r="C627" s="56" t="s">
        <v>2268</v>
      </c>
      <c r="D627" s="56" t="s">
        <v>2318</v>
      </c>
      <c r="E627" s="57" t="s">
        <v>2319</v>
      </c>
      <c r="F627" s="58"/>
      <c r="G627" s="59">
        <v>45668</v>
      </c>
      <c r="H627" s="57" t="s">
        <v>2307</v>
      </c>
      <c r="I627" s="62">
        <f t="shared" si="46"/>
        <v>1622.3636363636379</v>
      </c>
      <c r="J627" s="63">
        <v>17846</v>
      </c>
      <c r="K627" s="63">
        <f t="shared" si="47"/>
        <v>17846</v>
      </c>
      <c r="L627" s="62" t="str">
        <f t="shared" si="48"/>
        <v/>
      </c>
      <c r="M627" s="63"/>
    </row>
    <row r="628" spans="2:13" s="46" customFormat="1" ht="15">
      <c r="B628" s="534">
        <f t="shared" si="45"/>
        <v>621</v>
      </c>
      <c r="C628" s="56" t="s">
        <v>2262</v>
      </c>
      <c r="D628" s="56" t="s">
        <v>2361</v>
      </c>
      <c r="E628" s="57" t="s">
        <v>2362</v>
      </c>
      <c r="F628" s="58"/>
      <c r="G628" s="59">
        <v>45668</v>
      </c>
      <c r="H628" s="57" t="s">
        <v>2307</v>
      </c>
      <c r="I628" s="62">
        <f t="shared" si="46"/>
        <v>1163.636363636364</v>
      </c>
      <c r="J628" s="63">
        <v>12800</v>
      </c>
      <c r="K628" s="63">
        <f t="shared" si="47"/>
        <v>12800</v>
      </c>
      <c r="L628" s="62" t="str">
        <f t="shared" si="48"/>
        <v/>
      </c>
      <c r="M628" s="63"/>
    </row>
    <row r="629" spans="2:13" s="46" customFormat="1" ht="15">
      <c r="B629" s="534">
        <f t="shared" si="45"/>
        <v>622</v>
      </c>
      <c r="C629" s="56" t="s">
        <v>2262</v>
      </c>
      <c r="D629" s="56" t="s">
        <v>2364</v>
      </c>
      <c r="E629" s="57" t="s">
        <v>2365</v>
      </c>
      <c r="F629" s="58"/>
      <c r="G629" s="59">
        <v>45668</v>
      </c>
      <c r="H629" s="57" t="s">
        <v>2307</v>
      </c>
      <c r="I629" s="62">
        <f t="shared" si="46"/>
        <v>390.81818181818198</v>
      </c>
      <c r="J629" s="63">
        <v>4299</v>
      </c>
      <c r="K629" s="63">
        <f t="shared" si="47"/>
        <v>4299</v>
      </c>
      <c r="L629" s="62" t="str">
        <f t="shared" si="48"/>
        <v/>
      </c>
      <c r="M629" s="63"/>
    </row>
    <row r="630" spans="2:13" s="46" customFormat="1" ht="15">
      <c r="B630" s="534">
        <f t="shared" si="45"/>
        <v>623</v>
      </c>
      <c r="C630" s="56" t="s">
        <v>2262</v>
      </c>
      <c r="D630" s="56" t="s">
        <v>2283</v>
      </c>
      <c r="E630" s="57" t="s">
        <v>2818</v>
      </c>
      <c r="F630" s="58"/>
      <c r="G630" s="59">
        <v>45675</v>
      </c>
      <c r="H630" s="57" t="s">
        <v>49</v>
      </c>
      <c r="I630" s="62">
        <f t="shared" si="46"/>
        <v>10.000000000000014</v>
      </c>
      <c r="J630" s="63">
        <v>110</v>
      </c>
      <c r="K630" s="63">
        <f t="shared" si="47"/>
        <v>110</v>
      </c>
      <c r="L630" s="62" t="str">
        <f t="shared" si="48"/>
        <v/>
      </c>
      <c r="M630" s="63"/>
    </row>
    <row r="631" spans="2:13" s="46" customFormat="1" ht="15">
      <c r="B631" s="534">
        <f t="shared" si="45"/>
        <v>624</v>
      </c>
      <c r="C631" s="56" t="s">
        <v>2262</v>
      </c>
      <c r="D631" s="56" t="s">
        <v>2283</v>
      </c>
      <c r="E631" s="57" t="s">
        <v>2819</v>
      </c>
      <c r="F631" s="58"/>
      <c r="G631" s="59">
        <v>45675</v>
      </c>
      <c r="H631" s="57" t="s">
        <v>49</v>
      </c>
      <c r="I631" s="62">
        <f t="shared" si="46"/>
        <v>10.000000000000014</v>
      </c>
      <c r="J631" s="63">
        <v>110</v>
      </c>
      <c r="K631" s="63">
        <f t="shared" si="47"/>
        <v>110</v>
      </c>
      <c r="L631" s="62" t="str">
        <f t="shared" si="48"/>
        <v/>
      </c>
      <c r="M631" s="63"/>
    </row>
    <row r="632" spans="2:13" s="46" customFormat="1" ht="15">
      <c r="B632" s="534">
        <f t="shared" si="45"/>
        <v>625</v>
      </c>
      <c r="C632" s="56" t="s">
        <v>2262</v>
      </c>
      <c r="D632" s="56" t="s">
        <v>2283</v>
      </c>
      <c r="E632" s="57" t="s">
        <v>2820</v>
      </c>
      <c r="F632" s="58"/>
      <c r="G632" s="59">
        <v>45675</v>
      </c>
      <c r="H632" s="57" t="s">
        <v>45</v>
      </c>
      <c r="I632" s="62">
        <f t="shared" si="46"/>
        <v>10.000000000000014</v>
      </c>
      <c r="J632" s="63">
        <v>110</v>
      </c>
      <c r="K632" s="63">
        <f t="shared" si="47"/>
        <v>110</v>
      </c>
      <c r="L632" s="62" t="str">
        <f t="shared" si="48"/>
        <v/>
      </c>
      <c r="M632" s="63"/>
    </row>
    <row r="633" spans="2:13" s="46" customFormat="1" ht="15">
      <c r="B633" s="534">
        <f t="shared" si="45"/>
        <v>626</v>
      </c>
      <c r="C633" s="56" t="s">
        <v>2262</v>
      </c>
      <c r="D633" s="56" t="s">
        <v>2805</v>
      </c>
      <c r="E633" s="57" t="s">
        <v>2821</v>
      </c>
      <c r="F633" s="64" t="s">
        <v>2304</v>
      </c>
      <c r="G633" s="59">
        <v>45675</v>
      </c>
      <c r="H633" s="57" t="s">
        <v>45</v>
      </c>
      <c r="I633" s="62">
        <f t="shared" si="46"/>
        <v>30</v>
      </c>
      <c r="J633" s="63">
        <v>330</v>
      </c>
      <c r="K633" s="63">
        <f t="shared" si="47"/>
        <v>330</v>
      </c>
      <c r="L633" s="62" t="str">
        <f t="shared" si="48"/>
        <v/>
      </c>
      <c r="M633" s="63"/>
    </row>
    <row r="634" spans="2:13" s="46" customFormat="1" ht="15">
      <c r="B634" s="534">
        <f t="shared" si="45"/>
        <v>627</v>
      </c>
      <c r="C634" s="56" t="s">
        <v>2262</v>
      </c>
      <c r="D634" s="56" t="s">
        <v>2805</v>
      </c>
      <c r="E634" s="57" t="s">
        <v>2822</v>
      </c>
      <c r="F634" s="64" t="s">
        <v>2424</v>
      </c>
      <c r="G634" s="59">
        <v>45675</v>
      </c>
      <c r="H634" s="57" t="s">
        <v>45</v>
      </c>
      <c r="I634" s="62">
        <f t="shared" si="46"/>
        <v>50.000000000000057</v>
      </c>
      <c r="J634" s="63">
        <v>550</v>
      </c>
      <c r="K634" s="63">
        <f t="shared" si="47"/>
        <v>550</v>
      </c>
      <c r="L634" s="62" t="str">
        <f t="shared" si="48"/>
        <v/>
      </c>
      <c r="M634" s="63"/>
    </row>
    <row r="635" spans="2:13" s="46" customFormat="1" ht="15">
      <c r="B635" s="534">
        <f t="shared" si="45"/>
        <v>628</v>
      </c>
      <c r="C635" s="56" t="s">
        <v>2262</v>
      </c>
      <c r="D635" s="56" t="s">
        <v>2402</v>
      </c>
      <c r="E635" s="57" t="s">
        <v>2403</v>
      </c>
      <c r="F635" s="58"/>
      <c r="G635" s="59">
        <v>45675</v>
      </c>
      <c r="H635" s="57" t="s">
        <v>45</v>
      </c>
      <c r="I635" s="62">
        <f t="shared" si="46"/>
        <v>10.000000000000014</v>
      </c>
      <c r="J635" s="63">
        <v>110</v>
      </c>
      <c r="K635" s="63">
        <f t="shared" si="47"/>
        <v>110</v>
      </c>
      <c r="L635" s="62" t="str">
        <f t="shared" si="48"/>
        <v/>
      </c>
      <c r="M635" s="63"/>
    </row>
    <row r="636" spans="2:13" s="46" customFormat="1" ht="15">
      <c r="B636" s="534">
        <f t="shared" si="45"/>
        <v>629</v>
      </c>
      <c r="C636" s="56" t="s">
        <v>2262</v>
      </c>
      <c r="D636" s="56" t="s">
        <v>2287</v>
      </c>
      <c r="E636" s="57" t="s">
        <v>2823</v>
      </c>
      <c r="F636" s="58"/>
      <c r="G636" s="59">
        <v>45675</v>
      </c>
      <c r="H636" s="57" t="s">
        <v>45</v>
      </c>
      <c r="I636" s="62">
        <f t="shared" si="46"/>
        <v>50.000000000000057</v>
      </c>
      <c r="J636" s="63">
        <v>550</v>
      </c>
      <c r="K636" s="63">
        <f t="shared" si="47"/>
        <v>550</v>
      </c>
      <c r="L636" s="62" t="str">
        <f t="shared" si="48"/>
        <v/>
      </c>
      <c r="M636" s="63"/>
    </row>
    <row r="637" spans="2:13" s="46" customFormat="1" ht="15">
      <c r="B637" s="534">
        <f t="shared" si="45"/>
        <v>630</v>
      </c>
      <c r="C637" s="56" t="s">
        <v>2281</v>
      </c>
      <c r="D637" s="56" t="s">
        <v>2282</v>
      </c>
      <c r="E637" s="57" t="s">
        <v>2824</v>
      </c>
      <c r="F637" s="64" t="s">
        <v>2304</v>
      </c>
      <c r="G637" s="59">
        <v>45717</v>
      </c>
      <c r="H637" s="57" t="s">
        <v>69</v>
      </c>
      <c r="I637" s="62">
        <f t="shared" si="46"/>
        <v>818.18181818181893</v>
      </c>
      <c r="J637" s="63">
        <v>9000</v>
      </c>
      <c r="K637" s="63">
        <f t="shared" si="47"/>
        <v>9000</v>
      </c>
      <c r="L637" s="62" t="str">
        <f t="shared" si="48"/>
        <v/>
      </c>
      <c r="M637" s="63"/>
    </row>
    <row r="638" spans="2:13" s="46" customFormat="1" ht="15">
      <c r="B638" s="534">
        <f t="shared" si="45"/>
        <v>631</v>
      </c>
      <c r="C638" s="56" t="s">
        <v>2262</v>
      </c>
      <c r="D638" s="56" t="s">
        <v>2484</v>
      </c>
      <c r="E638" s="57" t="s">
        <v>2825</v>
      </c>
      <c r="F638" s="58"/>
      <c r="G638" s="59">
        <v>45717</v>
      </c>
      <c r="H638" s="57" t="s">
        <v>49</v>
      </c>
      <c r="I638" s="62">
        <f t="shared" si="46"/>
        <v>10.000000000000014</v>
      </c>
      <c r="J638" s="63">
        <v>110</v>
      </c>
      <c r="K638" s="63">
        <f t="shared" si="47"/>
        <v>110</v>
      </c>
      <c r="L638" s="62" t="str">
        <f t="shared" si="48"/>
        <v/>
      </c>
      <c r="M638" s="63"/>
    </row>
    <row r="639" spans="2:13" s="46" customFormat="1" ht="15">
      <c r="B639" s="534">
        <f t="shared" si="45"/>
        <v>632</v>
      </c>
      <c r="C639" s="56" t="s">
        <v>2281</v>
      </c>
      <c r="D639" s="56" t="s">
        <v>2282</v>
      </c>
      <c r="E639" s="57" t="s">
        <v>2826</v>
      </c>
      <c r="F639" s="64" t="s">
        <v>2586</v>
      </c>
      <c r="G639" s="59">
        <v>45718</v>
      </c>
      <c r="H639" s="57" t="s">
        <v>69</v>
      </c>
      <c r="I639" s="62">
        <f t="shared" si="46"/>
        <v>1636.3636363636379</v>
      </c>
      <c r="J639" s="63">
        <v>18000</v>
      </c>
      <c r="K639" s="63">
        <f t="shared" si="47"/>
        <v>18000</v>
      </c>
      <c r="L639" s="62" t="str">
        <f t="shared" si="48"/>
        <v/>
      </c>
      <c r="M639" s="63"/>
    </row>
    <row r="640" spans="2:13" s="46" customFormat="1" ht="15">
      <c r="B640" s="534">
        <f t="shared" si="45"/>
        <v>633</v>
      </c>
      <c r="C640" s="56" t="s">
        <v>2342</v>
      </c>
      <c r="D640" s="56" t="s">
        <v>2693</v>
      </c>
      <c r="E640" s="57" t="s">
        <v>2694</v>
      </c>
      <c r="F640" s="64">
        <v>195</v>
      </c>
      <c r="G640" s="59">
        <v>45719</v>
      </c>
      <c r="H640" s="57" t="s">
        <v>2695</v>
      </c>
      <c r="I640" s="62">
        <f t="shared" si="46"/>
        <v>19.090909090909093</v>
      </c>
      <c r="J640" s="63">
        <f>IF(F640&lt;=150,170,IF(F640&lt;=200,210,IF(F640&lt;=250,240,290)))</f>
        <v>210</v>
      </c>
      <c r="K640" s="63">
        <f t="shared" si="47"/>
        <v>210</v>
      </c>
      <c r="L640" s="62" t="str">
        <f t="shared" si="48"/>
        <v/>
      </c>
      <c r="M640" s="63"/>
    </row>
    <row r="641" spans="2:13" s="46" customFormat="1" ht="15">
      <c r="B641" s="534">
        <f t="shared" si="45"/>
        <v>634</v>
      </c>
      <c r="C641" s="56" t="s">
        <v>2342</v>
      </c>
      <c r="D641" s="56" t="s">
        <v>2693</v>
      </c>
      <c r="E641" s="57" t="s">
        <v>2694</v>
      </c>
      <c r="F641" s="64">
        <v>195</v>
      </c>
      <c r="G641" s="59">
        <v>45719</v>
      </c>
      <c r="H641" s="57" t="s">
        <v>2695</v>
      </c>
      <c r="I641" s="62">
        <f t="shared" si="46"/>
        <v>19.090909090909093</v>
      </c>
      <c r="J641" s="63">
        <f>IF(F641&lt;=150,170,IF(F641&lt;=200,210,IF(F641&lt;=250,240,290)))</f>
        <v>210</v>
      </c>
      <c r="K641" s="63">
        <f t="shared" si="47"/>
        <v>210</v>
      </c>
      <c r="L641" s="62" t="str">
        <f t="shared" si="48"/>
        <v/>
      </c>
      <c r="M641" s="63"/>
    </row>
    <row r="642" spans="2:13" s="46" customFormat="1" ht="15">
      <c r="B642" s="534">
        <f t="shared" si="45"/>
        <v>635</v>
      </c>
      <c r="C642" s="56" t="s">
        <v>2342</v>
      </c>
      <c r="D642" s="56" t="s">
        <v>2693</v>
      </c>
      <c r="E642" s="57" t="s">
        <v>2694</v>
      </c>
      <c r="F642" s="64">
        <v>195</v>
      </c>
      <c r="G642" s="59">
        <v>45719</v>
      </c>
      <c r="H642" s="57" t="s">
        <v>2695</v>
      </c>
      <c r="I642" s="62">
        <f t="shared" si="46"/>
        <v>19.090909090909093</v>
      </c>
      <c r="J642" s="63">
        <f>IF(F642&lt;=150,170,IF(F642&lt;=200,210,IF(F642&lt;=250,240,290)))</f>
        <v>210</v>
      </c>
      <c r="K642" s="63">
        <f t="shared" si="47"/>
        <v>210</v>
      </c>
      <c r="L642" s="62" t="str">
        <f t="shared" si="48"/>
        <v/>
      </c>
      <c r="M642" s="63"/>
    </row>
    <row r="643" spans="2:13" s="46" customFormat="1" ht="15">
      <c r="B643" s="534">
        <f t="shared" si="45"/>
        <v>636</v>
      </c>
      <c r="C643" s="56" t="s">
        <v>2342</v>
      </c>
      <c r="D643" s="56" t="s">
        <v>2693</v>
      </c>
      <c r="E643" s="57" t="s">
        <v>2694</v>
      </c>
      <c r="F643" s="64">
        <v>195</v>
      </c>
      <c r="G643" s="59">
        <v>45719</v>
      </c>
      <c r="H643" s="57" t="s">
        <v>2695</v>
      </c>
      <c r="I643" s="62">
        <f t="shared" si="46"/>
        <v>19.090909090909093</v>
      </c>
      <c r="J643" s="63">
        <f>IF(F643&lt;=150,170,IF(F643&lt;=200,210,IF(F643&lt;=250,240,290)))</f>
        <v>210</v>
      </c>
      <c r="K643" s="63">
        <f t="shared" si="47"/>
        <v>210</v>
      </c>
      <c r="L643" s="62" t="str">
        <f t="shared" si="48"/>
        <v/>
      </c>
      <c r="M643" s="63"/>
    </row>
    <row r="644" spans="2:13" s="46" customFormat="1" ht="15">
      <c r="B644" s="534">
        <f t="shared" si="45"/>
        <v>637</v>
      </c>
      <c r="C644" s="56" t="s">
        <v>2342</v>
      </c>
      <c r="D644" s="56" t="s">
        <v>2693</v>
      </c>
      <c r="E644" s="57" t="s">
        <v>2694</v>
      </c>
      <c r="F644" s="64">
        <v>195</v>
      </c>
      <c r="G644" s="59">
        <v>45719</v>
      </c>
      <c r="H644" s="57" t="s">
        <v>2695</v>
      </c>
      <c r="I644" s="62">
        <f t="shared" si="46"/>
        <v>19.090909090909093</v>
      </c>
      <c r="J644" s="63">
        <f>IF(F644&lt;=150,170,IF(F644&lt;=200,210,IF(F644&lt;=250,240,290)))</f>
        <v>210</v>
      </c>
      <c r="K644" s="63">
        <f t="shared" si="47"/>
        <v>210</v>
      </c>
      <c r="L644" s="62" t="str">
        <f t="shared" si="48"/>
        <v/>
      </c>
      <c r="M644" s="63"/>
    </row>
    <row r="645" spans="2:13" s="46" customFormat="1" ht="15">
      <c r="B645" s="534">
        <f t="shared" si="45"/>
        <v>638</v>
      </c>
      <c r="C645" s="69" t="s">
        <v>2670</v>
      </c>
      <c r="D645" s="69" t="s">
        <v>2282</v>
      </c>
      <c r="E645" s="70" t="str">
        <f>VLOOKUP(F645,購入者リスト!B:F,4,FALSE)</f>
        <v>多肉 ももりん入り 7種セット 抜き苗</v>
      </c>
      <c r="F645" s="69">
        <v>30</v>
      </c>
      <c r="G645" s="71" t="str">
        <f>VLOOKUP(F645,購入者リスト!B:M,12,FALSE)</f>
        <v>25/03/05</v>
      </c>
      <c r="H645" s="70" t="s">
        <v>27</v>
      </c>
      <c r="I645" s="73" t="str">
        <f t="shared" si="46"/>
        <v/>
      </c>
      <c r="J645" s="74"/>
      <c r="K645" s="74">
        <f t="shared" si="47"/>
        <v>0</v>
      </c>
      <c r="L645" s="73">
        <f t="shared" si="48"/>
        <v>200.00000000000023</v>
      </c>
      <c r="M645" s="74">
        <f>VLOOKUP(F645,購入者リスト!B:F,5,FALSE)</f>
        <v>2200</v>
      </c>
    </row>
    <row r="646" spans="2:13" s="46" customFormat="1" ht="15">
      <c r="B646" s="534">
        <f t="shared" si="45"/>
        <v>639</v>
      </c>
      <c r="C646" s="69" t="s">
        <v>2671</v>
      </c>
      <c r="D646" s="69" t="s">
        <v>2672</v>
      </c>
      <c r="E646" s="70" t="s">
        <v>2673</v>
      </c>
      <c r="F646" s="72"/>
      <c r="G646" s="71" t="str">
        <f>G645</f>
        <v>25/03/05</v>
      </c>
      <c r="H646" s="70" t="s">
        <v>27</v>
      </c>
      <c r="I646" s="73">
        <f t="shared" si="46"/>
        <v>20.000000000000028</v>
      </c>
      <c r="J646" s="74">
        <f>M645*0.1</f>
        <v>220</v>
      </c>
      <c r="K646" s="74">
        <f t="shared" si="47"/>
        <v>220</v>
      </c>
      <c r="L646" s="73" t="str">
        <f t="shared" si="48"/>
        <v/>
      </c>
      <c r="M646" s="74"/>
    </row>
    <row r="647" spans="2:13" s="46" customFormat="1" ht="15">
      <c r="B647" s="534">
        <f t="shared" si="45"/>
        <v>640</v>
      </c>
      <c r="C647" s="69" t="s">
        <v>2670</v>
      </c>
      <c r="D647" s="69" t="s">
        <v>2282</v>
      </c>
      <c r="E647" s="70" t="str">
        <f>VLOOKUP(F647,購入者リスト!B:F,4,FALSE)</f>
        <v>多肉 ちょこん入り 7種セット A 抜き苗</v>
      </c>
      <c r="F647" s="69">
        <v>31</v>
      </c>
      <c r="G647" s="71" t="str">
        <f>VLOOKUP(F647,購入者リスト!B:M,12,FALSE)</f>
        <v>25/03/06</v>
      </c>
      <c r="H647" s="70" t="s">
        <v>27</v>
      </c>
      <c r="I647" s="73" t="str">
        <f t="shared" si="46"/>
        <v/>
      </c>
      <c r="J647" s="74"/>
      <c r="K647" s="74">
        <f t="shared" si="47"/>
        <v>0</v>
      </c>
      <c r="L647" s="73">
        <f t="shared" si="48"/>
        <v>218.18181818181847</v>
      </c>
      <c r="M647" s="74">
        <f>VLOOKUP(F647,購入者リスト!B:F,5,FALSE)</f>
        <v>2400</v>
      </c>
    </row>
    <row r="648" spans="2:13" s="46" customFormat="1" ht="15">
      <c r="B648" s="534">
        <f t="shared" si="45"/>
        <v>641</v>
      </c>
      <c r="C648" s="69" t="s">
        <v>2671</v>
      </c>
      <c r="D648" s="69" t="s">
        <v>2672</v>
      </c>
      <c r="E648" s="70" t="s">
        <v>2673</v>
      </c>
      <c r="F648" s="72"/>
      <c r="G648" s="71" t="str">
        <f>G647</f>
        <v>25/03/06</v>
      </c>
      <c r="H648" s="70" t="s">
        <v>27</v>
      </c>
      <c r="I648" s="73">
        <f t="shared" si="46"/>
        <v>21.818181818181841</v>
      </c>
      <c r="J648" s="74">
        <f>M647*0.1</f>
        <v>240</v>
      </c>
      <c r="K648" s="74">
        <f t="shared" si="47"/>
        <v>240</v>
      </c>
      <c r="L648" s="73" t="str">
        <f t="shared" si="48"/>
        <v/>
      </c>
      <c r="M648" s="74"/>
    </row>
    <row r="649" spans="2:13" s="46" customFormat="1" ht="15">
      <c r="B649" s="534">
        <f t="shared" si="45"/>
        <v>642</v>
      </c>
      <c r="C649" s="69" t="s">
        <v>2670</v>
      </c>
      <c r="D649" s="69" t="s">
        <v>2282</v>
      </c>
      <c r="E649" s="70" t="str">
        <f>VLOOKUP(F649,購入者リスト!B:F,4,FALSE)</f>
        <v>多肉 ちょこん入り 7種セット B 抜き苗</v>
      </c>
      <c r="F649" s="69">
        <v>32</v>
      </c>
      <c r="G649" s="71" t="str">
        <f>VLOOKUP(F649,購入者リスト!B:M,12,FALSE)</f>
        <v>25/03/06</v>
      </c>
      <c r="H649" s="70" t="s">
        <v>27</v>
      </c>
      <c r="I649" s="73" t="str">
        <f t="shared" si="46"/>
        <v/>
      </c>
      <c r="J649" s="74"/>
      <c r="K649" s="74">
        <f t="shared" si="47"/>
        <v>0</v>
      </c>
      <c r="L649" s="73">
        <f t="shared" si="48"/>
        <v>218.18181818181847</v>
      </c>
      <c r="M649" s="74">
        <f>VLOOKUP(F649,購入者リスト!B:F,5,FALSE)</f>
        <v>2400</v>
      </c>
    </row>
    <row r="650" spans="2:13" s="46" customFormat="1" ht="15">
      <c r="B650" s="534">
        <f t="shared" si="45"/>
        <v>643</v>
      </c>
      <c r="C650" s="69" t="s">
        <v>2671</v>
      </c>
      <c r="D650" s="69" t="s">
        <v>2672</v>
      </c>
      <c r="E650" s="70" t="s">
        <v>2673</v>
      </c>
      <c r="F650" s="72"/>
      <c r="G650" s="71" t="str">
        <f>G649</f>
        <v>25/03/06</v>
      </c>
      <c r="H650" s="70" t="s">
        <v>27</v>
      </c>
      <c r="I650" s="73">
        <f t="shared" si="46"/>
        <v>21.818181818181841</v>
      </c>
      <c r="J650" s="74">
        <f>M649*0.1</f>
        <v>240</v>
      </c>
      <c r="K650" s="74">
        <f t="shared" si="47"/>
        <v>240</v>
      </c>
      <c r="L650" s="73" t="str">
        <f t="shared" si="48"/>
        <v/>
      </c>
      <c r="M650" s="74"/>
    </row>
    <row r="651" spans="2:13" s="46" customFormat="1" ht="15">
      <c r="B651" s="534">
        <f t="shared" si="45"/>
        <v>644</v>
      </c>
      <c r="C651" s="69" t="s">
        <v>2670</v>
      </c>
      <c r="D651" s="69" t="s">
        <v>2282</v>
      </c>
      <c r="E651" s="70" t="str">
        <f>VLOOKUP(F651,購入者リスト!B:F,4,FALSE)</f>
        <v>多肉 紫紺の矢入り 7種セット A 抜き苗</v>
      </c>
      <c r="F651" s="69">
        <v>33</v>
      </c>
      <c r="G651" s="71" t="str">
        <f>VLOOKUP(F651,購入者リスト!B:M,12,FALSE)</f>
        <v>25/03/06</v>
      </c>
      <c r="H651" s="70" t="s">
        <v>27</v>
      </c>
      <c r="I651" s="73" t="str">
        <f t="shared" si="46"/>
        <v/>
      </c>
      <c r="J651" s="74"/>
      <c r="K651" s="74">
        <f t="shared" si="47"/>
        <v>0</v>
      </c>
      <c r="L651" s="73">
        <f t="shared" si="48"/>
        <v>200.00000000000023</v>
      </c>
      <c r="M651" s="74">
        <f>VLOOKUP(F651,購入者リスト!B:F,5,FALSE)</f>
        <v>2200</v>
      </c>
    </row>
    <row r="652" spans="2:13" s="46" customFormat="1" ht="15">
      <c r="B652" s="534">
        <f t="shared" si="45"/>
        <v>645</v>
      </c>
      <c r="C652" s="69" t="s">
        <v>2671</v>
      </c>
      <c r="D652" s="69" t="s">
        <v>2672</v>
      </c>
      <c r="E652" s="70" t="s">
        <v>2673</v>
      </c>
      <c r="F652" s="72"/>
      <c r="G652" s="71" t="str">
        <f>G651</f>
        <v>25/03/06</v>
      </c>
      <c r="H652" s="70" t="s">
        <v>27</v>
      </c>
      <c r="I652" s="73">
        <f t="shared" si="46"/>
        <v>20.000000000000028</v>
      </c>
      <c r="J652" s="74">
        <f>M651*0.1</f>
        <v>220</v>
      </c>
      <c r="K652" s="74">
        <f t="shared" si="47"/>
        <v>220</v>
      </c>
      <c r="L652" s="73" t="str">
        <f t="shared" si="48"/>
        <v/>
      </c>
      <c r="M652" s="74"/>
    </row>
    <row r="653" spans="2:13" s="46" customFormat="1" ht="15">
      <c r="B653" s="534">
        <f t="shared" si="45"/>
        <v>646</v>
      </c>
      <c r="C653" s="69" t="s">
        <v>2670</v>
      </c>
      <c r="D653" s="69" t="s">
        <v>2282</v>
      </c>
      <c r="E653" s="70" t="str">
        <f>VLOOKUP(F653,購入者リスト!B:F,4,FALSE)</f>
        <v>多肉 紫紺の矢入り 7種セット B 抜き苗</v>
      </c>
      <c r="F653" s="69">
        <v>34</v>
      </c>
      <c r="G653" s="71" t="str">
        <f>VLOOKUP(F653,購入者リスト!B:M,12,FALSE)</f>
        <v>25/03/07</v>
      </c>
      <c r="H653" s="70" t="s">
        <v>27</v>
      </c>
      <c r="I653" s="73" t="str">
        <f t="shared" si="46"/>
        <v/>
      </c>
      <c r="J653" s="74"/>
      <c r="K653" s="74">
        <f t="shared" si="47"/>
        <v>0</v>
      </c>
      <c r="L653" s="73">
        <f t="shared" si="48"/>
        <v>200.00000000000023</v>
      </c>
      <c r="M653" s="74">
        <f>VLOOKUP(F653,購入者リスト!B:F,5,FALSE)</f>
        <v>2200</v>
      </c>
    </row>
    <row r="654" spans="2:13" s="46" customFormat="1" ht="15">
      <c r="B654" s="534">
        <f t="shared" si="45"/>
        <v>647</v>
      </c>
      <c r="C654" s="69" t="s">
        <v>2671</v>
      </c>
      <c r="D654" s="69" t="s">
        <v>2672</v>
      </c>
      <c r="E654" s="70" t="s">
        <v>2673</v>
      </c>
      <c r="F654" s="72"/>
      <c r="G654" s="71" t="str">
        <f>G653</f>
        <v>25/03/07</v>
      </c>
      <c r="H654" s="70" t="s">
        <v>27</v>
      </c>
      <c r="I654" s="73">
        <f t="shared" si="46"/>
        <v>20.000000000000028</v>
      </c>
      <c r="J654" s="74">
        <f>M653*0.1</f>
        <v>220</v>
      </c>
      <c r="K654" s="74">
        <f t="shared" si="47"/>
        <v>220</v>
      </c>
      <c r="L654" s="73" t="str">
        <f t="shared" si="48"/>
        <v/>
      </c>
      <c r="M654" s="74"/>
    </row>
    <row r="655" spans="2:13" s="46" customFormat="1" ht="15">
      <c r="B655" s="534">
        <f t="shared" si="45"/>
        <v>648</v>
      </c>
      <c r="C655" s="56" t="s">
        <v>2262</v>
      </c>
      <c r="D655" s="56" t="s">
        <v>2514</v>
      </c>
      <c r="E655" s="57" t="s">
        <v>2827</v>
      </c>
      <c r="F655" s="58"/>
      <c r="G655" s="59">
        <v>45724</v>
      </c>
      <c r="H655" s="57" t="s">
        <v>2828</v>
      </c>
      <c r="I655" s="62">
        <f t="shared" si="46"/>
        <v>8.8181818181818272</v>
      </c>
      <c r="J655" s="63">
        <v>97</v>
      </c>
      <c r="K655" s="63">
        <f t="shared" si="47"/>
        <v>97</v>
      </c>
      <c r="L655" s="62" t="str">
        <f t="shared" si="48"/>
        <v/>
      </c>
      <c r="M655" s="63"/>
    </row>
    <row r="656" spans="2:13" s="46" customFormat="1" ht="15">
      <c r="B656" s="534">
        <f t="shared" si="45"/>
        <v>649</v>
      </c>
      <c r="C656" s="56" t="s">
        <v>2262</v>
      </c>
      <c r="D656" s="56" t="s">
        <v>2293</v>
      </c>
      <c r="E656" s="57" t="s">
        <v>2829</v>
      </c>
      <c r="F656" s="58"/>
      <c r="G656" s="59">
        <v>45724</v>
      </c>
      <c r="H656" s="57" t="s">
        <v>2828</v>
      </c>
      <c r="I656" s="62">
        <f t="shared" si="46"/>
        <v>60.81818181818187</v>
      </c>
      <c r="J656" s="63">
        <v>669</v>
      </c>
      <c r="K656" s="63">
        <f t="shared" si="47"/>
        <v>669</v>
      </c>
      <c r="L656" s="62" t="str">
        <f t="shared" si="48"/>
        <v/>
      </c>
      <c r="M656" s="63"/>
    </row>
    <row r="657" spans="2:13" s="46" customFormat="1" ht="15">
      <c r="B657" s="534">
        <f t="shared" si="45"/>
        <v>650</v>
      </c>
      <c r="C657" s="56" t="s">
        <v>2262</v>
      </c>
      <c r="D657" s="56" t="s">
        <v>2514</v>
      </c>
      <c r="E657" s="57" t="s">
        <v>2830</v>
      </c>
      <c r="F657" s="58"/>
      <c r="G657" s="59">
        <v>45724</v>
      </c>
      <c r="H657" s="57" t="s">
        <v>2828</v>
      </c>
      <c r="I657" s="62">
        <f t="shared" si="46"/>
        <v>82.181818181818244</v>
      </c>
      <c r="J657" s="63">
        <v>904</v>
      </c>
      <c r="K657" s="63">
        <f t="shared" si="47"/>
        <v>904</v>
      </c>
      <c r="L657" s="62" t="str">
        <f t="shared" si="48"/>
        <v/>
      </c>
      <c r="M657" s="63"/>
    </row>
    <row r="658" spans="2:13" s="46" customFormat="1" ht="15">
      <c r="B658" s="534">
        <f t="shared" si="45"/>
        <v>651</v>
      </c>
      <c r="C658" s="56" t="s">
        <v>2262</v>
      </c>
      <c r="D658" s="56" t="s">
        <v>2276</v>
      </c>
      <c r="E658" s="57" t="s">
        <v>2831</v>
      </c>
      <c r="F658" s="58"/>
      <c r="G658" s="59">
        <v>45724</v>
      </c>
      <c r="H658" s="57" t="s">
        <v>598</v>
      </c>
      <c r="I658" s="62">
        <f t="shared" si="46"/>
        <v>77.090909090909122</v>
      </c>
      <c r="J658" s="63">
        <v>848</v>
      </c>
      <c r="K658" s="63">
        <f t="shared" si="47"/>
        <v>848</v>
      </c>
      <c r="L658" s="62" t="str">
        <f t="shared" si="48"/>
        <v/>
      </c>
      <c r="M658" s="63"/>
    </row>
    <row r="659" spans="2:13" s="46" customFormat="1" ht="15">
      <c r="B659" s="534">
        <f t="shared" si="45"/>
        <v>652</v>
      </c>
      <c r="C659" s="56" t="s">
        <v>2262</v>
      </c>
      <c r="D659" s="56" t="s">
        <v>2832</v>
      </c>
      <c r="E659" s="57" t="s">
        <v>2833</v>
      </c>
      <c r="F659" s="58" t="s">
        <v>2271</v>
      </c>
      <c r="G659" s="59">
        <v>45724</v>
      </c>
      <c r="H659" s="57" t="s">
        <v>598</v>
      </c>
      <c r="I659" s="62">
        <f t="shared" si="46"/>
        <v>72.363636363636374</v>
      </c>
      <c r="J659" s="63">
        <v>796</v>
      </c>
      <c r="K659" s="63">
        <f t="shared" si="47"/>
        <v>796</v>
      </c>
      <c r="L659" s="62" t="str">
        <f t="shared" si="48"/>
        <v/>
      </c>
      <c r="M659" s="63"/>
    </row>
    <row r="660" spans="2:13" s="46" customFormat="1" ht="15">
      <c r="B660" s="534">
        <f t="shared" si="45"/>
        <v>653</v>
      </c>
      <c r="C660" s="56" t="s">
        <v>2262</v>
      </c>
      <c r="D660" s="56" t="s">
        <v>2832</v>
      </c>
      <c r="E660" s="57" t="s">
        <v>2834</v>
      </c>
      <c r="F660" s="58" t="s">
        <v>2271</v>
      </c>
      <c r="G660" s="59">
        <v>45724</v>
      </c>
      <c r="H660" s="57" t="s">
        <v>598</v>
      </c>
      <c r="I660" s="62">
        <f t="shared" si="46"/>
        <v>196.36363636363649</v>
      </c>
      <c r="J660" s="63">
        <v>2160</v>
      </c>
      <c r="K660" s="63">
        <f t="shared" si="47"/>
        <v>2160</v>
      </c>
      <c r="L660" s="62" t="str">
        <f t="shared" si="48"/>
        <v/>
      </c>
      <c r="M660" s="63"/>
    </row>
    <row r="661" spans="2:13" s="46" customFormat="1" ht="15">
      <c r="B661" s="534">
        <f t="shared" si="45"/>
        <v>654</v>
      </c>
      <c r="C661" s="56" t="s">
        <v>2342</v>
      </c>
      <c r="D661" s="56" t="s">
        <v>2693</v>
      </c>
      <c r="E661" s="57" t="s">
        <v>2694</v>
      </c>
      <c r="F661" s="64">
        <v>169</v>
      </c>
      <c r="G661" s="59">
        <v>45726</v>
      </c>
      <c r="H661" s="57" t="s">
        <v>2695</v>
      </c>
      <c r="I661" s="62">
        <f t="shared" si="46"/>
        <v>19.090909090909093</v>
      </c>
      <c r="J661" s="63">
        <f>IF(F661&lt;=150,170,IF(F661&lt;=200,210,IF(F661&lt;=250,240,290)))</f>
        <v>210</v>
      </c>
      <c r="K661" s="63">
        <f t="shared" si="47"/>
        <v>210</v>
      </c>
      <c r="L661" s="62" t="str">
        <f t="shared" si="48"/>
        <v/>
      </c>
      <c r="M661" s="63"/>
    </row>
    <row r="662" spans="2:13" s="46" customFormat="1" ht="15">
      <c r="B662" s="534">
        <f t="shared" si="45"/>
        <v>655</v>
      </c>
      <c r="C662" s="56" t="s">
        <v>2342</v>
      </c>
      <c r="D662" s="56" t="s">
        <v>2693</v>
      </c>
      <c r="E662" s="57" t="s">
        <v>2694</v>
      </c>
      <c r="F662" s="64">
        <v>169</v>
      </c>
      <c r="G662" s="59">
        <v>45726</v>
      </c>
      <c r="H662" s="57" t="s">
        <v>2695</v>
      </c>
      <c r="I662" s="62">
        <f t="shared" si="46"/>
        <v>19.090909090909093</v>
      </c>
      <c r="J662" s="63">
        <f>IF(F662&lt;=150,170,IF(F662&lt;=200,210,IF(F662&lt;=250,240,290)))</f>
        <v>210</v>
      </c>
      <c r="K662" s="63">
        <f t="shared" si="47"/>
        <v>210</v>
      </c>
      <c r="L662" s="62" t="str">
        <f t="shared" si="48"/>
        <v/>
      </c>
      <c r="M662" s="63"/>
    </row>
    <row r="663" spans="2:13" s="46" customFormat="1" ht="15">
      <c r="B663" s="534">
        <f t="shared" si="45"/>
        <v>656</v>
      </c>
      <c r="C663" s="56" t="s">
        <v>2342</v>
      </c>
      <c r="D663" s="56" t="s">
        <v>2693</v>
      </c>
      <c r="E663" s="57" t="s">
        <v>2694</v>
      </c>
      <c r="F663" s="64">
        <v>169</v>
      </c>
      <c r="G663" s="59">
        <v>45726</v>
      </c>
      <c r="H663" s="57" t="s">
        <v>2695</v>
      </c>
      <c r="I663" s="62">
        <f t="shared" si="46"/>
        <v>19.090909090909093</v>
      </c>
      <c r="J663" s="63">
        <f>IF(F663&lt;=150,170,IF(F663&lt;=200,210,IF(F663&lt;=250,240,290)))</f>
        <v>210</v>
      </c>
      <c r="K663" s="63">
        <f t="shared" si="47"/>
        <v>210</v>
      </c>
      <c r="L663" s="62" t="str">
        <f t="shared" si="48"/>
        <v/>
      </c>
      <c r="M663" s="63"/>
    </row>
    <row r="664" spans="2:13" s="46" customFormat="1" ht="15">
      <c r="B664" s="534">
        <f t="shared" si="45"/>
        <v>657</v>
      </c>
      <c r="C664" s="56" t="s">
        <v>2342</v>
      </c>
      <c r="D664" s="56" t="s">
        <v>2693</v>
      </c>
      <c r="E664" s="57" t="s">
        <v>2694</v>
      </c>
      <c r="F664" s="64">
        <v>372.5</v>
      </c>
      <c r="G664" s="59">
        <v>45726</v>
      </c>
      <c r="H664" s="57" t="s">
        <v>2695</v>
      </c>
      <c r="I664" s="62">
        <f t="shared" si="46"/>
        <v>26.363636363636374</v>
      </c>
      <c r="J664" s="63">
        <f>IF(F664&lt;=150,170,IF(F664&lt;=200,210,IF(F664&lt;=250,240,290)))</f>
        <v>290</v>
      </c>
      <c r="K664" s="63">
        <f t="shared" si="47"/>
        <v>290</v>
      </c>
      <c r="L664" s="62" t="str">
        <f t="shared" si="48"/>
        <v/>
      </c>
      <c r="M664" s="63"/>
    </row>
    <row r="665" spans="2:13" s="46" customFormat="1" ht="15">
      <c r="B665" s="534">
        <f t="shared" si="45"/>
        <v>658</v>
      </c>
      <c r="C665" s="69" t="s">
        <v>2670</v>
      </c>
      <c r="D665" s="69" t="s">
        <v>2282</v>
      </c>
      <c r="E665" s="70" t="str">
        <f>VLOOKUP(F665,購入者リスト!B:F,4,FALSE)</f>
        <v>多肉 ちょこん入り 7種セット A 抜き苗</v>
      </c>
      <c r="F665" s="69">
        <v>35</v>
      </c>
      <c r="G665" s="71" t="str">
        <f>VLOOKUP(F665,購入者リスト!B:M,12,FALSE)</f>
        <v>25/03/13</v>
      </c>
      <c r="H665" s="70" t="s">
        <v>27</v>
      </c>
      <c r="I665" s="73" t="str">
        <f t="shared" si="46"/>
        <v/>
      </c>
      <c r="J665" s="74"/>
      <c r="K665" s="74">
        <f t="shared" si="47"/>
        <v>0</v>
      </c>
      <c r="L665" s="73">
        <f t="shared" si="48"/>
        <v>218.18181818181847</v>
      </c>
      <c r="M665" s="74">
        <f>VLOOKUP(F665,購入者リスト!B:F,5,FALSE)</f>
        <v>2400</v>
      </c>
    </row>
    <row r="666" spans="2:13" s="46" customFormat="1" ht="15">
      <c r="B666" s="534">
        <f t="shared" si="45"/>
        <v>659</v>
      </c>
      <c r="C666" s="69" t="s">
        <v>2671</v>
      </c>
      <c r="D666" s="69" t="s">
        <v>2672</v>
      </c>
      <c r="E666" s="70" t="s">
        <v>2673</v>
      </c>
      <c r="F666" s="72"/>
      <c r="G666" s="71" t="str">
        <f>G665</f>
        <v>25/03/13</v>
      </c>
      <c r="H666" s="70" t="s">
        <v>27</v>
      </c>
      <c r="I666" s="73">
        <f t="shared" si="46"/>
        <v>21.818181818181841</v>
      </c>
      <c r="J666" s="74">
        <f>M665*0.1</f>
        <v>240</v>
      </c>
      <c r="K666" s="74">
        <f t="shared" si="47"/>
        <v>240</v>
      </c>
      <c r="L666" s="73" t="str">
        <f t="shared" si="48"/>
        <v/>
      </c>
      <c r="M666" s="74"/>
    </row>
    <row r="667" spans="2:13" s="46" customFormat="1" ht="15">
      <c r="B667" s="534">
        <f t="shared" si="45"/>
        <v>660</v>
      </c>
      <c r="C667" s="69" t="s">
        <v>2670</v>
      </c>
      <c r="D667" s="69" t="s">
        <v>2282</v>
      </c>
      <c r="E667" s="70" t="str">
        <f>VLOOKUP(F667,購入者リスト!B:F,4,FALSE)</f>
        <v>多肉 ももりん入り 7種セット 抜き苗</v>
      </c>
      <c r="F667" s="69">
        <v>37</v>
      </c>
      <c r="G667" s="71" t="str">
        <f>VLOOKUP(F667,購入者リスト!B:M,12,FALSE)</f>
        <v>25/03/13</v>
      </c>
      <c r="H667" s="70" t="s">
        <v>27</v>
      </c>
      <c r="I667" s="73" t="str">
        <f t="shared" si="46"/>
        <v/>
      </c>
      <c r="J667" s="74"/>
      <c r="K667" s="74">
        <f t="shared" si="47"/>
        <v>0</v>
      </c>
      <c r="L667" s="73">
        <f t="shared" si="48"/>
        <v>200.00000000000023</v>
      </c>
      <c r="M667" s="74">
        <f>VLOOKUP(F667,購入者リスト!B:F,5,FALSE)</f>
        <v>2200</v>
      </c>
    </row>
    <row r="668" spans="2:13" s="46" customFormat="1" ht="15">
      <c r="B668" s="534">
        <f t="shared" si="45"/>
        <v>661</v>
      </c>
      <c r="C668" s="69" t="s">
        <v>2671</v>
      </c>
      <c r="D668" s="69" t="s">
        <v>2672</v>
      </c>
      <c r="E668" s="70" t="s">
        <v>2673</v>
      </c>
      <c r="F668" s="72"/>
      <c r="G668" s="71" t="str">
        <f>G667</f>
        <v>25/03/13</v>
      </c>
      <c r="H668" s="70" t="s">
        <v>27</v>
      </c>
      <c r="I668" s="73">
        <f t="shared" si="46"/>
        <v>20.000000000000028</v>
      </c>
      <c r="J668" s="74">
        <f>M667*0.1</f>
        <v>220</v>
      </c>
      <c r="K668" s="74">
        <f t="shared" si="47"/>
        <v>220</v>
      </c>
      <c r="L668" s="73" t="str">
        <f t="shared" si="48"/>
        <v/>
      </c>
      <c r="M668" s="74"/>
    </row>
    <row r="669" spans="2:13" s="46" customFormat="1" ht="15">
      <c r="B669" s="534">
        <f t="shared" si="45"/>
        <v>662</v>
      </c>
      <c r="C669" s="69" t="s">
        <v>2670</v>
      </c>
      <c r="D669" s="69" t="s">
        <v>2282</v>
      </c>
      <c r="E669" s="70" t="str">
        <f>VLOOKUP(F669,購入者リスト!B:F,4,FALSE)</f>
        <v>多肉 紫紺の矢入り 7種セット A 抜き苗</v>
      </c>
      <c r="F669" s="69">
        <v>38</v>
      </c>
      <c r="G669" s="71" t="str">
        <f>VLOOKUP(F669,購入者リスト!B:M,12,FALSE)</f>
        <v>25/03/13</v>
      </c>
      <c r="H669" s="70" t="s">
        <v>27</v>
      </c>
      <c r="I669" s="73" t="str">
        <f t="shared" si="46"/>
        <v/>
      </c>
      <c r="J669" s="74"/>
      <c r="K669" s="74">
        <f t="shared" si="47"/>
        <v>0</v>
      </c>
      <c r="L669" s="73">
        <f t="shared" si="48"/>
        <v>200.00000000000023</v>
      </c>
      <c r="M669" s="74">
        <f>VLOOKUP(F669,購入者リスト!B:F,5,FALSE)</f>
        <v>2200</v>
      </c>
    </row>
    <row r="670" spans="2:13" s="46" customFormat="1" ht="15">
      <c r="B670" s="534">
        <f t="shared" si="45"/>
        <v>663</v>
      </c>
      <c r="C670" s="69" t="s">
        <v>2671</v>
      </c>
      <c r="D670" s="69" t="s">
        <v>2672</v>
      </c>
      <c r="E670" s="70" t="s">
        <v>2673</v>
      </c>
      <c r="F670" s="72"/>
      <c r="G670" s="71" t="str">
        <f>G669</f>
        <v>25/03/13</v>
      </c>
      <c r="H670" s="70" t="s">
        <v>27</v>
      </c>
      <c r="I670" s="73">
        <f t="shared" si="46"/>
        <v>20.000000000000028</v>
      </c>
      <c r="J670" s="74">
        <f>M669*0.1</f>
        <v>220</v>
      </c>
      <c r="K670" s="74">
        <f t="shared" si="47"/>
        <v>220</v>
      </c>
      <c r="L670" s="73" t="str">
        <f t="shared" si="48"/>
        <v/>
      </c>
      <c r="M670" s="74"/>
    </row>
    <row r="671" spans="2:13" s="46" customFormat="1" ht="15">
      <c r="B671" s="534">
        <f t="shared" si="45"/>
        <v>664</v>
      </c>
      <c r="C671" s="69" t="s">
        <v>2670</v>
      </c>
      <c r="D671" s="69" t="s">
        <v>2282</v>
      </c>
      <c r="E671" s="70" t="str">
        <f>VLOOKUP(F671,購入者リスト!B:F,4,FALSE)</f>
        <v>多肉 紫紺の矢入り 7種セット B 抜き苗</v>
      </c>
      <c r="F671" s="69">
        <v>39</v>
      </c>
      <c r="G671" s="71" t="str">
        <f>VLOOKUP(F671,購入者リスト!B:M,12,FALSE)</f>
        <v>25/03/13</v>
      </c>
      <c r="H671" s="70" t="s">
        <v>27</v>
      </c>
      <c r="I671" s="73" t="str">
        <f t="shared" si="46"/>
        <v/>
      </c>
      <c r="J671" s="74"/>
      <c r="K671" s="74">
        <f t="shared" si="47"/>
        <v>0</v>
      </c>
      <c r="L671" s="73">
        <f t="shared" si="48"/>
        <v>200.00000000000023</v>
      </c>
      <c r="M671" s="74">
        <f>VLOOKUP(F671,購入者リスト!B:F,5,FALSE)</f>
        <v>2200</v>
      </c>
    </row>
    <row r="672" spans="2:13" s="46" customFormat="1" ht="15">
      <c r="B672" s="534">
        <f t="shared" si="45"/>
        <v>665</v>
      </c>
      <c r="C672" s="69" t="s">
        <v>2671</v>
      </c>
      <c r="D672" s="69" t="s">
        <v>2672</v>
      </c>
      <c r="E672" s="70" t="s">
        <v>2673</v>
      </c>
      <c r="F672" s="72"/>
      <c r="G672" s="71" t="str">
        <f>G671</f>
        <v>25/03/13</v>
      </c>
      <c r="H672" s="70" t="s">
        <v>27</v>
      </c>
      <c r="I672" s="73">
        <f t="shared" si="46"/>
        <v>20.000000000000028</v>
      </c>
      <c r="J672" s="74">
        <f>M671*0.1</f>
        <v>220</v>
      </c>
      <c r="K672" s="74">
        <f t="shared" si="47"/>
        <v>220</v>
      </c>
      <c r="L672" s="73" t="str">
        <f t="shared" si="48"/>
        <v/>
      </c>
      <c r="M672" s="74"/>
    </row>
    <row r="673" spans="2:13" s="46" customFormat="1" ht="15">
      <c r="B673" s="534">
        <f t="shared" si="45"/>
        <v>666</v>
      </c>
      <c r="C673" s="69" t="s">
        <v>2670</v>
      </c>
      <c r="D673" s="69" t="s">
        <v>2282</v>
      </c>
      <c r="E673" s="70" t="str">
        <f>VLOOKUP(F673,購入者リスト!B:F,4,FALSE)</f>
        <v>多肉 ちょこん入り 7種セット B 抜き苗</v>
      </c>
      <c r="F673" s="69">
        <v>36</v>
      </c>
      <c r="G673" s="71" t="str">
        <f>VLOOKUP(F673,購入者リスト!B:M,12,FALSE)</f>
        <v>25/03/14</v>
      </c>
      <c r="H673" s="70" t="s">
        <v>27</v>
      </c>
      <c r="I673" s="73" t="str">
        <f t="shared" si="46"/>
        <v/>
      </c>
      <c r="J673" s="74"/>
      <c r="K673" s="74">
        <f t="shared" si="47"/>
        <v>0</v>
      </c>
      <c r="L673" s="73">
        <f t="shared" si="48"/>
        <v>218.18181818181847</v>
      </c>
      <c r="M673" s="74">
        <f>VLOOKUP(F673,購入者リスト!B:F,5,FALSE)</f>
        <v>2400</v>
      </c>
    </row>
    <row r="674" spans="2:13" s="46" customFormat="1" ht="15">
      <c r="B674" s="534">
        <f t="shared" si="45"/>
        <v>667</v>
      </c>
      <c r="C674" s="69" t="s">
        <v>2671</v>
      </c>
      <c r="D674" s="69" t="s">
        <v>2672</v>
      </c>
      <c r="E674" s="70" t="s">
        <v>2673</v>
      </c>
      <c r="F674" s="72"/>
      <c r="G674" s="71" t="str">
        <f>G673</f>
        <v>25/03/14</v>
      </c>
      <c r="H674" s="70" t="s">
        <v>27</v>
      </c>
      <c r="I674" s="73">
        <f t="shared" si="46"/>
        <v>21.818181818181841</v>
      </c>
      <c r="J674" s="74">
        <f>M673*0.1</f>
        <v>240</v>
      </c>
      <c r="K674" s="74">
        <f t="shared" si="47"/>
        <v>240</v>
      </c>
      <c r="L674" s="73" t="str">
        <f t="shared" si="48"/>
        <v/>
      </c>
      <c r="M674" s="74"/>
    </row>
    <row r="675" spans="2:13" s="46" customFormat="1" ht="15">
      <c r="B675" s="534">
        <f t="shared" si="45"/>
        <v>668</v>
      </c>
      <c r="C675" s="56" t="s">
        <v>2262</v>
      </c>
      <c r="D675" s="56" t="s">
        <v>2514</v>
      </c>
      <c r="E675" s="57" t="s">
        <v>2835</v>
      </c>
      <c r="F675" s="58"/>
      <c r="G675" s="59">
        <v>45731</v>
      </c>
      <c r="H675" s="57" t="s">
        <v>2828</v>
      </c>
      <c r="I675" s="62">
        <f t="shared" si="46"/>
        <v>147.18181818181824</v>
      </c>
      <c r="J675" s="63">
        <v>1619</v>
      </c>
      <c r="K675" s="63">
        <f t="shared" si="47"/>
        <v>1619</v>
      </c>
      <c r="L675" s="62" t="str">
        <f t="shared" si="48"/>
        <v/>
      </c>
      <c r="M675" s="63"/>
    </row>
    <row r="676" spans="2:13" s="46" customFormat="1" ht="15">
      <c r="B676" s="534">
        <f t="shared" si="45"/>
        <v>669</v>
      </c>
      <c r="C676" s="56" t="s">
        <v>2262</v>
      </c>
      <c r="D676" s="56" t="s">
        <v>2514</v>
      </c>
      <c r="E676" s="57" t="s">
        <v>2836</v>
      </c>
      <c r="F676" s="58"/>
      <c r="G676" s="59">
        <v>45731</v>
      </c>
      <c r="H676" s="57" t="s">
        <v>2828</v>
      </c>
      <c r="I676" s="62">
        <f t="shared" si="46"/>
        <v>154.09090909090924</v>
      </c>
      <c r="J676" s="63">
        <v>1695</v>
      </c>
      <c r="K676" s="63">
        <f t="shared" si="47"/>
        <v>1695</v>
      </c>
      <c r="L676" s="62" t="str">
        <f t="shared" si="48"/>
        <v/>
      </c>
      <c r="M676" s="63"/>
    </row>
    <row r="677" spans="2:13" s="46" customFormat="1" ht="15">
      <c r="B677" s="534">
        <f t="shared" si="45"/>
        <v>670</v>
      </c>
      <c r="C677" s="56" t="s">
        <v>2262</v>
      </c>
      <c r="D677" s="56" t="s">
        <v>2837</v>
      </c>
      <c r="E677" s="57" t="s">
        <v>2838</v>
      </c>
      <c r="F677" s="58" t="s">
        <v>2424</v>
      </c>
      <c r="G677" s="59">
        <v>45731</v>
      </c>
      <c r="H677" s="57" t="s">
        <v>2828</v>
      </c>
      <c r="I677" s="62">
        <f t="shared" si="46"/>
        <v>9.0909090909090935</v>
      </c>
      <c r="J677" s="63">
        <v>100</v>
      </c>
      <c r="K677" s="63">
        <f t="shared" si="47"/>
        <v>100</v>
      </c>
      <c r="L677" s="62" t="str">
        <f t="shared" si="48"/>
        <v/>
      </c>
      <c r="M677" s="63"/>
    </row>
    <row r="678" spans="2:13" s="46" customFormat="1" ht="15">
      <c r="B678" s="534">
        <f t="shared" si="45"/>
        <v>671</v>
      </c>
      <c r="C678" s="56" t="s">
        <v>2262</v>
      </c>
      <c r="D678" s="56" t="s">
        <v>2404</v>
      </c>
      <c r="E678" s="57" t="s">
        <v>2839</v>
      </c>
      <c r="F678" s="58"/>
      <c r="G678" s="59">
        <v>45731</v>
      </c>
      <c r="H678" s="57" t="s">
        <v>598</v>
      </c>
      <c r="I678" s="62">
        <f t="shared" si="46"/>
        <v>36.181818181818187</v>
      </c>
      <c r="J678" s="63">
        <v>398</v>
      </c>
      <c r="K678" s="63">
        <f t="shared" si="47"/>
        <v>398</v>
      </c>
      <c r="L678" s="62" t="str">
        <f t="shared" si="48"/>
        <v/>
      </c>
      <c r="M678" s="63"/>
    </row>
    <row r="679" spans="2:13" s="46" customFormat="1" ht="15">
      <c r="B679" s="534">
        <f t="shared" si="45"/>
        <v>672</v>
      </c>
      <c r="C679" s="56" t="s">
        <v>2262</v>
      </c>
      <c r="D679" s="56" t="s">
        <v>2840</v>
      </c>
      <c r="E679" s="57" t="s">
        <v>2841</v>
      </c>
      <c r="F679" s="58"/>
      <c r="G679" s="59">
        <v>45731</v>
      </c>
      <c r="H679" s="57" t="s">
        <v>598</v>
      </c>
      <c r="I679" s="62">
        <f t="shared" si="46"/>
        <v>216.36363636363649</v>
      </c>
      <c r="J679" s="63">
        <v>2380</v>
      </c>
      <c r="K679" s="63">
        <f t="shared" si="47"/>
        <v>2380</v>
      </c>
      <c r="L679" s="62" t="str">
        <f t="shared" si="48"/>
        <v/>
      </c>
      <c r="M679" s="63"/>
    </row>
    <row r="680" spans="2:13" s="46" customFormat="1" ht="15">
      <c r="B680" s="534">
        <f t="shared" si="45"/>
        <v>673</v>
      </c>
      <c r="C680" s="56" t="s">
        <v>2262</v>
      </c>
      <c r="D680" s="56" t="s">
        <v>2840</v>
      </c>
      <c r="E680" s="57" t="s">
        <v>2842</v>
      </c>
      <c r="F680" s="58"/>
      <c r="G680" s="59">
        <v>45731</v>
      </c>
      <c r="H680" s="57" t="s">
        <v>598</v>
      </c>
      <c r="I680" s="62">
        <f t="shared" si="46"/>
        <v>63.454545454545496</v>
      </c>
      <c r="J680" s="63">
        <v>698</v>
      </c>
      <c r="K680" s="63">
        <f t="shared" si="47"/>
        <v>698</v>
      </c>
      <c r="L680" s="62" t="str">
        <f t="shared" si="48"/>
        <v/>
      </c>
      <c r="M680" s="63"/>
    </row>
    <row r="681" spans="2:13" s="46" customFormat="1" ht="15">
      <c r="B681" s="534">
        <f t="shared" si="45"/>
        <v>674</v>
      </c>
      <c r="C681" s="56" t="s">
        <v>2262</v>
      </c>
      <c r="D681" s="56" t="s">
        <v>2843</v>
      </c>
      <c r="E681" s="57" t="s">
        <v>2844</v>
      </c>
      <c r="F681" s="58"/>
      <c r="G681" s="59">
        <v>45731</v>
      </c>
      <c r="H681" s="57" t="s">
        <v>2307</v>
      </c>
      <c r="I681" s="62">
        <f t="shared" si="46"/>
        <v>1289.3636363636379</v>
      </c>
      <c r="J681" s="63">
        <v>14183</v>
      </c>
      <c r="K681" s="63">
        <f t="shared" si="47"/>
        <v>14183</v>
      </c>
      <c r="L681" s="62" t="str">
        <f t="shared" si="48"/>
        <v/>
      </c>
      <c r="M681" s="63"/>
    </row>
    <row r="682" spans="2:13" s="46" customFormat="1" ht="15">
      <c r="B682" s="534">
        <f t="shared" si="45"/>
        <v>675</v>
      </c>
      <c r="C682" s="56" t="s">
        <v>2262</v>
      </c>
      <c r="D682" s="56" t="s">
        <v>2845</v>
      </c>
      <c r="E682" s="57" t="s">
        <v>2846</v>
      </c>
      <c r="F682" s="58"/>
      <c r="G682" s="59">
        <v>45731</v>
      </c>
      <c r="H682" s="57" t="s">
        <v>2307</v>
      </c>
      <c r="I682" s="62">
        <f t="shared" si="46"/>
        <v>95.090909090909122</v>
      </c>
      <c r="J682" s="63">
        <v>1046</v>
      </c>
      <c r="K682" s="63">
        <f t="shared" si="47"/>
        <v>1046</v>
      </c>
      <c r="L682" s="62" t="str">
        <f t="shared" si="48"/>
        <v/>
      </c>
      <c r="M682" s="63"/>
    </row>
    <row r="683" spans="2:13" s="46" customFormat="1" ht="15">
      <c r="B683" s="534">
        <f t="shared" si="45"/>
        <v>676</v>
      </c>
      <c r="C683" s="56" t="s">
        <v>2262</v>
      </c>
      <c r="D683" s="56" t="s">
        <v>2276</v>
      </c>
      <c r="E683" s="57" t="s">
        <v>2475</v>
      </c>
      <c r="F683" s="58" t="s">
        <v>2271</v>
      </c>
      <c r="G683" s="59">
        <v>45731</v>
      </c>
      <c r="H683" s="57" t="s">
        <v>2307</v>
      </c>
      <c r="I683" s="62">
        <f t="shared" si="46"/>
        <v>125.4545454545455</v>
      </c>
      <c r="J683" s="63">
        <v>1380</v>
      </c>
      <c r="K683" s="63">
        <f t="shared" si="47"/>
        <v>1380</v>
      </c>
      <c r="L683" s="62" t="str">
        <f t="shared" si="48"/>
        <v/>
      </c>
      <c r="M683" s="63"/>
    </row>
    <row r="684" spans="2:13" s="46" customFormat="1" ht="15">
      <c r="B684" s="534">
        <f t="shared" si="45"/>
        <v>677</v>
      </c>
      <c r="C684" s="56" t="s">
        <v>2262</v>
      </c>
      <c r="D684" s="56" t="s">
        <v>2457</v>
      </c>
      <c r="E684" s="57" t="s">
        <v>2847</v>
      </c>
      <c r="F684" s="58" t="s">
        <v>2848</v>
      </c>
      <c r="G684" s="59">
        <v>45731</v>
      </c>
      <c r="H684" s="57" t="s">
        <v>2265</v>
      </c>
      <c r="I684" s="62">
        <f t="shared" si="46"/>
        <v>170.00000000000023</v>
      </c>
      <c r="J684" s="63">
        <v>1870</v>
      </c>
      <c r="K684" s="63">
        <f t="shared" si="47"/>
        <v>1870</v>
      </c>
      <c r="L684" s="62" t="str">
        <f t="shared" si="48"/>
        <v/>
      </c>
      <c r="M684" s="63"/>
    </row>
    <row r="685" spans="2:13" s="46" customFormat="1" ht="15">
      <c r="B685" s="534">
        <f t="shared" si="45"/>
        <v>678</v>
      </c>
      <c r="C685" s="56" t="s">
        <v>2262</v>
      </c>
      <c r="D685" s="56" t="s">
        <v>2579</v>
      </c>
      <c r="E685" s="57" t="s">
        <v>2849</v>
      </c>
      <c r="F685" s="58"/>
      <c r="G685" s="59">
        <v>45731</v>
      </c>
      <c r="H685" s="57" t="s">
        <v>49</v>
      </c>
      <c r="I685" s="62">
        <f t="shared" si="46"/>
        <v>10.000000000000014</v>
      </c>
      <c r="J685" s="63">
        <v>110</v>
      </c>
      <c r="K685" s="63">
        <f t="shared" si="47"/>
        <v>110</v>
      </c>
      <c r="L685" s="62" t="str">
        <f t="shared" si="48"/>
        <v/>
      </c>
      <c r="M685" s="63"/>
    </row>
    <row r="686" spans="2:13" s="46" customFormat="1" ht="15">
      <c r="B686" s="534">
        <f t="shared" si="45"/>
        <v>679</v>
      </c>
      <c r="C686" s="56" t="s">
        <v>2262</v>
      </c>
      <c r="D686" s="56" t="s">
        <v>2805</v>
      </c>
      <c r="E686" s="57" t="s">
        <v>2821</v>
      </c>
      <c r="F686" s="64" t="s">
        <v>2304</v>
      </c>
      <c r="G686" s="59">
        <v>45731</v>
      </c>
      <c r="H686" s="57" t="s">
        <v>45</v>
      </c>
      <c r="I686" s="62">
        <f t="shared" si="46"/>
        <v>30</v>
      </c>
      <c r="J686" s="63">
        <v>330</v>
      </c>
      <c r="K686" s="63">
        <f t="shared" si="47"/>
        <v>330</v>
      </c>
      <c r="L686" s="62" t="str">
        <f t="shared" si="48"/>
        <v/>
      </c>
      <c r="M686" s="63"/>
    </row>
    <row r="687" spans="2:13" s="46" customFormat="1" ht="15">
      <c r="B687" s="534">
        <f t="shared" si="45"/>
        <v>680</v>
      </c>
      <c r="C687" s="56" t="s">
        <v>2262</v>
      </c>
      <c r="D687" s="56" t="s">
        <v>2579</v>
      </c>
      <c r="E687" s="57" t="s">
        <v>2850</v>
      </c>
      <c r="F687" s="64"/>
      <c r="G687" s="59">
        <v>45731</v>
      </c>
      <c r="H687" s="57" t="s">
        <v>45</v>
      </c>
      <c r="I687" s="62">
        <f t="shared" si="46"/>
        <v>6.0000000000000071</v>
      </c>
      <c r="J687" s="63">
        <v>66</v>
      </c>
      <c r="K687" s="63">
        <f t="shared" si="47"/>
        <v>66</v>
      </c>
      <c r="L687" s="62" t="str">
        <f t="shared" si="48"/>
        <v/>
      </c>
      <c r="M687" s="63"/>
    </row>
    <row r="688" spans="2:13" s="46" customFormat="1" ht="15">
      <c r="B688" s="534">
        <f t="shared" si="45"/>
        <v>681</v>
      </c>
      <c r="C688" s="56" t="s">
        <v>2262</v>
      </c>
      <c r="D688" s="56" t="s">
        <v>2696</v>
      </c>
      <c r="E688" s="57" t="s">
        <v>2697</v>
      </c>
      <c r="F688" s="58"/>
      <c r="G688" s="59">
        <v>45732</v>
      </c>
      <c r="H688" s="57" t="s">
        <v>27</v>
      </c>
      <c r="I688" s="62">
        <f t="shared" si="46"/>
        <v>76.272727272727366</v>
      </c>
      <c r="J688" s="63">
        <v>839</v>
      </c>
      <c r="K688" s="63">
        <f t="shared" si="47"/>
        <v>839</v>
      </c>
      <c r="L688" s="62" t="str">
        <f t="shared" si="48"/>
        <v/>
      </c>
      <c r="M688" s="63"/>
    </row>
    <row r="689" spans="2:13" s="46" customFormat="1" ht="15">
      <c r="B689" s="534">
        <f t="shared" ref="B689:B752" si="49">ROW()-7</f>
        <v>682</v>
      </c>
      <c r="C689" s="56" t="s">
        <v>2262</v>
      </c>
      <c r="D689" s="56" t="s">
        <v>2404</v>
      </c>
      <c r="E689" s="57" t="s">
        <v>2851</v>
      </c>
      <c r="F689" s="58"/>
      <c r="G689" s="59">
        <v>45736</v>
      </c>
      <c r="H689" s="57" t="s">
        <v>129</v>
      </c>
      <c r="I689" s="62">
        <f t="shared" ref="I689:I752" si="50">IF(J689&lt;&gt;"",J689-J689/1.1,"")</f>
        <v>99.727272727272862</v>
      </c>
      <c r="J689" s="63">
        <v>1097</v>
      </c>
      <c r="K689" s="63">
        <f t="shared" ref="K689:K752" si="51">IF(N689="",J689,0)</f>
        <v>1097</v>
      </c>
      <c r="L689" s="62" t="str">
        <f t="shared" ref="L689:L752" si="52">IF(M689&lt;&gt;"",M689-M689/1.1,"")</f>
        <v/>
      </c>
      <c r="M689" s="63"/>
    </row>
    <row r="690" spans="2:13" s="46" customFormat="1" ht="15">
      <c r="B690" s="534">
        <f t="shared" si="49"/>
        <v>683</v>
      </c>
      <c r="C690" s="56" t="s">
        <v>2262</v>
      </c>
      <c r="D690" s="56" t="s">
        <v>2512</v>
      </c>
      <c r="E690" s="57" t="s">
        <v>2852</v>
      </c>
      <c r="F690" s="58"/>
      <c r="G690" s="59">
        <v>45736</v>
      </c>
      <c r="H690" s="57" t="s">
        <v>129</v>
      </c>
      <c r="I690" s="62">
        <f t="shared" si="50"/>
        <v>24.727272727272748</v>
      </c>
      <c r="J690" s="63">
        <v>272</v>
      </c>
      <c r="K690" s="63">
        <f t="shared" si="51"/>
        <v>272</v>
      </c>
      <c r="L690" s="62" t="str">
        <f t="shared" si="52"/>
        <v/>
      </c>
      <c r="M690" s="63"/>
    </row>
    <row r="691" spans="2:13" s="46" customFormat="1" ht="15">
      <c r="B691" s="534">
        <f t="shared" si="49"/>
        <v>684</v>
      </c>
      <c r="C691" s="56" t="s">
        <v>2268</v>
      </c>
      <c r="D691" s="56" t="s">
        <v>2318</v>
      </c>
      <c r="E691" s="57" t="s">
        <v>2853</v>
      </c>
      <c r="F691" s="58" t="s">
        <v>2271</v>
      </c>
      <c r="G691" s="59">
        <v>45736</v>
      </c>
      <c r="H691" s="57" t="s">
        <v>129</v>
      </c>
      <c r="I691" s="62">
        <f t="shared" si="50"/>
        <v>31.454545454545496</v>
      </c>
      <c r="J691" s="63">
        <v>346</v>
      </c>
      <c r="K691" s="63">
        <f t="shared" si="51"/>
        <v>346</v>
      </c>
      <c r="L691" s="62" t="str">
        <f t="shared" si="52"/>
        <v/>
      </c>
      <c r="M691" s="63"/>
    </row>
    <row r="692" spans="2:13" s="46" customFormat="1" ht="15">
      <c r="B692" s="534">
        <f t="shared" si="49"/>
        <v>685</v>
      </c>
      <c r="C692" s="56" t="s">
        <v>2262</v>
      </c>
      <c r="D692" s="56" t="s">
        <v>2287</v>
      </c>
      <c r="E692" s="57" t="s">
        <v>2854</v>
      </c>
      <c r="F692" s="58"/>
      <c r="G692" s="59">
        <v>45736</v>
      </c>
      <c r="H692" s="57" t="s">
        <v>2307</v>
      </c>
      <c r="I692" s="62">
        <f t="shared" si="50"/>
        <v>103.4545454545455</v>
      </c>
      <c r="J692" s="63">
        <v>1138</v>
      </c>
      <c r="K692" s="63">
        <f t="shared" si="51"/>
        <v>1138</v>
      </c>
      <c r="L692" s="62" t="str">
        <f t="shared" si="52"/>
        <v/>
      </c>
      <c r="M692" s="63"/>
    </row>
    <row r="693" spans="2:13" s="46" customFormat="1" ht="15">
      <c r="B693" s="534">
        <f t="shared" si="49"/>
        <v>686</v>
      </c>
      <c r="C693" s="56" t="s">
        <v>2262</v>
      </c>
      <c r="D693" s="56" t="s">
        <v>2457</v>
      </c>
      <c r="E693" s="57" t="s">
        <v>2847</v>
      </c>
      <c r="F693" s="58" t="s">
        <v>2377</v>
      </c>
      <c r="G693" s="59">
        <v>45736</v>
      </c>
      <c r="H693" s="57" t="s">
        <v>2265</v>
      </c>
      <c r="I693" s="62">
        <f t="shared" si="50"/>
        <v>40.000000000000057</v>
      </c>
      <c r="J693" s="63">
        <v>440</v>
      </c>
      <c r="K693" s="63">
        <f t="shared" si="51"/>
        <v>440</v>
      </c>
      <c r="L693" s="62" t="str">
        <f t="shared" si="52"/>
        <v/>
      </c>
      <c r="M693" s="63"/>
    </row>
    <row r="694" spans="2:13" s="46" customFormat="1" ht="15">
      <c r="B694" s="534">
        <f t="shared" si="49"/>
        <v>687</v>
      </c>
      <c r="C694" s="56" t="s">
        <v>2262</v>
      </c>
      <c r="D694" s="56" t="s">
        <v>2805</v>
      </c>
      <c r="E694" s="57" t="s">
        <v>2805</v>
      </c>
      <c r="F694" s="58" t="s">
        <v>2424</v>
      </c>
      <c r="G694" s="59">
        <v>45736</v>
      </c>
      <c r="H694" s="57" t="s">
        <v>2265</v>
      </c>
      <c r="I694" s="62">
        <f t="shared" si="50"/>
        <v>50.000000000000057</v>
      </c>
      <c r="J694" s="63">
        <v>550</v>
      </c>
      <c r="K694" s="63">
        <f t="shared" si="51"/>
        <v>550</v>
      </c>
      <c r="L694" s="62" t="str">
        <f t="shared" si="52"/>
        <v/>
      </c>
      <c r="M694" s="63"/>
    </row>
    <row r="695" spans="2:13" s="46" customFormat="1" ht="15">
      <c r="B695" s="534">
        <f t="shared" si="49"/>
        <v>688</v>
      </c>
      <c r="C695" s="56" t="s">
        <v>2262</v>
      </c>
      <c r="D695" s="56" t="s">
        <v>2332</v>
      </c>
      <c r="E695" s="57" t="s">
        <v>2855</v>
      </c>
      <c r="F695" s="58" t="s">
        <v>2271</v>
      </c>
      <c r="G695" s="59">
        <v>45736</v>
      </c>
      <c r="H695" s="57" t="s">
        <v>2265</v>
      </c>
      <c r="I695" s="62">
        <f t="shared" si="50"/>
        <v>20.000000000000028</v>
      </c>
      <c r="J695" s="63">
        <v>220</v>
      </c>
      <c r="K695" s="63">
        <f t="shared" si="51"/>
        <v>220</v>
      </c>
      <c r="L695" s="62" t="str">
        <f t="shared" si="52"/>
        <v/>
      </c>
      <c r="M695" s="63"/>
    </row>
    <row r="696" spans="2:13" s="46" customFormat="1" ht="15">
      <c r="B696" s="534">
        <f t="shared" si="49"/>
        <v>689</v>
      </c>
      <c r="C696" s="56" t="s">
        <v>2262</v>
      </c>
      <c r="D696" s="56" t="s">
        <v>2459</v>
      </c>
      <c r="E696" s="57" t="s">
        <v>2571</v>
      </c>
      <c r="F696" s="58" t="s">
        <v>2271</v>
      </c>
      <c r="G696" s="59">
        <v>45736</v>
      </c>
      <c r="H696" s="57" t="s">
        <v>45</v>
      </c>
      <c r="I696" s="62">
        <f t="shared" si="50"/>
        <v>20.000000000000028</v>
      </c>
      <c r="J696" s="63">
        <v>220</v>
      </c>
      <c r="K696" s="63">
        <f t="shared" si="51"/>
        <v>220</v>
      </c>
      <c r="L696" s="62" t="str">
        <f t="shared" si="52"/>
        <v/>
      </c>
      <c r="M696" s="63"/>
    </row>
    <row r="697" spans="2:13" s="46" customFormat="1" ht="15">
      <c r="B697" s="534">
        <f t="shared" si="49"/>
        <v>690</v>
      </c>
      <c r="C697" s="56" t="s">
        <v>2262</v>
      </c>
      <c r="D697" s="56" t="s">
        <v>2392</v>
      </c>
      <c r="E697" s="57" t="s">
        <v>2576</v>
      </c>
      <c r="F697" s="58" t="s">
        <v>2271</v>
      </c>
      <c r="G697" s="59">
        <v>45736</v>
      </c>
      <c r="H697" s="57" t="s">
        <v>45</v>
      </c>
      <c r="I697" s="62">
        <f t="shared" si="50"/>
        <v>20.000000000000028</v>
      </c>
      <c r="J697" s="63">
        <v>220</v>
      </c>
      <c r="K697" s="63">
        <f t="shared" si="51"/>
        <v>220</v>
      </c>
      <c r="L697" s="62" t="str">
        <f t="shared" si="52"/>
        <v/>
      </c>
      <c r="M697" s="63"/>
    </row>
    <row r="698" spans="2:13" s="46" customFormat="1" ht="15">
      <c r="B698" s="534">
        <f t="shared" si="49"/>
        <v>691</v>
      </c>
      <c r="C698" s="56" t="s">
        <v>2262</v>
      </c>
      <c r="D698" s="56" t="s">
        <v>2856</v>
      </c>
      <c r="E698" s="57" t="s">
        <v>2857</v>
      </c>
      <c r="F698" s="58"/>
      <c r="G698" s="59">
        <v>45736</v>
      </c>
      <c r="H698" s="57" t="s">
        <v>45</v>
      </c>
      <c r="I698" s="62">
        <f t="shared" si="50"/>
        <v>10.000000000000014</v>
      </c>
      <c r="J698" s="63">
        <v>110</v>
      </c>
      <c r="K698" s="63">
        <f t="shared" si="51"/>
        <v>110</v>
      </c>
      <c r="L698" s="62" t="str">
        <f t="shared" si="52"/>
        <v/>
      </c>
      <c r="M698" s="63"/>
    </row>
    <row r="699" spans="2:13" s="46" customFormat="1" ht="15">
      <c r="B699" s="534">
        <f t="shared" si="49"/>
        <v>692</v>
      </c>
      <c r="C699" s="56" t="s">
        <v>2262</v>
      </c>
      <c r="D699" s="56" t="s">
        <v>2858</v>
      </c>
      <c r="E699" s="57" t="s">
        <v>2859</v>
      </c>
      <c r="F699" s="58"/>
      <c r="G699" s="59">
        <v>45736</v>
      </c>
      <c r="H699" s="57" t="s">
        <v>45</v>
      </c>
      <c r="I699" s="62">
        <f t="shared" si="50"/>
        <v>10.000000000000014</v>
      </c>
      <c r="J699" s="63">
        <v>110</v>
      </c>
      <c r="K699" s="63">
        <f t="shared" si="51"/>
        <v>110</v>
      </c>
      <c r="L699" s="62" t="str">
        <f t="shared" si="52"/>
        <v/>
      </c>
      <c r="M699" s="63"/>
    </row>
    <row r="700" spans="2:13" s="46" customFormat="1" ht="15">
      <c r="B700" s="534">
        <f t="shared" si="49"/>
        <v>693</v>
      </c>
      <c r="C700" s="56" t="s">
        <v>2262</v>
      </c>
      <c r="D700" s="56" t="s">
        <v>2860</v>
      </c>
      <c r="E700" s="57" t="s">
        <v>2861</v>
      </c>
      <c r="F700" s="58"/>
      <c r="G700" s="59">
        <v>45736</v>
      </c>
      <c r="H700" s="57" t="s">
        <v>45</v>
      </c>
      <c r="I700" s="62">
        <f t="shared" si="50"/>
        <v>10.000000000000014</v>
      </c>
      <c r="J700" s="63">
        <v>110</v>
      </c>
      <c r="K700" s="63">
        <f t="shared" si="51"/>
        <v>110</v>
      </c>
      <c r="L700" s="62" t="str">
        <f t="shared" si="52"/>
        <v/>
      </c>
      <c r="M700" s="63"/>
    </row>
    <row r="701" spans="2:13" s="46" customFormat="1" ht="15">
      <c r="B701" s="534">
        <f t="shared" si="49"/>
        <v>694</v>
      </c>
      <c r="C701" s="56" t="s">
        <v>2262</v>
      </c>
      <c r="D701" s="56" t="s">
        <v>2862</v>
      </c>
      <c r="E701" s="57" t="s">
        <v>2863</v>
      </c>
      <c r="F701" s="58"/>
      <c r="G701" s="59">
        <v>45736</v>
      </c>
      <c r="H701" s="57" t="s">
        <v>45</v>
      </c>
      <c r="I701" s="62">
        <f t="shared" si="50"/>
        <v>10.000000000000014</v>
      </c>
      <c r="J701" s="63">
        <v>110</v>
      </c>
      <c r="K701" s="63">
        <f t="shared" si="51"/>
        <v>110</v>
      </c>
      <c r="L701" s="62" t="str">
        <f t="shared" si="52"/>
        <v/>
      </c>
      <c r="M701" s="63"/>
    </row>
    <row r="702" spans="2:13" s="46" customFormat="1" ht="15">
      <c r="B702" s="534">
        <f t="shared" si="49"/>
        <v>695</v>
      </c>
      <c r="C702" s="56" t="s">
        <v>2262</v>
      </c>
      <c r="D702" s="56" t="s">
        <v>2346</v>
      </c>
      <c r="E702" s="57" t="s">
        <v>2573</v>
      </c>
      <c r="F702" s="58" t="s">
        <v>2271</v>
      </c>
      <c r="G702" s="59">
        <v>45736</v>
      </c>
      <c r="H702" s="57" t="s">
        <v>45</v>
      </c>
      <c r="I702" s="62">
        <f t="shared" si="50"/>
        <v>20.000000000000028</v>
      </c>
      <c r="J702" s="63">
        <v>220</v>
      </c>
      <c r="K702" s="63">
        <f t="shared" si="51"/>
        <v>220</v>
      </c>
      <c r="L702" s="62" t="str">
        <f t="shared" si="52"/>
        <v/>
      </c>
      <c r="M702" s="63"/>
    </row>
    <row r="703" spans="2:13" s="46" customFormat="1" ht="15">
      <c r="B703" s="534">
        <f t="shared" si="49"/>
        <v>696</v>
      </c>
      <c r="C703" s="56" t="s">
        <v>2262</v>
      </c>
      <c r="D703" s="56" t="s">
        <v>2527</v>
      </c>
      <c r="E703" s="57" t="s">
        <v>2864</v>
      </c>
      <c r="F703" s="58" t="s">
        <v>2424</v>
      </c>
      <c r="G703" s="59">
        <v>45736</v>
      </c>
      <c r="H703" s="57" t="s">
        <v>45</v>
      </c>
      <c r="I703" s="62">
        <f t="shared" si="50"/>
        <v>50.000000000000057</v>
      </c>
      <c r="J703" s="63">
        <v>550</v>
      </c>
      <c r="K703" s="63">
        <f t="shared" si="51"/>
        <v>550</v>
      </c>
      <c r="L703" s="62" t="str">
        <f t="shared" si="52"/>
        <v/>
      </c>
      <c r="M703" s="63"/>
    </row>
    <row r="704" spans="2:13" s="46" customFormat="1" ht="15">
      <c r="B704" s="534">
        <f t="shared" si="49"/>
        <v>697</v>
      </c>
      <c r="C704" s="56" t="s">
        <v>2262</v>
      </c>
      <c r="D704" s="56" t="s">
        <v>2291</v>
      </c>
      <c r="E704" s="57" t="s">
        <v>2865</v>
      </c>
      <c r="F704" s="58" t="s">
        <v>2271</v>
      </c>
      <c r="G704" s="59">
        <v>45736</v>
      </c>
      <c r="H704" s="57" t="s">
        <v>45</v>
      </c>
      <c r="I704" s="62">
        <f t="shared" si="50"/>
        <v>20.000000000000028</v>
      </c>
      <c r="J704" s="63">
        <v>220</v>
      </c>
      <c r="K704" s="63">
        <f t="shared" si="51"/>
        <v>220</v>
      </c>
      <c r="L704" s="62" t="str">
        <f t="shared" si="52"/>
        <v/>
      </c>
      <c r="M704" s="63"/>
    </row>
    <row r="705" spans="2:13" s="46" customFormat="1" ht="15">
      <c r="B705" s="534">
        <f t="shared" si="49"/>
        <v>698</v>
      </c>
      <c r="C705" s="56" t="s">
        <v>2262</v>
      </c>
      <c r="D705" s="56" t="s">
        <v>2457</v>
      </c>
      <c r="E705" s="57" t="s">
        <v>2866</v>
      </c>
      <c r="F705" s="58" t="s">
        <v>2377</v>
      </c>
      <c r="G705" s="59">
        <v>45737</v>
      </c>
      <c r="H705" s="57" t="s">
        <v>2265</v>
      </c>
      <c r="I705" s="62">
        <f t="shared" si="50"/>
        <v>40.000000000000057</v>
      </c>
      <c r="J705" s="63">
        <v>440</v>
      </c>
      <c r="K705" s="63">
        <f t="shared" si="51"/>
        <v>440</v>
      </c>
      <c r="L705" s="62" t="str">
        <f t="shared" si="52"/>
        <v/>
      </c>
      <c r="M705" s="63"/>
    </row>
    <row r="706" spans="2:13" s="46" customFormat="1" ht="15">
      <c r="B706" s="534">
        <f t="shared" si="49"/>
        <v>699</v>
      </c>
      <c r="C706" s="56" t="s">
        <v>2262</v>
      </c>
      <c r="D706" s="56" t="s">
        <v>2346</v>
      </c>
      <c r="E706" s="57" t="s">
        <v>2867</v>
      </c>
      <c r="F706" s="58" t="s">
        <v>2377</v>
      </c>
      <c r="G706" s="59">
        <v>45737</v>
      </c>
      <c r="H706" s="57" t="s">
        <v>2265</v>
      </c>
      <c r="I706" s="62">
        <f t="shared" si="50"/>
        <v>40.000000000000057</v>
      </c>
      <c r="J706" s="63">
        <v>440</v>
      </c>
      <c r="K706" s="63">
        <f t="shared" si="51"/>
        <v>440</v>
      </c>
      <c r="L706" s="62" t="str">
        <f t="shared" si="52"/>
        <v/>
      </c>
      <c r="M706" s="63"/>
    </row>
    <row r="707" spans="2:13" s="46" customFormat="1" ht="15">
      <c r="B707" s="534">
        <f t="shared" si="49"/>
        <v>700</v>
      </c>
      <c r="C707" s="56" t="s">
        <v>2262</v>
      </c>
      <c r="D707" s="56" t="s">
        <v>2484</v>
      </c>
      <c r="E707" s="57" t="s">
        <v>2825</v>
      </c>
      <c r="F707" s="58"/>
      <c r="G707" s="59">
        <v>45737</v>
      </c>
      <c r="H707" s="57" t="s">
        <v>2265</v>
      </c>
      <c r="I707" s="62">
        <f t="shared" si="50"/>
        <v>10.000000000000014</v>
      </c>
      <c r="J707" s="63">
        <v>110</v>
      </c>
      <c r="K707" s="63">
        <f t="shared" si="51"/>
        <v>110</v>
      </c>
      <c r="L707" s="62" t="str">
        <f t="shared" si="52"/>
        <v/>
      </c>
      <c r="M707" s="63"/>
    </row>
    <row r="708" spans="2:13" s="46" customFormat="1" ht="15">
      <c r="B708" s="534">
        <f t="shared" si="49"/>
        <v>701</v>
      </c>
      <c r="C708" s="56" t="s">
        <v>2262</v>
      </c>
      <c r="D708" s="56" t="s">
        <v>2868</v>
      </c>
      <c r="E708" s="57" t="s">
        <v>2869</v>
      </c>
      <c r="F708" s="58" t="s">
        <v>2377</v>
      </c>
      <c r="G708" s="59">
        <v>45737</v>
      </c>
      <c r="H708" s="57" t="s">
        <v>2265</v>
      </c>
      <c r="I708" s="62">
        <f t="shared" si="50"/>
        <v>40.000000000000057</v>
      </c>
      <c r="J708" s="63">
        <v>440</v>
      </c>
      <c r="K708" s="63">
        <f t="shared" si="51"/>
        <v>440</v>
      </c>
      <c r="L708" s="62" t="str">
        <f t="shared" si="52"/>
        <v/>
      </c>
      <c r="M708" s="63"/>
    </row>
    <row r="709" spans="2:13" s="46" customFormat="1" ht="15">
      <c r="B709" s="534">
        <f t="shared" si="49"/>
        <v>702</v>
      </c>
      <c r="C709" s="56" t="s">
        <v>2262</v>
      </c>
      <c r="D709" s="56" t="s">
        <v>2332</v>
      </c>
      <c r="E709" s="57" t="s">
        <v>2855</v>
      </c>
      <c r="F709" s="58" t="s">
        <v>2271</v>
      </c>
      <c r="G709" s="59">
        <v>45737</v>
      </c>
      <c r="H709" s="57" t="s">
        <v>2265</v>
      </c>
      <c r="I709" s="62">
        <f t="shared" si="50"/>
        <v>20.000000000000028</v>
      </c>
      <c r="J709" s="63">
        <v>220</v>
      </c>
      <c r="K709" s="63">
        <f t="shared" si="51"/>
        <v>220</v>
      </c>
      <c r="L709" s="62" t="str">
        <f t="shared" si="52"/>
        <v/>
      </c>
      <c r="M709" s="63"/>
    </row>
    <row r="710" spans="2:13" s="46" customFormat="1" ht="15">
      <c r="B710" s="534">
        <f t="shared" si="49"/>
        <v>703</v>
      </c>
      <c r="C710" s="56" t="s">
        <v>2262</v>
      </c>
      <c r="D710" s="56" t="s">
        <v>2751</v>
      </c>
      <c r="E710" s="57" t="s">
        <v>2870</v>
      </c>
      <c r="F710" s="58"/>
      <c r="G710" s="59">
        <v>45737</v>
      </c>
      <c r="H710" s="57" t="s">
        <v>2265</v>
      </c>
      <c r="I710" s="62">
        <f t="shared" si="50"/>
        <v>10.000000000000014</v>
      </c>
      <c r="J710" s="63">
        <v>110</v>
      </c>
      <c r="K710" s="63">
        <f t="shared" si="51"/>
        <v>110</v>
      </c>
      <c r="L710" s="62" t="str">
        <f t="shared" si="52"/>
        <v/>
      </c>
      <c r="M710" s="63"/>
    </row>
    <row r="711" spans="2:13" s="46" customFormat="1" ht="15">
      <c r="B711" s="534">
        <f t="shared" si="49"/>
        <v>704</v>
      </c>
      <c r="C711" s="56" t="s">
        <v>2262</v>
      </c>
      <c r="D711" s="56" t="s">
        <v>2871</v>
      </c>
      <c r="E711" s="57" t="s">
        <v>2872</v>
      </c>
      <c r="F711" s="58"/>
      <c r="G711" s="59">
        <v>45737</v>
      </c>
      <c r="H711" s="57" t="s">
        <v>2265</v>
      </c>
      <c r="I711" s="62">
        <f t="shared" si="50"/>
        <v>10.000000000000014</v>
      </c>
      <c r="J711" s="63">
        <v>110</v>
      </c>
      <c r="K711" s="63">
        <f t="shared" si="51"/>
        <v>110</v>
      </c>
      <c r="L711" s="62" t="str">
        <f t="shared" si="52"/>
        <v/>
      </c>
      <c r="M711" s="63"/>
    </row>
    <row r="712" spans="2:13" s="46" customFormat="1" ht="15">
      <c r="B712" s="534">
        <f t="shared" si="49"/>
        <v>705</v>
      </c>
      <c r="C712" s="56" t="s">
        <v>2262</v>
      </c>
      <c r="D712" s="56" t="s">
        <v>2640</v>
      </c>
      <c r="E712" s="57" t="s">
        <v>2873</v>
      </c>
      <c r="F712" s="58"/>
      <c r="G712" s="59">
        <v>45737</v>
      </c>
      <c r="H712" s="57" t="s">
        <v>2265</v>
      </c>
      <c r="I712" s="62">
        <f t="shared" si="50"/>
        <v>10.000000000000014</v>
      </c>
      <c r="J712" s="63">
        <v>110</v>
      </c>
      <c r="K712" s="63">
        <f t="shared" si="51"/>
        <v>110</v>
      </c>
      <c r="L712" s="62" t="str">
        <f t="shared" si="52"/>
        <v/>
      </c>
      <c r="M712" s="63"/>
    </row>
    <row r="713" spans="2:13" s="46" customFormat="1" ht="15">
      <c r="B713" s="534">
        <f t="shared" si="49"/>
        <v>706</v>
      </c>
      <c r="C713" s="56" t="s">
        <v>2262</v>
      </c>
      <c r="D713" s="56" t="s">
        <v>2385</v>
      </c>
      <c r="E713" s="57" t="s">
        <v>2386</v>
      </c>
      <c r="F713" s="58" t="s">
        <v>2271</v>
      </c>
      <c r="G713" s="59">
        <v>45738</v>
      </c>
      <c r="H713" s="57" t="s">
        <v>2265</v>
      </c>
      <c r="I713" s="62">
        <f t="shared" si="50"/>
        <v>20.000000000000028</v>
      </c>
      <c r="J713" s="63">
        <v>220</v>
      </c>
      <c r="K713" s="63">
        <f t="shared" si="51"/>
        <v>220</v>
      </c>
      <c r="L713" s="62" t="str">
        <f t="shared" si="52"/>
        <v/>
      </c>
      <c r="M713" s="63"/>
    </row>
    <row r="714" spans="2:13" s="46" customFormat="1" ht="15">
      <c r="B714" s="534">
        <f t="shared" si="49"/>
        <v>707</v>
      </c>
      <c r="C714" s="56" t="s">
        <v>2262</v>
      </c>
      <c r="D714" s="56" t="s">
        <v>2385</v>
      </c>
      <c r="E714" s="57" t="s">
        <v>2874</v>
      </c>
      <c r="F714" s="58"/>
      <c r="G714" s="59">
        <v>45738</v>
      </c>
      <c r="H714" s="57" t="s">
        <v>2265</v>
      </c>
      <c r="I714" s="62">
        <f t="shared" si="50"/>
        <v>10.000000000000014</v>
      </c>
      <c r="J714" s="63">
        <v>110</v>
      </c>
      <c r="K714" s="63">
        <f t="shared" si="51"/>
        <v>110</v>
      </c>
      <c r="L714" s="62" t="str">
        <f t="shared" si="52"/>
        <v/>
      </c>
      <c r="M714" s="63"/>
    </row>
    <row r="715" spans="2:13" s="46" customFormat="1" ht="15">
      <c r="B715" s="534">
        <f t="shared" si="49"/>
        <v>708</v>
      </c>
      <c r="C715" s="56" t="s">
        <v>2262</v>
      </c>
      <c r="D715" s="56" t="s">
        <v>2457</v>
      </c>
      <c r="E715" s="57" t="s">
        <v>2847</v>
      </c>
      <c r="F715" s="58" t="s">
        <v>2781</v>
      </c>
      <c r="G715" s="59">
        <v>45738</v>
      </c>
      <c r="H715" s="57" t="s">
        <v>2265</v>
      </c>
      <c r="I715" s="62">
        <f t="shared" si="50"/>
        <v>150.00000000000023</v>
      </c>
      <c r="J715" s="63">
        <v>1650</v>
      </c>
      <c r="K715" s="63">
        <f t="shared" si="51"/>
        <v>1650</v>
      </c>
      <c r="L715" s="62" t="str">
        <f t="shared" si="52"/>
        <v/>
      </c>
      <c r="M715" s="63"/>
    </row>
    <row r="716" spans="2:13" s="46" customFormat="1" ht="15">
      <c r="B716" s="534">
        <f t="shared" si="49"/>
        <v>709</v>
      </c>
      <c r="C716" s="56" t="s">
        <v>2262</v>
      </c>
      <c r="D716" s="56" t="s">
        <v>2315</v>
      </c>
      <c r="E716" s="57" t="s">
        <v>2378</v>
      </c>
      <c r="F716" s="58" t="s">
        <v>2747</v>
      </c>
      <c r="G716" s="59">
        <v>45738</v>
      </c>
      <c r="H716" s="57" t="s">
        <v>129</v>
      </c>
      <c r="I716" s="62">
        <f t="shared" si="50"/>
        <v>204.54545454545473</v>
      </c>
      <c r="J716" s="63">
        <v>2250</v>
      </c>
      <c r="K716" s="63">
        <f t="shared" si="51"/>
        <v>2250</v>
      </c>
      <c r="L716" s="62" t="str">
        <f t="shared" si="52"/>
        <v/>
      </c>
      <c r="M716" s="63"/>
    </row>
    <row r="717" spans="2:13" s="46" customFormat="1" ht="15">
      <c r="B717" s="534">
        <f t="shared" si="49"/>
        <v>710</v>
      </c>
      <c r="C717" s="56" t="s">
        <v>2268</v>
      </c>
      <c r="D717" s="56" t="s">
        <v>2269</v>
      </c>
      <c r="E717" s="57" t="s">
        <v>2875</v>
      </c>
      <c r="F717" s="58" t="s">
        <v>2299</v>
      </c>
      <c r="G717" s="59">
        <v>45759</v>
      </c>
      <c r="H717" s="57" t="s">
        <v>129</v>
      </c>
      <c r="I717" s="62">
        <f t="shared" si="50"/>
        <v>117.27272727272748</v>
      </c>
      <c r="J717" s="63">
        <v>1290</v>
      </c>
      <c r="K717" s="63">
        <f t="shared" si="51"/>
        <v>1290</v>
      </c>
      <c r="L717" s="62" t="str">
        <f t="shared" si="52"/>
        <v/>
      </c>
      <c r="M717" s="63"/>
    </row>
    <row r="718" spans="2:13" s="46" customFormat="1" ht="15">
      <c r="B718" s="534">
        <f t="shared" si="49"/>
        <v>711</v>
      </c>
      <c r="C718" s="56" t="s">
        <v>2262</v>
      </c>
      <c r="D718" s="56" t="s">
        <v>2276</v>
      </c>
      <c r="E718" s="57" t="s">
        <v>2439</v>
      </c>
      <c r="F718" s="58"/>
      <c r="G718" s="59">
        <v>45759</v>
      </c>
      <c r="H718" s="57" t="s">
        <v>129</v>
      </c>
      <c r="I718" s="62">
        <f t="shared" si="50"/>
        <v>59.727272727272748</v>
      </c>
      <c r="J718" s="63">
        <v>657</v>
      </c>
      <c r="K718" s="63">
        <f t="shared" si="51"/>
        <v>657</v>
      </c>
      <c r="L718" s="62" t="str">
        <f t="shared" si="52"/>
        <v/>
      </c>
      <c r="M718" s="63"/>
    </row>
    <row r="719" spans="2:13" s="46" customFormat="1" ht="15">
      <c r="B719" s="534">
        <f t="shared" si="49"/>
        <v>712</v>
      </c>
      <c r="C719" s="56" t="s">
        <v>2262</v>
      </c>
      <c r="D719" s="56" t="s">
        <v>2276</v>
      </c>
      <c r="E719" s="57" t="s">
        <v>2876</v>
      </c>
      <c r="F719" s="58"/>
      <c r="G719" s="59">
        <v>45759</v>
      </c>
      <c r="H719" s="57" t="s">
        <v>129</v>
      </c>
      <c r="I719" s="62">
        <f t="shared" si="50"/>
        <v>59.727272727272748</v>
      </c>
      <c r="J719" s="63">
        <v>657</v>
      </c>
      <c r="K719" s="63">
        <f t="shared" si="51"/>
        <v>657</v>
      </c>
      <c r="L719" s="62" t="str">
        <f t="shared" si="52"/>
        <v/>
      </c>
      <c r="M719" s="63"/>
    </row>
    <row r="720" spans="2:13" s="46" customFormat="1" ht="15">
      <c r="B720" s="534">
        <f t="shared" si="49"/>
        <v>713</v>
      </c>
      <c r="C720" s="56" t="s">
        <v>2262</v>
      </c>
      <c r="D720" s="56" t="s">
        <v>2404</v>
      </c>
      <c r="E720" s="57" t="s">
        <v>2851</v>
      </c>
      <c r="F720" s="58"/>
      <c r="G720" s="59">
        <v>45759</v>
      </c>
      <c r="H720" s="57" t="s">
        <v>129</v>
      </c>
      <c r="I720" s="62">
        <f t="shared" si="50"/>
        <v>99.727272727272862</v>
      </c>
      <c r="J720" s="63">
        <v>1097</v>
      </c>
      <c r="K720" s="63">
        <f t="shared" si="51"/>
        <v>1097</v>
      </c>
      <c r="L720" s="62" t="str">
        <f t="shared" si="52"/>
        <v/>
      </c>
      <c r="M720" s="63"/>
    </row>
    <row r="721" spans="2:13" s="46" customFormat="1" ht="15">
      <c r="B721" s="534">
        <f t="shared" si="49"/>
        <v>714</v>
      </c>
      <c r="C721" s="56" t="s">
        <v>2273</v>
      </c>
      <c r="D721" s="56" t="s">
        <v>2274</v>
      </c>
      <c r="E721" s="57" t="s">
        <v>2877</v>
      </c>
      <c r="F721" s="58"/>
      <c r="G721" s="59">
        <v>45765</v>
      </c>
      <c r="H721" s="57" t="s">
        <v>129</v>
      </c>
      <c r="I721" s="62">
        <f t="shared" si="50"/>
        <v>128</v>
      </c>
      <c r="J721" s="63">
        <v>1408</v>
      </c>
      <c r="K721" s="63">
        <f t="shared" si="51"/>
        <v>1408</v>
      </c>
      <c r="L721" s="62" t="str">
        <f t="shared" si="52"/>
        <v/>
      </c>
      <c r="M721" s="63"/>
    </row>
    <row r="722" spans="2:13" s="46" customFormat="1" ht="15">
      <c r="B722" s="534">
        <f t="shared" si="49"/>
        <v>715</v>
      </c>
      <c r="C722" s="56" t="s">
        <v>2262</v>
      </c>
      <c r="D722" s="56" t="s">
        <v>2266</v>
      </c>
      <c r="E722" s="57" t="s">
        <v>2298</v>
      </c>
      <c r="F722" s="64" t="s">
        <v>2327</v>
      </c>
      <c r="G722" s="59">
        <v>45767</v>
      </c>
      <c r="H722" s="57" t="s">
        <v>2297</v>
      </c>
      <c r="I722" s="62">
        <f t="shared" si="50"/>
        <v>103.63636363636374</v>
      </c>
      <c r="J722" s="63">
        <v>1140</v>
      </c>
      <c r="K722" s="63">
        <f t="shared" si="51"/>
        <v>1140</v>
      </c>
      <c r="L722" s="62" t="str">
        <f t="shared" si="52"/>
        <v/>
      </c>
      <c r="M722" s="63"/>
    </row>
    <row r="723" spans="2:13" s="46" customFormat="1" ht="15">
      <c r="B723" s="534">
        <f t="shared" si="49"/>
        <v>716</v>
      </c>
      <c r="C723" s="56" t="s">
        <v>2262</v>
      </c>
      <c r="D723" s="56" t="s">
        <v>2266</v>
      </c>
      <c r="E723" s="57" t="s">
        <v>2326</v>
      </c>
      <c r="F723" s="64" t="s">
        <v>2299</v>
      </c>
      <c r="G723" s="59">
        <v>45767</v>
      </c>
      <c r="H723" s="57" t="s">
        <v>2297</v>
      </c>
      <c r="I723" s="62">
        <f t="shared" si="50"/>
        <v>18.181818181818187</v>
      </c>
      <c r="J723" s="63">
        <v>200</v>
      </c>
      <c r="K723" s="63">
        <f t="shared" si="51"/>
        <v>200</v>
      </c>
      <c r="L723" s="62" t="str">
        <f t="shared" si="52"/>
        <v/>
      </c>
      <c r="M723" s="63"/>
    </row>
    <row r="724" spans="2:13" s="46" customFormat="1" ht="15">
      <c r="B724" s="534">
        <f t="shared" si="49"/>
        <v>717</v>
      </c>
      <c r="C724" s="56" t="s">
        <v>2262</v>
      </c>
      <c r="D724" s="56" t="s">
        <v>2276</v>
      </c>
      <c r="E724" s="57" t="s">
        <v>2447</v>
      </c>
      <c r="F724" s="58" t="s">
        <v>2271</v>
      </c>
      <c r="G724" s="59">
        <v>45773</v>
      </c>
      <c r="H724" s="57" t="s">
        <v>598</v>
      </c>
      <c r="I724" s="62">
        <f t="shared" si="50"/>
        <v>108.72727272727275</v>
      </c>
      <c r="J724" s="63">
        <v>1196</v>
      </c>
      <c r="K724" s="63">
        <f t="shared" si="51"/>
        <v>1196</v>
      </c>
      <c r="L724" s="62" t="str">
        <f t="shared" si="52"/>
        <v/>
      </c>
      <c r="M724" s="63"/>
    </row>
    <row r="725" spans="2:13" s="46" customFormat="1" ht="15">
      <c r="B725" s="534">
        <f t="shared" si="49"/>
        <v>718</v>
      </c>
      <c r="C725" s="56" t="s">
        <v>2262</v>
      </c>
      <c r="D725" s="56" t="s">
        <v>2266</v>
      </c>
      <c r="E725" s="57" t="s">
        <v>2314</v>
      </c>
      <c r="F725" s="58" t="s">
        <v>2304</v>
      </c>
      <c r="G725" s="59">
        <v>45773</v>
      </c>
      <c r="H725" s="57" t="s">
        <v>598</v>
      </c>
      <c r="I725" s="62">
        <f t="shared" si="50"/>
        <v>48.545454545454561</v>
      </c>
      <c r="J725" s="63">
        <v>534</v>
      </c>
      <c r="K725" s="63">
        <f t="shared" si="51"/>
        <v>534</v>
      </c>
      <c r="L725" s="62" t="str">
        <f t="shared" si="52"/>
        <v/>
      </c>
      <c r="M725" s="63"/>
    </row>
    <row r="726" spans="2:13" s="46" customFormat="1" ht="15">
      <c r="B726" s="534">
        <f t="shared" si="49"/>
        <v>719</v>
      </c>
      <c r="C726" s="56" t="s">
        <v>2262</v>
      </c>
      <c r="D726" s="56" t="s">
        <v>2388</v>
      </c>
      <c r="E726" s="57" t="s">
        <v>2878</v>
      </c>
      <c r="F726" s="58"/>
      <c r="G726" s="59">
        <v>45786</v>
      </c>
      <c r="H726" s="57" t="s">
        <v>2307</v>
      </c>
      <c r="I726" s="62">
        <f t="shared" si="50"/>
        <v>109</v>
      </c>
      <c r="J726" s="63">
        <v>1199</v>
      </c>
      <c r="K726" s="63">
        <f t="shared" si="51"/>
        <v>1199</v>
      </c>
      <c r="L726" s="62" t="str">
        <f t="shared" si="52"/>
        <v/>
      </c>
      <c r="M726" s="63"/>
    </row>
    <row r="727" spans="2:13" s="46" customFormat="1" ht="15">
      <c r="B727" s="534">
        <f t="shared" si="49"/>
        <v>720</v>
      </c>
      <c r="C727" s="56" t="s">
        <v>2262</v>
      </c>
      <c r="D727" s="56" t="s">
        <v>2356</v>
      </c>
      <c r="E727" s="56" t="s">
        <v>2356</v>
      </c>
      <c r="F727" s="58" t="s">
        <v>2304</v>
      </c>
      <c r="G727" s="59">
        <v>45788</v>
      </c>
      <c r="H727" s="57" t="s">
        <v>2265</v>
      </c>
      <c r="I727" s="62">
        <f t="shared" si="50"/>
        <v>30</v>
      </c>
      <c r="J727" s="63">
        <v>330</v>
      </c>
      <c r="K727" s="63">
        <f t="shared" si="51"/>
        <v>330</v>
      </c>
      <c r="L727" s="62" t="str">
        <f t="shared" si="52"/>
        <v/>
      </c>
      <c r="M727" s="63"/>
    </row>
    <row r="728" spans="2:13" s="46" customFormat="1" ht="15">
      <c r="B728" s="534">
        <f t="shared" si="49"/>
        <v>721</v>
      </c>
      <c r="C728" s="56" t="s">
        <v>2262</v>
      </c>
      <c r="D728" s="56" t="s">
        <v>2484</v>
      </c>
      <c r="E728" s="57" t="s">
        <v>2825</v>
      </c>
      <c r="F728" s="58"/>
      <c r="G728" s="59">
        <v>45788</v>
      </c>
      <c r="H728" s="57" t="s">
        <v>2265</v>
      </c>
      <c r="I728" s="62">
        <f t="shared" si="50"/>
        <v>10.000000000000014</v>
      </c>
      <c r="J728" s="63">
        <v>110</v>
      </c>
      <c r="K728" s="63">
        <f t="shared" si="51"/>
        <v>110</v>
      </c>
      <c r="L728" s="62" t="str">
        <f t="shared" si="52"/>
        <v/>
      </c>
      <c r="M728" s="63"/>
    </row>
    <row r="729" spans="2:13" s="46" customFormat="1" ht="15">
      <c r="B729" s="534">
        <f t="shared" si="49"/>
        <v>722</v>
      </c>
      <c r="C729" s="56" t="s">
        <v>2262</v>
      </c>
      <c r="D729" s="56" t="s">
        <v>2459</v>
      </c>
      <c r="E729" s="57" t="s">
        <v>2879</v>
      </c>
      <c r="F729" s="58"/>
      <c r="G729" s="59">
        <v>45788</v>
      </c>
      <c r="H729" s="57" t="s">
        <v>2265</v>
      </c>
      <c r="I729" s="62">
        <f t="shared" si="50"/>
        <v>30</v>
      </c>
      <c r="J729" s="63">
        <v>330</v>
      </c>
      <c r="K729" s="63">
        <f t="shared" si="51"/>
        <v>330</v>
      </c>
      <c r="L729" s="62" t="str">
        <f t="shared" si="52"/>
        <v/>
      </c>
      <c r="M729" s="63"/>
    </row>
    <row r="730" spans="2:13" s="46" customFormat="1" ht="15">
      <c r="B730" s="534">
        <f t="shared" si="49"/>
        <v>723</v>
      </c>
      <c r="C730" s="56" t="s">
        <v>2262</v>
      </c>
      <c r="D730" s="56" t="s">
        <v>2803</v>
      </c>
      <c r="E730" s="57" t="s">
        <v>2804</v>
      </c>
      <c r="F730" s="58" t="s">
        <v>2271</v>
      </c>
      <c r="G730" s="59">
        <v>45788</v>
      </c>
      <c r="H730" s="57" t="s">
        <v>2265</v>
      </c>
      <c r="I730" s="62">
        <f t="shared" si="50"/>
        <v>20.000000000000028</v>
      </c>
      <c r="J730" s="63">
        <v>220</v>
      </c>
      <c r="K730" s="63">
        <f t="shared" si="51"/>
        <v>220</v>
      </c>
      <c r="L730" s="62" t="str">
        <f t="shared" si="52"/>
        <v/>
      </c>
      <c r="M730" s="63"/>
    </row>
    <row r="731" spans="2:13" s="46" customFormat="1" ht="15">
      <c r="B731" s="534">
        <f t="shared" si="49"/>
        <v>724</v>
      </c>
      <c r="C731" s="56" t="s">
        <v>2262</v>
      </c>
      <c r="D731" s="56" t="s">
        <v>2624</v>
      </c>
      <c r="E731" s="57" t="s">
        <v>2880</v>
      </c>
      <c r="F731" s="58" t="s">
        <v>2271</v>
      </c>
      <c r="G731" s="59">
        <v>45788</v>
      </c>
      <c r="H731" s="57" t="s">
        <v>2265</v>
      </c>
      <c r="I731" s="62">
        <f t="shared" si="50"/>
        <v>20.000000000000028</v>
      </c>
      <c r="J731" s="63">
        <v>220</v>
      </c>
      <c r="K731" s="63">
        <f t="shared" si="51"/>
        <v>220</v>
      </c>
      <c r="L731" s="62" t="str">
        <f t="shared" si="52"/>
        <v/>
      </c>
      <c r="M731" s="63"/>
    </row>
    <row r="732" spans="2:13" s="46" customFormat="1" ht="15">
      <c r="B732" s="534">
        <f t="shared" si="49"/>
        <v>725</v>
      </c>
      <c r="C732" s="56" t="s">
        <v>2262</v>
      </c>
      <c r="D732" s="56" t="s">
        <v>2383</v>
      </c>
      <c r="E732" s="57" t="s">
        <v>2384</v>
      </c>
      <c r="F732" s="58" t="s">
        <v>2271</v>
      </c>
      <c r="G732" s="59">
        <v>45788</v>
      </c>
      <c r="H732" s="57" t="s">
        <v>2265</v>
      </c>
      <c r="I732" s="62">
        <f t="shared" si="50"/>
        <v>20.000000000000028</v>
      </c>
      <c r="J732" s="63">
        <v>220</v>
      </c>
      <c r="K732" s="63">
        <f t="shared" si="51"/>
        <v>220</v>
      </c>
      <c r="L732" s="62" t="str">
        <f t="shared" si="52"/>
        <v/>
      </c>
      <c r="M732" s="63"/>
    </row>
    <row r="733" spans="2:13" s="46" customFormat="1" ht="15">
      <c r="B733" s="534">
        <f t="shared" si="49"/>
        <v>726</v>
      </c>
      <c r="C733" s="56" t="s">
        <v>2262</v>
      </c>
      <c r="D733" s="56" t="s">
        <v>2881</v>
      </c>
      <c r="E733" s="57" t="s">
        <v>2882</v>
      </c>
      <c r="F733" s="58"/>
      <c r="G733" s="59">
        <v>45788</v>
      </c>
      <c r="H733" s="57" t="s">
        <v>2265</v>
      </c>
      <c r="I733" s="62">
        <f t="shared" si="50"/>
        <v>10.000000000000014</v>
      </c>
      <c r="J733" s="63">
        <v>110</v>
      </c>
      <c r="K733" s="63">
        <f t="shared" si="51"/>
        <v>110</v>
      </c>
      <c r="L733" s="62" t="str">
        <f t="shared" si="52"/>
        <v/>
      </c>
      <c r="M733" s="63"/>
    </row>
    <row r="734" spans="2:13" s="46" customFormat="1" ht="15">
      <c r="B734" s="534">
        <f t="shared" si="49"/>
        <v>727</v>
      </c>
      <c r="C734" s="56" t="s">
        <v>2262</v>
      </c>
      <c r="D734" s="56" t="s">
        <v>2684</v>
      </c>
      <c r="E734" s="57" t="s">
        <v>2883</v>
      </c>
      <c r="F734" s="58"/>
      <c r="G734" s="59">
        <v>45788</v>
      </c>
      <c r="H734" s="57" t="s">
        <v>2265</v>
      </c>
      <c r="I734" s="62">
        <f t="shared" si="50"/>
        <v>10.000000000000014</v>
      </c>
      <c r="J734" s="63">
        <v>110</v>
      </c>
      <c r="K734" s="63">
        <f t="shared" si="51"/>
        <v>110</v>
      </c>
      <c r="L734" s="62" t="str">
        <f t="shared" si="52"/>
        <v/>
      </c>
      <c r="M734" s="63"/>
    </row>
    <row r="735" spans="2:13" s="46" customFormat="1" ht="15">
      <c r="B735" s="534">
        <f t="shared" si="49"/>
        <v>728</v>
      </c>
      <c r="C735" s="56" t="s">
        <v>2342</v>
      </c>
      <c r="D735" s="56" t="s">
        <v>2693</v>
      </c>
      <c r="E735" s="57" t="s">
        <v>2694</v>
      </c>
      <c r="F735" s="64">
        <v>213.5</v>
      </c>
      <c r="G735" s="59">
        <v>45789</v>
      </c>
      <c r="H735" s="57" t="s">
        <v>2695</v>
      </c>
      <c r="I735" s="62">
        <f t="shared" si="50"/>
        <v>21.818181818181841</v>
      </c>
      <c r="J735" s="63">
        <f>IF(F735&lt;=150,170,IF(F735&lt;=200,210,IF(F735&lt;=250,240,290)))</f>
        <v>240</v>
      </c>
      <c r="K735" s="63">
        <f t="shared" si="51"/>
        <v>240</v>
      </c>
      <c r="L735" s="62" t="str">
        <f t="shared" si="52"/>
        <v/>
      </c>
      <c r="M735" s="63"/>
    </row>
    <row r="736" spans="2:13" s="46" customFormat="1" ht="15">
      <c r="B736" s="534">
        <f t="shared" si="49"/>
        <v>729</v>
      </c>
      <c r="C736" s="56" t="s">
        <v>2342</v>
      </c>
      <c r="D736" s="56" t="s">
        <v>2693</v>
      </c>
      <c r="E736" s="57" t="s">
        <v>2694</v>
      </c>
      <c r="F736" s="64">
        <v>213.5</v>
      </c>
      <c r="G736" s="59">
        <v>45789</v>
      </c>
      <c r="H736" s="57" t="s">
        <v>2695</v>
      </c>
      <c r="I736" s="62">
        <f t="shared" si="50"/>
        <v>21.818181818181841</v>
      </c>
      <c r="J736" s="63">
        <f>IF(F736&lt;=150,170,IF(F736&lt;=200,210,IF(F736&lt;=250,240,290)))</f>
        <v>240</v>
      </c>
      <c r="K736" s="63">
        <f t="shared" si="51"/>
        <v>240</v>
      </c>
      <c r="L736" s="62" t="str">
        <f t="shared" si="52"/>
        <v/>
      </c>
      <c r="M736" s="63"/>
    </row>
    <row r="737" spans="2:13" s="46" customFormat="1" ht="15">
      <c r="B737" s="534">
        <f t="shared" si="49"/>
        <v>730</v>
      </c>
      <c r="C737" s="56" t="s">
        <v>2342</v>
      </c>
      <c r="D737" s="56" t="s">
        <v>2693</v>
      </c>
      <c r="E737" s="57" t="s">
        <v>2694</v>
      </c>
      <c r="F737" s="64">
        <v>213.5</v>
      </c>
      <c r="G737" s="59">
        <v>45789</v>
      </c>
      <c r="H737" s="57" t="s">
        <v>2695</v>
      </c>
      <c r="I737" s="62">
        <f t="shared" si="50"/>
        <v>21.818181818181841</v>
      </c>
      <c r="J737" s="63">
        <f>IF(F737&lt;=150,170,IF(F737&lt;=200,210,IF(F737&lt;=250,240,290)))</f>
        <v>240</v>
      </c>
      <c r="K737" s="63">
        <f t="shared" si="51"/>
        <v>240</v>
      </c>
      <c r="L737" s="62" t="str">
        <f t="shared" si="52"/>
        <v/>
      </c>
      <c r="M737" s="63"/>
    </row>
    <row r="738" spans="2:13" s="46" customFormat="1" ht="15">
      <c r="B738" s="534">
        <f t="shared" si="49"/>
        <v>731</v>
      </c>
      <c r="C738" s="56" t="s">
        <v>2342</v>
      </c>
      <c r="D738" s="56" t="s">
        <v>2693</v>
      </c>
      <c r="E738" s="57" t="s">
        <v>2694</v>
      </c>
      <c r="F738" s="64">
        <v>213.5</v>
      </c>
      <c r="G738" s="59">
        <v>45789</v>
      </c>
      <c r="H738" s="57" t="s">
        <v>2695</v>
      </c>
      <c r="I738" s="62">
        <f t="shared" si="50"/>
        <v>21.818181818181841</v>
      </c>
      <c r="J738" s="63">
        <f>IF(F738&lt;=150,170,IF(F738&lt;=200,210,IF(F738&lt;=250,240,290)))</f>
        <v>240</v>
      </c>
      <c r="K738" s="63">
        <f t="shared" si="51"/>
        <v>240</v>
      </c>
      <c r="L738" s="62" t="str">
        <f t="shared" si="52"/>
        <v/>
      </c>
      <c r="M738" s="63"/>
    </row>
    <row r="739" spans="2:13" s="46" customFormat="1" ht="15">
      <c r="B739" s="534">
        <f t="shared" si="49"/>
        <v>732</v>
      </c>
      <c r="C739" s="56" t="s">
        <v>2342</v>
      </c>
      <c r="D739" s="56" t="s">
        <v>2693</v>
      </c>
      <c r="E739" s="57" t="s">
        <v>2694</v>
      </c>
      <c r="F739" s="64">
        <v>213.5</v>
      </c>
      <c r="G739" s="59">
        <v>45789</v>
      </c>
      <c r="H739" s="57" t="s">
        <v>2695</v>
      </c>
      <c r="I739" s="62">
        <f t="shared" si="50"/>
        <v>21.818181818181841</v>
      </c>
      <c r="J739" s="63">
        <f>IF(F739&lt;=150,170,IF(F739&lt;=200,210,IF(F739&lt;=250,240,290)))</f>
        <v>240</v>
      </c>
      <c r="K739" s="63">
        <f t="shared" si="51"/>
        <v>240</v>
      </c>
      <c r="L739" s="62" t="str">
        <f t="shared" si="52"/>
        <v/>
      </c>
      <c r="M739" s="63"/>
    </row>
    <row r="740" spans="2:13" s="46" customFormat="1" ht="15">
      <c r="B740" s="534">
        <f t="shared" si="49"/>
        <v>733</v>
      </c>
      <c r="C740" s="69" t="s">
        <v>2670</v>
      </c>
      <c r="D740" s="69" t="s">
        <v>2282</v>
      </c>
      <c r="E740" s="70" t="str">
        <f>VLOOKUP(F740,購入者リスト!B:F,4,FALSE)</f>
        <v>多肉 はじまりの花入り 7種セット 抜き苗</v>
      </c>
      <c r="F740" s="69">
        <v>40</v>
      </c>
      <c r="G740" s="71" t="str">
        <f>VLOOKUP(F740,購入者リスト!B:M,12,FALSE)</f>
        <v>25/05/15</v>
      </c>
      <c r="H740" s="70" t="s">
        <v>27</v>
      </c>
      <c r="I740" s="73" t="str">
        <f t="shared" si="50"/>
        <v/>
      </c>
      <c r="J740" s="74"/>
      <c r="K740" s="74">
        <f t="shared" si="51"/>
        <v>0</v>
      </c>
      <c r="L740" s="73">
        <f t="shared" si="52"/>
        <v>200.00000000000023</v>
      </c>
      <c r="M740" s="74">
        <f>VLOOKUP(F740,購入者リスト!B:F,5,FALSE)</f>
        <v>2200</v>
      </c>
    </row>
    <row r="741" spans="2:13" s="46" customFormat="1" ht="15">
      <c r="B741" s="534">
        <f t="shared" si="49"/>
        <v>734</v>
      </c>
      <c r="C741" s="69" t="s">
        <v>2671</v>
      </c>
      <c r="D741" s="69" t="s">
        <v>2672</v>
      </c>
      <c r="E741" s="70" t="s">
        <v>2673</v>
      </c>
      <c r="F741" s="72"/>
      <c r="G741" s="71" t="str">
        <f>G740</f>
        <v>25/05/15</v>
      </c>
      <c r="H741" s="70" t="s">
        <v>27</v>
      </c>
      <c r="I741" s="73">
        <f t="shared" si="50"/>
        <v>20.000000000000028</v>
      </c>
      <c r="J741" s="74">
        <f>M740*0.1</f>
        <v>220</v>
      </c>
      <c r="K741" s="74">
        <f t="shared" si="51"/>
        <v>220</v>
      </c>
      <c r="L741" s="73" t="str">
        <f t="shared" si="52"/>
        <v/>
      </c>
      <c r="M741" s="74"/>
    </row>
    <row r="742" spans="2:13" s="46" customFormat="1" ht="15">
      <c r="B742" s="534">
        <f t="shared" si="49"/>
        <v>735</v>
      </c>
      <c r="C742" s="69" t="s">
        <v>2670</v>
      </c>
      <c r="D742" s="69" t="s">
        <v>2282</v>
      </c>
      <c r="E742" s="70" t="str">
        <f>VLOOKUP(F742,購入者リスト!B:F,4,FALSE)</f>
        <v>多肉 紫紺の矢入り 7種セット 抜き苗</v>
      </c>
      <c r="F742" s="69">
        <v>41</v>
      </c>
      <c r="G742" s="71" t="str">
        <f>VLOOKUP(F742,購入者リスト!B:M,12,FALSE)</f>
        <v>25/05/15</v>
      </c>
      <c r="H742" s="70" t="s">
        <v>27</v>
      </c>
      <c r="I742" s="73" t="str">
        <f t="shared" si="50"/>
        <v/>
      </c>
      <c r="J742" s="74"/>
      <c r="K742" s="74">
        <f t="shared" si="51"/>
        <v>0</v>
      </c>
      <c r="L742" s="73">
        <f t="shared" si="52"/>
        <v>200.00000000000023</v>
      </c>
      <c r="M742" s="74">
        <f>VLOOKUP(F742,購入者リスト!B:F,5,FALSE)</f>
        <v>2200</v>
      </c>
    </row>
    <row r="743" spans="2:13" s="46" customFormat="1" ht="15">
      <c r="B743" s="534">
        <f t="shared" si="49"/>
        <v>736</v>
      </c>
      <c r="C743" s="69" t="s">
        <v>2671</v>
      </c>
      <c r="D743" s="69" t="s">
        <v>2672</v>
      </c>
      <c r="E743" s="70" t="s">
        <v>2673</v>
      </c>
      <c r="F743" s="72"/>
      <c r="G743" s="71" t="str">
        <f>G742</f>
        <v>25/05/15</v>
      </c>
      <c r="H743" s="70" t="s">
        <v>27</v>
      </c>
      <c r="I743" s="73">
        <f t="shared" si="50"/>
        <v>20.000000000000028</v>
      </c>
      <c r="J743" s="74">
        <f>M742*0.1</f>
        <v>220</v>
      </c>
      <c r="K743" s="74">
        <f t="shared" si="51"/>
        <v>220</v>
      </c>
      <c r="L743" s="73" t="str">
        <f t="shared" si="52"/>
        <v/>
      </c>
      <c r="M743" s="74"/>
    </row>
    <row r="744" spans="2:13" s="46" customFormat="1" ht="15">
      <c r="B744" s="534">
        <f t="shared" si="49"/>
        <v>737</v>
      </c>
      <c r="C744" s="69" t="s">
        <v>2670</v>
      </c>
      <c r="D744" s="69" t="s">
        <v>2282</v>
      </c>
      <c r="E744" s="70" t="str">
        <f>VLOOKUP(F744,購入者リスト!B:F,4,FALSE)</f>
        <v>多肉 ちょこん入り 7種セット 抜き苗</v>
      </c>
      <c r="F744" s="69">
        <v>42</v>
      </c>
      <c r="G744" s="71" t="str">
        <f>VLOOKUP(F744,購入者リスト!B:M,12,FALSE)</f>
        <v>25/05/15</v>
      </c>
      <c r="H744" s="70" t="s">
        <v>27</v>
      </c>
      <c r="I744" s="73" t="str">
        <f t="shared" si="50"/>
        <v/>
      </c>
      <c r="J744" s="74"/>
      <c r="K744" s="74">
        <f t="shared" si="51"/>
        <v>0</v>
      </c>
      <c r="L744" s="73">
        <f t="shared" si="52"/>
        <v>200.00000000000023</v>
      </c>
      <c r="M744" s="74">
        <f>VLOOKUP(F744,購入者リスト!B:F,5,FALSE)</f>
        <v>2200</v>
      </c>
    </row>
    <row r="745" spans="2:13" s="46" customFormat="1" ht="15">
      <c r="B745" s="534">
        <f t="shared" si="49"/>
        <v>738</v>
      </c>
      <c r="C745" s="69" t="s">
        <v>2671</v>
      </c>
      <c r="D745" s="69" t="s">
        <v>2672</v>
      </c>
      <c r="E745" s="70" t="s">
        <v>2673</v>
      </c>
      <c r="F745" s="72"/>
      <c r="G745" s="71" t="str">
        <f>G744</f>
        <v>25/05/15</v>
      </c>
      <c r="H745" s="70" t="s">
        <v>27</v>
      </c>
      <c r="I745" s="73">
        <f t="shared" si="50"/>
        <v>20.000000000000028</v>
      </c>
      <c r="J745" s="74">
        <f>M744*0.1</f>
        <v>220</v>
      </c>
      <c r="K745" s="74">
        <f t="shared" si="51"/>
        <v>220</v>
      </c>
      <c r="L745" s="73" t="str">
        <f t="shared" si="52"/>
        <v/>
      </c>
      <c r="M745" s="74"/>
    </row>
    <row r="746" spans="2:13" s="46" customFormat="1" ht="15">
      <c r="B746" s="534">
        <f t="shared" si="49"/>
        <v>739</v>
      </c>
      <c r="C746" s="69" t="s">
        <v>2670</v>
      </c>
      <c r="D746" s="69" t="s">
        <v>2282</v>
      </c>
      <c r="E746" s="70" t="str">
        <f>VLOOKUP(F746,購入者リスト!B:F,4,FALSE)</f>
        <v>多肉 ももりん入り 7種セット A 抜き苗</v>
      </c>
      <c r="F746" s="69">
        <v>43</v>
      </c>
      <c r="G746" s="71" t="str">
        <f>VLOOKUP(F746,購入者リスト!B:M,12,FALSE)</f>
        <v>25/05/15</v>
      </c>
      <c r="H746" s="70" t="s">
        <v>27</v>
      </c>
      <c r="I746" s="73" t="str">
        <f t="shared" si="50"/>
        <v/>
      </c>
      <c r="J746" s="74"/>
      <c r="K746" s="74">
        <f t="shared" si="51"/>
        <v>0</v>
      </c>
      <c r="L746" s="73">
        <f t="shared" si="52"/>
        <v>200.00000000000023</v>
      </c>
      <c r="M746" s="74">
        <f>VLOOKUP(F746,購入者リスト!B:F,5,FALSE)</f>
        <v>2200</v>
      </c>
    </row>
    <row r="747" spans="2:13" s="46" customFormat="1" ht="15">
      <c r="B747" s="534">
        <f t="shared" si="49"/>
        <v>740</v>
      </c>
      <c r="C747" s="69" t="s">
        <v>2671</v>
      </c>
      <c r="D747" s="69" t="s">
        <v>2672</v>
      </c>
      <c r="E747" s="70" t="s">
        <v>2673</v>
      </c>
      <c r="F747" s="72"/>
      <c r="G747" s="71" t="str">
        <f>G746</f>
        <v>25/05/15</v>
      </c>
      <c r="H747" s="70" t="s">
        <v>27</v>
      </c>
      <c r="I747" s="73">
        <f t="shared" si="50"/>
        <v>20.000000000000028</v>
      </c>
      <c r="J747" s="74">
        <f>M746*0.1</f>
        <v>220</v>
      </c>
      <c r="K747" s="74">
        <f t="shared" si="51"/>
        <v>220</v>
      </c>
      <c r="L747" s="73" t="str">
        <f t="shared" si="52"/>
        <v/>
      </c>
      <c r="M747" s="74"/>
    </row>
    <row r="748" spans="2:13" s="46" customFormat="1" ht="15">
      <c r="B748" s="534">
        <f t="shared" si="49"/>
        <v>741</v>
      </c>
      <c r="C748" s="69" t="s">
        <v>2670</v>
      </c>
      <c r="D748" s="69" t="s">
        <v>2282</v>
      </c>
      <c r="E748" s="70" t="str">
        <f>VLOOKUP(F748,購入者リスト!B:F,4,FALSE)</f>
        <v>多肉 ももりん入り 7種セット B 抜き苗</v>
      </c>
      <c r="F748" s="69">
        <v>44</v>
      </c>
      <c r="G748" s="71" t="str">
        <f>VLOOKUP(F748,購入者リスト!B:M,12,FALSE)</f>
        <v>25/05/15</v>
      </c>
      <c r="H748" s="70" t="s">
        <v>27</v>
      </c>
      <c r="I748" s="73" t="str">
        <f t="shared" si="50"/>
        <v/>
      </c>
      <c r="J748" s="74"/>
      <c r="K748" s="74">
        <f t="shared" si="51"/>
        <v>0</v>
      </c>
      <c r="L748" s="73">
        <f t="shared" si="52"/>
        <v>200.00000000000023</v>
      </c>
      <c r="M748" s="74">
        <f>VLOOKUP(F748,購入者リスト!B:F,5,FALSE)</f>
        <v>2200</v>
      </c>
    </row>
    <row r="749" spans="2:13" s="46" customFormat="1" ht="15">
      <c r="B749" s="534">
        <f t="shared" si="49"/>
        <v>742</v>
      </c>
      <c r="C749" s="69" t="s">
        <v>2671</v>
      </c>
      <c r="D749" s="69" t="s">
        <v>2672</v>
      </c>
      <c r="E749" s="70" t="s">
        <v>2673</v>
      </c>
      <c r="F749" s="72"/>
      <c r="G749" s="71" t="str">
        <f>G748</f>
        <v>25/05/15</v>
      </c>
      <c r="H749" s="70" t="s">
        <v>27</v>
      </c>
      <c r="I749" s="73">
        <f t="shared" si="50"/>
        <v>20.000000000000028</v>
      </c>
      <c r="J749" s="74">
        <f>M748*0.1</f>
        <v>220</v>
      </c>
      <c r="K749" s="74">
        <f t="shared" si="51"/>
        <v>220</v>
      </c>
      <c r="L749" s="73" t="str">
        <f t="shared" si="52"/>
        <v/>
      </c>
      <c r="M749" s="74"/>
    </row>
    <row r="750" spans="2:13" s="46" customFormat="1" ht="15">
      <c r="B750" s="534">
        <f t="shared" si="49"/>
        <v>743</v>
      </c>
      <c r="C750" s="56" t="s">
        <v>2262</v>
      </c>
      <c r="D750" s="56" t="s">
        <v>2711</v>
      </c>
      <c r="E750" s="57" t="s">
        <v>2783</v>
      </c>
      <c r="F750" s="58" t="s">
        <v>2271</v>
      </c>
      <c r="G750" s="59">
        <v>45800</v>
      </c>
      <c r="H750" s="57" t="s">
        <v>598</v>
      </c>
      <c r="I750" s="62">
        <f t="shared" si="50"/>
        <v>163.27272727272748</v>
      </c>
      <c r="J750" s="63">
        <v>1796</v>
      </c>
      <c r="K750" s="63">
        <f t="shared" si="51"/>
        <v>1796</v>
      </c>
      <c r="L750" s="62" t="str">
        <f t="shared" si="52"/>
        <v/>
      </c>
      <c r="M750" s="63"/>
    </row>
    <row r="751" spans="2:13" s="46" customFormat="1" ht="15">
      <c r="B751" s="534">
        <f t="shared" si="49"/>
        <v>744</v>
      </c>
      <c r="C751" s="56" t="s">
        <v>2262</v>
      </c>
      <c r="D751" s="56" t="s">
        <v>2302</v>
      </c>
      <c r="E751" s="57" t="s">
        <v>2884</v>
      </c>
      <c r="F751" s="58"/>
      <c r="G751" s="59">
        <v>45800</v>
      </c>
      <c r="H751" s="57" t="s">
        <v>2307</v>
      </c>
      <c r="I751" s="62">
        <f t="shared" si="50"/>
        <v>270.90909090909099</v>
      </c>
      <c r="J751" s="63">
        <v>2980</v>
      </c>
      <c r="K751" s="63">
        <f t="shared" si="51"/>
        <v>2980</v>
      </c>
      <c r="L751" s="62" t="str">
        <f t="shared" si="52"/>
        <v/>
      </c>
      <c r="M751" s="63"/>
    </row>
    <row r="752" spans="2:13" s="46" customFormat="1" ht="15">
      <c r="B752" s="534">
        <f t="shared" si="49"/>
        <v>745</v>
      </c>
      <c r="C752" s="56" t="s">
        <v>2262</v>
      </c>
      <c r="D752" s="56" t="s">
        <v>2408</v>
      </c>
      <c r="E752" s="57" t="s">
        <v>2885</v>
      </c>
      <c r="F752" s="58" t="s">
        <v>2271</v>
      </c>
      <c r="G752" s="59">
        <v>45801</v>
      </c>
      <c r="H752" s="57" t="s">
        <v>49</v>
      </c>
      <c r="I752" s="62">
        <f t="shared" si="50"/>
        <v>20.000000000000028</v>
      </c>
      <c r="J752" s="63">
        <v>220</v>
      </c>
      <c r="K752" s="63">
        <f t="shared" si="51"/>
        <v>220</v>
      </c>
      <c r="L752" s="62" t="str">
        <f t="shared" si="52"/>
        <v/>
      </c>
      <c r="M752" s="63"/>
    </row>
    <row r="753" spans="2:13" s="46" customFormat="1" ht="15">
      <c r="B753" s="534">
        <f t="shared" ref="B753:B816" si="53">ROW()-7</f>
        <v>746</v>
      </c>
      <c r="C753" s="56" t="s">
        <v>2262</v>
      </c>
      <c r="D753" s="56" t="s">
        <v>2886</v>
      </c>
      <c r="E753" s="57" t="s">
        <v>2887</v>
      </c>
      <c r="F753" s="58"/>
      <c r="G753" s="59">
        <v>45801</v>
      </c>
      <c r="H753" s="57" t="s">
        <v>49</v>
      </c>
      <c r="I753" s="62">
        <f t="shared" ref="I753:I816" si="54">IF(J753&lt;&gt;"",J753-J753/1.1,"")</f>
        <v>40.000000000000057</v>
      </c>
      <c r="J753" s="63">
        <v>440</v>
      </c>
      <c r="K753" s="63">
        <f t="shared" ref="K753:K816" si="55">IF(N753="",J753,0)</f>
        <v>440</v>
      </c>
      <c r="L753" s="62" t="str">
        <f t="shared" ref="L753:L816" si="56">IF(M753&lt;&gt;"",M753-M753/1.1,"")</f>
        <v/>
      </c>
      <c r="M753" s="63"/>
    </row>
    <row r="754" spans="2:13" s="46" customFormat="1" ht="15">
      <c r="B754" s="534">
        <f t="shared" si="53"/>
        <v>747</v>
      </c>
      <c r="C754" s="56" t="s">
        <v>2342</v>
      </c>
      <c r="D754" s="56" t="s">
        <v>2693</v>
      </c>
      <c r="E754" s="57" t="s">
        <v>2694</v>
      </c>
      <c r="F754" s="64">
        <v>194</v>
      </c>
      <c r="G754" s="59">
        <v>45810</v>
      </c>
      <c r="H754" s="57" t="s">
        <v>2695</v>
      </c>
      <c r="I754" s="62">
        <f t="shared" si="54"/>
        <v>19.090909090909093</v>
      </c>
      <c r="J754" s="63">
        <f>IF(F754&lt;=150,170,IF(F754&lt;=200,210,IF(F754&lt;=250,240,290)))</f>
        <v>210</v>
      </c>
      <c r="K754" s="63">
        <f t="shared" si="55"/>
        <v>210</v>
      </c>
      <c r="L754" s="62" t="str">
        <f t="shared" si="56"/>
        <v/>
      </c>
      <c r="M754" s="63"/>
    </row>
    <row r="755" spans="2:13" s="46" customFormat="1" ht="15">
      <c r="B755" s="534">
        <f t="shared" si="53"/>
        <v>748</v>
      </c>
      <c r="C755" s="56" t="s">
        <v>2342</v>
      </c>
      <c r="D755" s="56" t="s">
        <v>2693</v>
      </c>
      <c r="E755" s="57" t="s">
        <v>2694</v>
      </c>
      <c r="F755" s="64">
        <v>194</v>
      </c>
      <c r="G755" s="59">
        <v>45810</v>
      </c>
      <c r="H755" s="57" t="s">
        <v>2695</v>
      </c>
      <c r="I755" s="62">
        <f t="shared" si="54"/>
        <v>19.090909090909093</v>
      </c>
      <c r="J755" s="63">
        <f>IF(F755&lt;=150,170,IF(F755&lt;=200,210,IF(F755&lt;=250,240,290)))</f>
        <v>210</v>
      </c>
      <c r="K755" s="63">
        <f t="shared" si="55"/>
        <v>210</v>
      </c>
      <c r="L755" s="62" t="str">
        <f t="shared" si="56"/>
        <v/>
      </c>
      <c r="M755" s="63"/>
    </row>
    <row r="756" spans="2:13" s="46" customFormat="1" ht="15">
      <c r="B756" s="534">
        <f t="shared" si="53"/>
        <v>749</v>
      </c>
      <c r="C756" s="56" t="s">
        <v>2342</v>
      </c>
      <c r="D756" s="56" t="s">
        <v>2693</v>
      </c>
      <c r="E756" s="57" t="s">
        <v>2694</v>
      </c>
      <c r="F756" s="64">
        <v>203</v>
      </c>
      <c r="G756" s="59">
        <v>45810</v>
      </c>
      <c r="H756" s="57" t="s">
        <v>2695</v>
      </c>
      <c r="I756" s="62">
        <f t="shared" si="54"/>
        <v>21.818181818181841</v>
      </c>
      <c r="J756" s="63">
        <f>IF(F756&lt;=150,170,IF(F756&lt;=200,210,IF(F756&lt;=250,240,290)))</f>
        <v>240</v>
      </c>
      <c r="K756" s="63">
        <f t="shared" si="55"/>
        <v>240</v>
      </c>
      <c r="L756" s="62" t="str">
        <f t="shared" si="56"/>
        <v/>
      </c>
      <c r="M756" s="63"/>
    </row>
    <row r="757" spans="2:13" s="46" customFormat="1" ht="15">
      <c r="B757" s="534">
        <f t="shared" si="53"/>
        <v>750</v>
      </c>
      <c r="C757" s="56" t="s">
        <v>2342</v>
      </c>
      <c r="D757" s="56" t="s">
        <v>2693</v>
      </c>
      <c r="E757" s="57" t="s">
        <v>2813</v>
      </c>
      <c r="F757" s="64"/>
      <c r="G757" s="59">
        <v>45810</v>
      </c>
      <c r="H757" s="57" t="s">
        <v>2695</v>
      </c>
      <c r="I757" s="62">
        <f t="shared" si="54"/>
        <v>27.272727272727309</v>
      </c>
      <c r="J757" s="63">
        <v>300</v>
      </c>
      <c r="K757" s="63">
        <f t="shared" si="55"/>
        <v>300</v>
      </c>
      <c r="L757" s="62" t="str">
        <f t="shared" si="56"/>
        <v/>
      </c>
      <c r="M757" s="63"/>
    </row>
    <row r="758" spans="2:13" s="46" customFormat="1" ht="15">
      <c r="B758" s="534">
        <f t="shared" si="53"/>
        <v>751</v>
      </c>
      <c r="C758" s="56" t="s">
        <v>2342</v>
      </c>
      <c r="D758" s="56" t="s">
        <v>2693</v>
      </c>
      <c r="E758" s="57" t="s">
        <v>2694</v>
      </c>
      <c r="F758" s="64">
        <v>221</v>
      </c>
      <c r="G758" s="59">
        <v>45810</v>
      </c>
      <c r="H758" s="57" t="s">
        <v>2695</v>
      </c>
      <c r="I758" s="62">
        <f t="shared" si="54"/>
        <v>21.818181818181841</v>
      </c>
      <c r="J758" s="63">
        <f>IF(F758&lt;=150,170,IF(F758&lt;=200,210,IF(F758&lt;=250,240,290)))</f>
        <v>240</v>
      </c>
      <c r="K758" s="63">
        <f t="shared" si="55"/>
        <v>240</v>
      </c>
      <c r="L758" s="62" t="str">
        <f t="shared" si="56"/>
        <v/>
      </c>
      <c r="M758" s="63"/>
    </row>
    <row r="759" spans="2:13" s="46" customFormat="1" ht="15">
      <c r="B759" s="534">
        <f t="shared" si="53"/>
        <v>752</v>
      </c>
      <c r="C759" s="56" t="s">
        <v>2342</v>
      </c>
      <c r="D759" s="56" t="s">
        <v>2693</v>
      </c>
      <c r="E759" s="57" t="s">
        <v>2694</v>
      </c>
      <c r="F759" s="64">
        <v>221</v>
      </c>
      <c r="G759" s="59">
        <v>45810</v>
      </c>
      <c r="H759" s="57" t="s">
        <v>2695</v>
      </c>
      <c r="I759" s="62">
        <f t="shared" si="54"/>
        <v>21.818181818181841</v>
      </c>
      <c r="J759" s="63">
        <f>IF(F759&lt;=150,170,IF(F759&lt;=200,210,IF(F759&lt;=250,240,290)))</f>
        <v>240</v>
      </c>
      <c r="K759" s="63">
        <f t="shared" si="55"/>
        <v>240</v>
      </c>
      <c r="L759" s="62" t="str">
        <f t="shared" si="56"/>
        <v/>
      </c>
      <c r="M759" s="63"/>
    </row>
    <row r="760" spans="2:13" s="46" customFormat="1" ht="15">
      <c r="B760" s="534">
        <f t="shared" si="53"/>
        <v>753</v>
      </c>
      <c r="C760" s="69" t="s">
        <v>2670</v>
      </c>
      <c r="D760" s="69" t="s">
        <v>2282</v>
      </c>
      <c r="E760" s="70" t="str">
        <f>VLOOKUP(F760,購入者リスト!B:F,4,FALSE)</f>
        <v>多肉 はじまりの花入り 7種セット 抜き苗</v>
      </c>
      <c r="F760" s="69">
        <v>49</v>
      </c>
      <c r="G760" s="71" t="str">
        <f>VLOOKUP(F760,購入者リスト!B:M,12,FALSE)</f>
        <v>25/06/04</v>
      </c>
      <c r="H760" s="70" t="s">
        <v>27</v>
      </c>
      <c r="I760" s="73" t="str">
        <f t="shared" si="54"/>
        <v/>
      </c>
      <c r="J760" s="74"/>
      <c r="K760" s="74">
        <f t="shared" si="55"/>
        <v>0</v>
      </c>
      <c r="L760" s="73">
        <f t="shared" si="56"/>
        <v>181.81818181818198</v>
      </c>
      <c r="M760" s="74">
        <f>VLOOKUP(F760,購入者リスト!B:F,5,FALSE)</f>
        <v>2000</v>
      </c>
    </row>
    <row r="761" spans="2:13" s="46" customFormat="1" ht="15">
      <c r="B761" s="534">
        <f t="shared" si="53"/>
        <v>754</v>
      </c>
      <c r="C761" s="69" t="s">
        <v>2671</v>
      </c>
      <c r="D761" s="69" t="s">
        <v>2672</v>
      </c>
      <c r="E761" s="70" t="s">
        <v>2673</v>
      </c>
      <c r="F761" s="72"/>
      <c r="G761" s="71" t="str">
        <f>G760</f>
        <v>25/06/04</v>
      </c>
      <c r="H761" s="70" t="s">
        <v>27</v>
      </c>
      <c r="I761" s="73">
        <f t="shared" si="54"/>
        <v>18.181818181818187</v>
      </c>
      <c r="J761" s="74">
        <f>M760*0.1</f>
        <v>200</v>
      </c>
      <c r="K761" s="74">
        <f t="shared" si="55"/>
        <v>200</v>
      </c>
      <c r="L761" s="73" t="str">
        <f t="shared" si="56"/>
        <v/>
      </c>
      <c r="M761" s="74"/>
    </row>
    <row r="762" spans="2:13" s="46" customFormat="1" ht="15">
      <c r="B762" s="534">
        <f t="shared" si="53"/>
        <v>755</v>
      </c>
      <c r="C762" s="69" t="s">
        <v>2670</v>
      </c>
      <c r="D762" s="69" t="s">
        <v>2813</v>
      </c>
      <c r="E762" s="69" t="s">
        <v>2813</v>
      </c>
      <c r="F762" s="69">
        <v>49</v>
      </c>
      <c r="G762" s="71" t="str">
        <f>G761</f>
        <v>25/06/04</v>
      </c>
      <c r="H762" s="70" t="s">
        <v>27</v>
      </c>
      <c r="I762" s="73" t="str">
        <f t="shared" si="54"/>
        <v/>
      </c>
      <c r="J762" s="74"/>
      <c r="K762" s="74">
        <f t="shared" si="55"/>
        <v>0</v>
      </c>
      <c r="L762" s="73">
        <f t="shared" si="56"/>
        <v>27.272727272727309</v>
      </c>
      <c r="M762" s="74">
        <v>300</v>
      </c>
    </row>
    <row r="763" spans="2:13" s="46" customFormat="1" ht="15">
      <c r="B763" s="534">
        <f t="shared" si="53"/>
        <v>756</v>
      </c>
      <c r="C763" s="69" t="s">
        <v>2671</v>
      </c>
      <c r="D763" s="69" t="s">
        <v>2672</v>
      </c>
      <c r="E763" s="70" t="s">
        <v>2673</v>
      </c>
      <c r="F763" s="72"/>
      <c r="G763" s="71" t="str">
        <f>G762</f>
        <v>25/06/04</v>
      </c>
      <c r="H763" s="70" t="s">
        <v>27</v>
      </c>
      <c r="I763" s="73">
        <f t="shared" si="54"/>
        <v>2.7272727272727302</v>
      </c>
      <c r="J763" s="74">
        <f>M762*0.1</f>
        <v>30</v>
      </c>
      <c r="K763" s="74">
        <f t="shared" si="55"/>
        <v>30</v>
      </c>
      <c r="L763" s="73" t="str">
        <f t="shared" si="56"/>
        <v/>
      </c>
      <c r="M763" s="74"/>
    </row>
    <row r="764" spans="2:13" s="46" customFormat="1" ht="15">
      <c r="B764" s="534">
        <f t="shared" si="53"/>
        <v>757</v>
      </c>
      <c r="C764" s="69" t="s">
        <v>2670</v>
      </c>
      <c r="D764" s="69" t="s">
        <v>2282</v>
      </c>
      <c r="E764" s="70" t="str">
        <f>VLOOKUP(F764,購入者リスト!B:F,4,FALSE)</f>
        <v>多肉 紫紺の矢入り 7種セット A 抜き苗</v>
      </c>
      <c r="F764" s="69">
        <v>45</v>
      </c>
      <c r="G764" s="71" t="str">
        <f>VLOOKUP(F764,購入者リスト!B:M,12,FALSE)</f>
        <v>25/06/05</v>
      </c>
      <c r="H764" s="70" t="s">
        <v>27</v>
      </c>
      <c r="I764" s="73" t="str">
        <f t="shared" si="54"/>
        <v/>
      </c>
      <c r="J764" s="74"/>
      <c r="K764" s="74">
        <f t="shared" si="55"/>
        <v>0</v>
      </c>
      <c r="L764" s="73">
        <f t="shared" si="56"/>
        <v>218.18181818181847</v>
      </c>
      <c r="M764" s="74">
        <f>VLOOKUP(F764,購入者リスト!B:F,5,FALSE)</f>
        <v>2400</v>
      </c>
    </row>
    <row r="765" spans="2:13" s="46" customFormat="1" ht="15">
      <c r="B765" s="534">
        <f t="shared" si="53"/>
        <v>758</v>
      </c>
      <c r="C765" s="69" t="s">
        <v>2671</v>
      </c>
      <c r="D765" s="69" t="s">
        <v>2672</v>
      </c>
      <c r="E765" s="70" t="s">
        <v>2673</v>
      </c>
      <c r="F765" s="72"/>
      <c r="G765" s="71" t="str">
        <f>G764</f>
        <v>25/06/05</v>
      </c>
      <c r="H765" s="70" t="s">
        <v>27</v>
      </c>
      <c r="I765" s="73">
        <f t="shared" si="54"/>
        <v>21.818181818181841</v>
      </c>
      <c r="J765" s="74">
        <f>M764*0.1</f>
        <v>240</v>
      </c>
      <c r="K765" s="74">
        <f t="shared" si="55"/>
        <v>240</v>
      </c>
      <c r="L765" s="73" t="str">
        <f t="shared" si="56"/>
        <v/>
      </c>
      <c r="M765" s="74"/>
    </row>
    <row r="766" spans="2:13" s="46" customFormat="1" ht="15">
      <c r="B766" s="534">
        <f t="shared" si="53"/>
        <v>759</v>
      </c>
      <c r="C766" s="69" t="s">
        <v>2670</v>
      </c>
      <c r="D766" s="69" t="s">
        <v>2282</v>
      </c>
      <c r="E766" s="70" t="str">
        <f>VLOOKUP(F766,購入者リスト!B:F,4,FALSE)</f>
        <v>多肉 紫紺の矢入り 7種セット B 抜き苗</v>
      </c>
      <c r="F766" s="69">
        <v>46</v>
      </c>
      <c r="G766" s="71" t="str">
        <f>VLOOKUP(F766,購入者リスト!B:M,12,FALSE)</f>
        <v>25/06/05</v>
      </c>
      <c r="H766" s="70" t="s">
        <v>27</v>
      </c>
      <c r="I766" s="73" t="str">
        <f t="shared" si="54"/>
        <v/>
      </c>
      <c r="J766" s="74"/>
      <c r="K766" s="74">
        <f t="shared" si="55"/>
        <v>0</v>
      </c>
      <c r="L766" s="73">
        <f t="shared" si="56"/>
        <v>218.18181818181847</v>
      </c>
      <c r="M766" s="74">
        <f>VLOOKUP(F766,購入者リスト!B:F,5,FALSE)</f>
        <v>2400</v>
      </c>
    </row>
    <row r="767" spans="2:13" s="46" customFormat="1" ht="15">
      <c r="B767" s="534">
        <f t="shared" si="53"/>
        <v>760</v>
      </c>
      <c r="C767" s="69" t="s">
        <v>2671</v>
      </c>
      <c r="D767" s="69" t="s">
        <v>2672</v>
      </c>
      <c r="E767" s="70" t="s">
        <v>2673</v>
      </c>
      <c r="F767" s="72"/>
      <c r="G767" s="71" t="str">
        <f>G766</f>
        <v>25/06/05</v>
      </c>
      <c r="H767" s="70" t="s">
        <v>27</v>
      </c>
      <c r="I767" s="73">
        <f t="shared" si="54"/>
        <v>21.818181818181841</v>
      </c>
      <c r="J767" s="74">
        <f>M766*0.1</f>
        <v>240</v>
      </c>
      <c r="K767" s="74">
        <f t="shared" si="55"/>
        <v>240</v>
      </c>
      <c r="L767" s="73" t="str">
        <f t="shared" si="56"/>
        <v/>
      </c>
      <c r="M767" s="74"/>
    </row>
    <row r="768" spans="2:13" s="46" customFormat="1" ht="15">
      <c r="B768" s="534">
        <f t="shared" si="53"/>
        <v>761</v>
      </c>
      <c r="C768" s="69" t="s">
        <v>2670</v>
      </c>
      <c r="D768" s="69" t="s">
        <v>2282</v>
      </c>
      <c r="E768" s="70" t="str">
        <f>VLOOKUP(F768,購入者リスト!B:F,4,FALSE)</f>
        <v>多肉 七福神入り 7種セット A 抜き苗</v>
      </c>
      <c r="F768" s="69">
        <v>47</v>
      </c>
      <c r="G768" s="71" t="str">
        <f>VLOOKUP(F768,購入者リスト!B:M,12,FALSE)</f>
        <v>25/06/05</v>
      </c>
      <c r="H768" s="70" t="s">
        <v>27</v>
      </c>
      <c r="I768" s="73" t="str">
        <f t="shared" si="54"/>
        <v/>
      </c>
      <c r="J768" s="74"/>
      <c r="K768" s="74">
        <f t="shared" si="55"/>
        <v>0</v>
      </c>
      <c r="L768" s="73">
        <f t="shared" si="56"/>
        <v>154.54545454545473</v>
      </c>
      <c r="M768" s="74">
        <f>VLOOKUP(F768,購入者リスト!B:F,5,FALSE)</f>
        <v>1700</v>
      </c>
    </row>
    <row r="769" spans="2:13" s="46" customFormat="1" ht="15">
      <c r="B769" s="534">
        <f t="shared" si="53"/>
        <v>762</v>
      </c>
      <c r="C769" s="69" t="s">
        <v>2671</v>
      </c>
      <c r="D769" s="69" t="s">
        <v>2672</v>
      </c>
      <c r="E769" s="70" t="s">
        <v>2673</v>
      </c>
      <c r="F769" s="72"/>
      <c r="G769" s="71" t="str">
        <f>G768</f>
        <v>25/06/05</v>
      </c>
      <c r="H769" s="70" t="s">
        <v>27</v>
      </c>
      <c r="I769" s="73">
        <f t="shared" si="54"/>
        <v>15.454545454545467</v>
      </c>
      <c r="J769" s="74">
        <f>M768*0.1</f>
        <v>170</v>
      </c>
      <c r="K769" s="74">
        <f t="shared" si="55"/>
        <v>170</v>
      </c>
      <c r="L769" s="73" t="str">
        <f t="shared" si="56"/>
        <v/>
      </c>
      <c r="M769" s="74"/>
    </row>
    <row r="770" spans="2:13" s="46" customFormat="1" ht="15">
      <c r="B770" s="534">
        <f t="shared" si="53"/>
        <v>763</v>
      </c>
      <c r="C770" s="69" t="s">
        <v>2670</v>
      </c>
      <c r="D770" s="69" t="s">
        <v>2282</v>
      </c>
      <c r="E770" s="70" t="str">
        <f>VLOOKUP(F770,購入者リスト!B:F,4,FALSE)</f>
        <v>多肉 七福神入り 7種セット B 抜き苗</v>
      </c>
      <c r="F770" s="69">
        <v>48</v>
      </c>
      <c r="G770" s="71" t="str">
        <f>VLOOKUP(F770,購入者リスト!B:M,12,FALSE)</f>
        <v>25/06/05</v>
      </c>
      <c r="H770" s="70" t="s">
        <v>27</v>
      </c>
      <c r="I770" s="73" t="str">
        <f t="shared" si="54"/>
        <v/>
      </c>
      <c r="J770" s="74"/>
      <c r="K770" s="74">
        <f t="shared" si="55"/>
        <v>0</v>
      </c>
      <c r="L770" s="73">
        <f t="shared" si="56"/>
        <v>154.54545454545473</v>
      </c>
      <c r="M770" s="74">
        <f>VLOOKUP(F770,購入者リスト!B:F,5,FALSE)</f>
        <v>1700</v>
      </c>
    </row>
    <row r="771" spans="2:13" s="46" customFormat="1" ht="15">
      <c r="B771" s="534">
        <f t="shared" si="53"/>
        <v>764</v>
      </c>
      <c r="C771" s="69" t="s">
        <v>2671</v>
      </c>
      <c r="D771" s="69" t="s">
        <v>2672</v>
      </c>
      <c r="E771" s="70" t="s">
        <v>2673</v>
      </c>
      <c r="F771" s="72"/>
      <c r="G771" s="71" t="str">
        <f>G770</f>
        <v>25/06/05</v>
      </c>
      <c r="H771" s="70" t="s">
        <v>27</v>
      </c>
      <c r="I771" s="73">
        <f t="shared" si="54"/>
        <v>15.454545454545467</v>
      </c>
      <c r="J771" s="74">
        <f>M770*0.1</f>
        <v>170</v>
      </c>
      <c r="K771" s="74">
        <f t="shared" si="55"/>
        <v>170</v>
      </c>
      <c r="L771" s="73" t="str">
        <f t="shared" si="56"/>
        <v/>
      </c>
      <c r="M771" s="74"/>
    </row>
    <row r="772" spans="2:13" s="46" customFormat="1" ht="15">
      <c r="B772" s="534">
        <f t="shared" si="53"/>
        <v>765</v>
      </c>
      <c r="C772" s="56" t="s">
        <v>2268</v>
      </c>
      <c r="D772" s="56" t="s">
        <v>2269</v>
      </c>
      <c r="E772" s="57" t="s">
        <v>2888</v>
      </c>
      <c r="F772" s="58" t="s">
        <v>2299</v>
      </c>
      <c r="G772" s="59">
        <v>45822</v>
      </c>
      <c r="H772" s="57" t="s">
        <v>598</v>
      </c>
      <c r="I772" s="62">
        <f t="shared" si="54"/>
        <v>116.36363636363649</v>
      </c>
      <c r="J772" s="63">
        <v>1280</v>
      </c>
      <c r="K772" s="63">
        <f t="shared" si="55"/>
        <v>1280</v>
      </c>
      <c r="L772" s="62" t="str">
        <f t="shared" si="56"/>
        <v/>
      </c>
      <c r="M772" s="63"/>
    </row>
    <row r="773" spans="2:13" s="46" customFormat="1" ht="15">
      <c r="B773" s="534">
        <f t="shared" si="53"/>
        <v>766</v>
      </c>
      <c r="C773" s="56" t="s">
        <v>2262</v>
      </c>
      <c r="D773" s="56" t="s">
        <v>2790</v>
      </c>
      <c r="E773" s="57" t="s">
        <v>2889</v>
      </c>
      <c r="F773" s="58"/>
      <c r="G773" s="59">
        <v>45831</v>
      </c>
      <c r="H773" s="57" t="s">
        <v>49</v>
      </c>
      <c r="I773" s="62">
        <f t="shared" si="54"/>
        <v>10.000000000000014</v>
      </c>
      <c r="J773" s="63">
        <v>110</v>
      </c>
      <c r="K773" s="63">
        <f t="shared" si="55"/>
        <v>110</v>
      </c>
      <c r="L773" s="62" t="str">
        <f t="shared" si="56"/>
        <v/>
      </c>
      <c r="M773" s="63"/>
    </row>
    <row r="774" spans="2:13" s="46" customFormat="1" ht="15">
      <c r="B774" s="534">
        <f t="shared" si="53"/>
        <v>767</v>
      </c>
      <c r="C774" s="56" t="s">
        <v>2262</v>
      </c>
      <c r="D774" s="56" t="s">
        <v>2890</v>
      </c>
      <c r="E774" s="57" t="s">
        <v>2891</v>
      </c>
      <c r="F774" s="58" t="s">
        <v>2304</v>
      </c>
      <c r="G774" s="59">
        <v>45831</v>
      </c>
      <c r="H774" s="57" t="s">
        <v>49</v>
      </c>
      <c r="I774" s="62">
        <f t="shared" si="54"/>
        <v>30</v>
      </c>
      <c r="J774" s="63">
        <v>330</v>
      </c>
      <c r="K774" s="63">
        <f t="shared" si="55"/>
        <v>330</v>
      </c>
      <c r="L774" s="62" t="str">
        <f t="shared" si="56"/>
        <v/>
      </c>
      <c r="M774" s="63"/>
    </row>
    <row r="775" spans="2:13" s="46" customFormat="1" ht="15">
      <c r="B775" s="534">
        <f t="shared" si="53"/>
        <v>768</v>
      </c>
      <c r="C775" s="56" t="s">
        <v>2281</v>
      </c>
      <c r="D775" s="56" t="s">
        <v>2282</v>
      </c>
      <c r="E775" s="57"/>
      <c r="F775" s="64"/>
      <c r="G775" s="59">
        <v>45837</v>
      </c>
      <c r="H775" s="57" t="s">
        <v>598</v>
      </c>
      <c r="I775" s="62">
        <f t="shared" si="54"/>
        <v>18.000000000000028</v>
      </c>
      <c r="J775" s="63">
        <v>198</v>
      </c>
      <c r="K775" s="63">
        <f t="shared" si="55"/>
        <v>198</v>
      </c>
      <c r="L775" s="62" t="str">
        <f t="shared" si="56"/>
        <v/>
      </c>
      <c r="M775" s="63"/>
    </row>
    <row r="776" spans="2:13" s="46" customFormat="1" ht="15">
      <c r="B776" s="534">
        <f t="shared" si="53"/>
        <v>769</v>
      </c>
      <c r="C776" s="56" t="s">
        <v>2262</v>
      </c>
      <c r="D776" s="56" t="s">
        <v>2892</v>
      </c>
      <c r="E776" s="57" t="s">
        <v>2893</v>
      </c>
      <c r="F776" s="64"/>
      <c r="G776" s="59">
        <v>45837</v>
      </c>
      <c r="H776" s="57" t="s">
        <v>598</v>
      </c>
      <c r="I776" s="62">
        <f t="shared" si="54"/>
        <v>90.727272727272748</v>
      </c>
      <c r="J776" s="63">
        <v>998</v>
      </c>
      <c r="K776" s="63">
        <f t="shared" si="55"/>
        <v>998</v>
      </c>
      <c r="L776" s="62" t="str">
        <f t="shared" si="56"/>
        <v/>
      </c>
      <c r="M776" s="63"/>
    </row>
    <row r="777" spans="2:13" s="46" customFormat="1" ht="15">
      <c r="B777" s="534">
        <f t="shared" si="53"/>
        <v>770</v>
      </c>
      <c r="C777" s="56" t="s">
        <v>2262</v>
      </c>
      <c r="D777" s="56" t="s">
        <v>2892</v>
      </c>
      <c r="E777" s="57" t="s">
        <v>2894</v>
      </c>
      <c r="F777" s="64" t="s">
        <v>2271</v>
      </c>
      <c r="G777" s="59">
        <v>45837</v>
      </c>
      <c r="H777" s="57" t="s">
        <v>598</v>
      </c>
      <c r="I777" s="62">
        <f t="shared" si="54"/>
        <v>18.000000000000028</v>
      </c>
      <c r="J777" s="63">
        <v>198</v>
      </c>
      <c r="K777" s="63">
        <f t="shared" si="55"/>
        <v>198</v>
      </c>
      <c r="L777" s="62" t="str">
        <f t="shared" si="56"/>
        <v/>
      </c>
      <c r="M777" s="63"/>
    </row>
    <row r="778" spans="2:13" s="46" customFormat="1" ht="15">
      <c r="B778" s="534">
        <f t="shared" si="53"/>
        <v>771</v>
      </c>
      <c r="C778" s="56" t="s">
        <v>2262</v>
      </c>
      <c r="D778" s="56" t="s">
        <v>2892</v>
      </c>
      <c r="E778" s="57" t="s">
        <v>2895</v>
      </c>
      <c r="F778" s="64" t="s">
        <v>2304</v>
      </c>
      <c r="G778" s="59">
        <v>45837</v>
      </c>
      <c r="H778" s="57" t="s">
        <v>598</v>
      </c>
      <c r="I778" s="62">
        <f t="shared" si="54"/>
        <v>54.272727272727366</v>
      </c>
      <c r="J778" s="63">
        <v>597</v>
      </c>
      <c r="K778" s="63">
        <f t="shared" si="55"/>
        <v>597</v>
      </c>
      <c r="L778" s="62" t="str">
        <f t="shared" si="56"/>
        <v/>
      </c>
      <c r="M778" s="63"/>
    </row>
    <row r="779" spans="2:13" s="46" customFormat="1" ht="15">
      <c r="B779" s="534">
        <f t="shared" si="53"/>
        <v>772</v>
      </c>
      <c r="C779" s="56" t="s">
        <v>2262</v>
      </c>
      <c r="D779" s="56" t="s">
        <v>2388</v>
      </c>
      <c r="E779" s="57" t="s">
        <v>2896</v>
      </c>
      <c r="F779" s="58" t="s">
        <v>2271</v>
      </c>
      <c r="G779" s="59">
        <v>45837</v>
      </c>
      <c r="H779" s="57" t="s">
        <v>49</v>
      </c>
      <c r="I779" s="62">
        <f t="shared" si="54"/>
        <v>20.000000000000028</v>
      </c>
      <c r="J779" s="63">
        <v>220</v>
      </c>
      <c r="K779" s="63">
        <f t="shared" si="55"/>
        <v>220</v>
      </c>
      <c r="L779" s="62" t="str">
        <f t="shared" si="56"/>
        <v/>
      </c>
      <c r="M779" s="63"/>
    </row>
    <row r="780" spans="2:13" s="46" customFormat="1" ht="15">
      <c r="B780" s="534">
        <f t="shared" si="53"/>
        <v>773</v>
      </c>
      <c r="C780" s="56" t="s">
        <v>2262</v>
      </c>
      <c r="D780" s="56" t="s">
        <v>2605</v>
      </c>
      <c r="E780" s="57" t="s">
        <v>2606</v>
      </c>
      <c r="F780" s="58" t="s">
        <v>2271</v>
      </c>
      <c r="G780" s="59">
        <v>45890</v>
      </c>
      <c r="H780" s="57" t="s">
        <v>45</v>
      </c>
      <c r="I780" s="62">
        <f t="shared" si="54"/>
        <v>20.000000000000028</v>
      </c>
      <c r="J780" s="63">
        <v>220</v>
      </c>
      <c r="K780" s="63">
        <f t="shared" si="55"/>
        <v>220</v>
      </c>
      <c r="L780" s="62" t="str">
        <f t="shared" si="56"/>
        <v/>
      </c>
      <c r="M780" s="63"/>
    </row>
    <row r="781" spans="2:13" s="46" customFormat="1" ht="15">
      <c r="B781" s="534">
        <f t="shared" si="53"/>
        <v>774</v>
      </c>
      <c r="C781" s="56" t="s">
        <v>2262</v>
      </c>
      <c r="D781" s="56" t="s">
        <v>2605</v>
      </c>
      <c r="E781" s="57" t="s">
        <v>2607</v>
      </c>
      <c r="F781" s="58"/>
      <c r="G781" s="59">
        <v>45890</v>
      </c>
      <c r="H781" s="57" t="s">
        <v>45</v>
      </c>
      <c r="I781" s="62">
        <f t="shared" si="54"/>
        <v>30</v>
      </c>
      <c r="J781" s="63">
        <v>330</v>
      </c>
      <c r="K781" s="63">
        <f t="shared" si="55"/>
        <v>330</v>
      </c>
      <c r="L781" s="62" t="str">
        <f t="shared" si="56"/>
        <v/>
      </c>
      <c r="M781" s="63"/>
    </row>
    <row r="782" spans="2:13" s="46" customFormat="1" ht="15">
      <c r="B782" s="534">
        <f t="shared" si="53"/>
        <v>775</v>
      </c>
      <c r="C782" s="56" t="s">
        <v>2273</v>
      </c>
      <c r="D782" s="56" t="s">
        <v>2428</v>
      </c>
      <c r="E782" s="57" t="s">
        <v>2429</v>
      </c>
      <c r="F782" s="58" t="s">
        <v>2271</v>
      </c>
      <c r="G782" s="59">
        <v>45890</v>
      </c>
      <c r="H782" s="57" t="s">
        <v>45</v>
      </c>
      <c r="I782" s="62">
        <f t="shared" si="54"/>
        <v>20.000000000000028</v>
      </c>
      <c r="J782" s="63">
        <v>220</v>
      </c>
      <c r="K782" s="63">
        <f t="shared" si="55"/>
        <v>220</v>
      </c>
      <c r="L782" s="62" t="str">
        <f t="shared" si="56"/>
        <v/>
      </c>
      <c r="M782" s="63"/>
    </row>
    <row r="783" spans="2:13" s="46" customFormat="1" ht="15">
      <c r="B783" s="534">
        <f t="shared" si="53"/>
        <v>776</v>
      </c>
      <c r="C783" s="56" t="s">
        <v>2262</v>
      </c>
      <c r="D783" s="56" t="s">
        <v>2467</v>
      </c>
      <c r="E783" s="57" t="s">
        <v>2897</v>
      </c>
      <c r="F783" s="58"/>
      <c r="G783" s="59">
        <v>45890</v>
      </c>
      <c r="H783" s="57" t="s">
        <v>45</v>
      </c>
      <c r="I783" s="62">
        <f t="shared" si="54"/>
        <v>10.000000000000014</v>
      </c>
      <c r="J783" s="63">
        <v>110</v>
      </c>
      <c r="K783" s="63">
        <f t="shared" si="55"/>
        <v>110</v>
      </c>
      <c r="L783" s="62" t="str">
        <f t="shared" si="56"/>
        <v/>
      </c>
      <c r="M783" s="63"/>
    </row>
    <row r="784" spans="2:13" s="46" customFormat="1" ht="15">
      <c r="B784" s="534">
        <f t="shared" si="53"/>
        <v>777</v>
      </c>
      <c r="C784" s="56" t="s">
        <v>2262</v>
      </c>
      <c r="D784" s="56" t="s">
        <v>2700</v>
      </c>
      <c r="E784" s="57" t="s">
        <v>2898</v>
      </c>
      <c r="F784" s="58"/>
      <c r="G784" s="59">
        <v>45890</v>
      </c>
      <c r="H784" s="57" t="s">
        <v>45</v>
      </c>
      <c r="I784" s="62">
        <f t="shared" si="54"/>
        <v>10.000000000000014</v>
      </c>
      <c r="J784" s="63">
        <v>110</v>
      </c>
      <c r="K784" s="63">
        <f t="shared" si="55"/>
        <v>110</v>
      </c>
      <c r="L784" s="62" t="str">
        <f t="shared" si="56"/>
        <v/>
      </c>
      <c r="M784" s="63"/>
    </row>
    <row r="785" spans="2:13" s="46" customFormat="1" ht="15">
      <c r="B785" s="534">
        <f t="shared" si="53"/>
        <v>778</v>
      </c>
      <c r="C785" s="56" t="s">
        <v>2262</v>
      </c>
      <c r="D785" s="56" t="s">
        <v>2899</v>
      </c>
      <c r="E785" s="57" t="s">
        <v>2900</v>
      </c>
      <c r="F785" s="58" t="s">
        <v>2271</v>
      </c>
      <c r="G785" s="59">
        <v>45890</v>
      </c>
      <c r="H785" s="57" t="s">
        <v>45</v>
      </c>
      <c r="I785" s="62">
        <f t="shared" si="54"/>
        <v>60</v>
      </c>
      <c r="J785" s="63">
        <v>660</v>
      </c>
      <c r="K785" s="63">
        <f t="shared" si="55"/>
        <v>660</v>
      </c>
      <c r="L785" s="62" t="str">
        <f t="shared" si="56"/>
        <v/>
      </c>
      <c r="M785" s="63"/>
    </row>
    <row r="786" spans="2:13" s="46" customFormat="1" ht="15">
      <c r="B786" s="534">
        <f t="shared" si="53"/>
        <v>779</v>
      </c>
      <c r="C786" s="56" t="s">
        <v>2268</v>
      </c>
      <c r="D786" s="56" t="s">
        <v>2901</v>
      </c>
      <c r="E786" s="57" t="s">
        <v>2902</v>
      </c>
      <c r="F786" s="58" t="s">
        <v>2271</v>
      </c>
      <c r="G786" s="59">
        <v>45904</v>
      </c>
      <c r="H786" s="57" t="s">
        <v>2808</v>
      </c>
      <c r="I786" s="62">
        <f t="shared" si="54"/>
        <v>4796.0000000000073</v>
      </c>
      <c r="J786" s="63">
        <v>52756</v>
      </c>
      <c r="K786" s="63">
        <f t="shared" si="55"/>
        <v>52756</v>
      </c>
      <c r="L786" s="62" t="str">
        <f t="shared" si="56"/>
        <v/>
      </c>
      <c r="M786" s="63"/>
    </row>
    <row r="787" spans="2:13" s="46" customFormat="1" ht="15">
      <c r="B787" s="534">
        <f t="shared" si="53"/>
        <v>780</v>
      </c>
      <c r="C787" s="69" t="s">
        <v>2670</v>
      </c>
      <c r="D787" s="69" t="s">
        <v>2282</v>
      </c>
      <c r="E787" s="70" t="str">
        <f>VLOOKUP(F787,購入者リスト!B:F,4,FALSE)</f>
        <v>多肉 紫紺の矢入り 7種セット 抜き苗</v>
      </c>
      <c r="F787" s="69">
        <v>51</v>
      </c>
      <c r="G787" s="71" t="str">
        <f>VLOOKUP(F787,購入者リスト!B:M,12,FALSE)</f>
        <v>25/09/11</v>
      </c>
      <c r="H787" s="70" t="s">
        <v>27</v>
      </c>
      <c r="I787" s="73" t="str">
        <f t="shared" si="54"/>
        <v/>
      </c>
      <c r="J787" s="74"/>
      <c r="K787" s="74">
        <f t="shared" si="55"/>
        <v>0</v>
      </c>
      <c r="L787" s="73">
        <f t="shared" si="56"/>
        <v>236.36363636363649</v>
      </c>
      <c r="M787" s="74">
        <f>VLOOKUP(F787,購入者リスト!B:F,5,FALSE)</f>
        <v>2600</v>
      </c>
    </row>
    <row r="788" spans="2:13" s="46" customFormat="1" ht="15">
      <c r="B788" s="534">
        <f t="shared" si="53"/>
        <v>781</v>
      </c>
      <c r="C788" s="69" t="s">
        <v>2671</v>
      </c>
      <c r="D788" s="69" t="s">
        <v>2672</v>
      </c>
      <c r="E788" s="70" t="s">
        <v>2673</v>
      </c>
      <c r="F788" s="72"/>
      <c r="G788" s="71" t="str">
        <f>G787</f>
        <v>25/09/11</v>
      </c>
      <c r="H788" s="70" t="s">
        <v>27</v>
      </c>
      <c r="I788" s="73">
        <f t="shared" si="54"/>
        <v>23.636363636363654</v>
      </c>
      <c r="J788" s="74">
        <f>M787*0.1</f>
        <v>260</v>
      </c>
      <c r="K788" s="74">
        <f t="shared" si="55"/>
        <v>260</v>
      </c>
      <c r="L788" s="73" t="str">
        <f t="shared" si="56"/>
        <v/>
      </c>
      <c r="M788" s="74"/>
    </row>
    <row r="789" spans="2:13" s="46" customFormat="1" ht="15">
      <c r="B789" s="534">
        <f t="shared" si="53"/>
        <v>782</v>
      </c>
      <c r="C789" s="69" t="s">
        <v>2670</v>
      </c>
      <c r="D789" s="69" t="s">
        <v>2282</v>
      </c>
      <c r="E789" s="70" t="str">
        <f>VLOOKUP(F789,購入者リスト!B:F,4,FALSE)</f>
        <v>多肉 はじまりの花入り 7種セット 抜き苗</v>
      </c>
      <c r="F789" s="69">
        <v>52</v>
      </c>
      <c r="G789" s="71" t="str">
        <f>VLOOKUP(F789,購入者リスト!B:M,12,FALSE)</f>
        <v>25/10/03</v>
      </c>
      <c r="H789" s="70" t="s">
        <v>27</v>
      </c>
      <c r="I789" s="73" t="str">
        <f t="shared" si="54"/>
        <v/>
      </c>
      <c r="J789" s="74"/>
      <c r="K789" s="74">
        <f t="shared" si="55"/>
        <v>0</v>
      </c>
      <c r="L789" s="73">
        <f t="shared" si="56"/>
        <v>200.00000000000023</v>
      </c>
      <c r="M789" s="74">
        <f>VLOOKUP(F789,購入者リスト!B:F,5,FALSE)</f>
        <v>2200</v>
      </c>
    </row>
    <row r="790" spans="2:13" s="46" customFormat="1" ht="15">
      <c r="B790" s="534">
        <f t="shared" si="53"/>
        <v>783</v>
      </c>
      <c r="C790" s="69" t="s">
        <v>2671</v>
      </c>
      <c r="D790" s="69" t="s">
        <v>2672</v>
      </c>
      <c r="E790" s="70" t="s">
        <v>2673</v>
      </c>
      <c r="F790" s="72"/>
      <c r="G790" s="71" t="str">
        <f>G789</f>
        <v>25/10/03</v>
      </c>
      <c r="H790" s="70" t="s">
        <v>27</v>
      </c>
      <c r="I790" s="73">
        <f t="shared" si="54"/>
        <v>20.000000000000028</v>
      </c>
      <c r="J790" s="74">
        <f>M789*0.1</f>
        <v>220</v>
      </c>
      <c r="K790" s="74">
        <f t="shared" si="55"/>
        <v>220</v>
      </c>
      <c r="L790" s="73" t="str">
        <f t="shared" si="56"/>
        <v/>
      </c>
      <c r="M790" s="74"/>
    </row>
    <row r="791" spans="2:13" s="46" customFormat="1" ht="15">
      <c r="B791" s="534">
        <f t="shared" si="53"/>
        <v>784</v>
      </c>
      <c r="C791" s="56" t="s">
        <v>2273</v>
      </c>
      <c r="D791" s="56" t="s">
        <v>2274</v>
      </c>
      <c r="E791" s="57" t="s">
        <v>2903</v>
      </c>
      <c r="F791" s="58"/>
      <c r="G791" s="59">
        <v>45912</v>
      </c>
      <c r="H791" s="57" t="s">
        <v>135</v>
      </c>
      <c r="I791" s="62">
        <f t="shared" si="54"/>
        <v>133.63636363636374</v>
      </c>
      <c r="J791" s="63">
        <v>1470</v>
      </c>
      <c r="K791" s="63">
        <f t="shared" si="55"/>
        <v>1470</v>
      </c>
      <c r="L791" s="62" t="str">
        <f t="shared" si="56"/>
        <v/>
      </c>
      <c r="M791" s="63"/>
    </row>
    <row r="792" spans="2:13" s="46" customFormat="1" ht="15">
      <c r="B792" s="534">
        <f t="shared" si="53"/>
        <v>785</v>
      </c>
      <c r="C792" s="56" t="s">
        <v>2273</v>
      </c>
      <c r="D792" s="56" t="s">
        <v>2274</v>
      </c>
      <c r="E792" s="57" t="s">
        <v>2904</v>
      </c>
      <c r="F792" s="58"/>
      <c r="G792" s="59">
        <v>45912</v>
      </c>
      <c r="H792" s="57" t="s">
        <v>135</v>
      </c>
      <c r="I792" s="62">
        <f t="shared" si="54"/>
        <v>63.363636363636374</v>
      </c>
      <c r="J792" s="63">
        <v>697</v>
      </c>
      <c r="K792" s="63">
        <f t="shared" si="55"/>
        <v>697</v>
      </c>
      <c r="L792" s="62" t="str">
        <f t="shared" si="56"/>
        <v/>
      </c>
      <c r="M792" s="63"/>
    </row>
    <row r="793" spans="2:13" s="46" customFormat="1" ht="15">
      <c r="B793" s="534">
        <f t="shared" si="53"/>
        <v>786</v>
      </c>
      <c r="C793" s="56" t="s">
        <v>2262</v>
      </c>
      <c r="D793" s="56" t="s">
        <v>2905</v>
      </c>
      <c r="E793" s="57" t="s">
        <v>2906</v>
      </c>
      <c r="F793" s="58"/>
      <c r="G793" s="59">
        <v>45912</v>
      </c>
      <c r="H793" s="57" t="s">
        <v>135</v>
      </c>
      <c r="I793" s="62">
        <f t="shared" si="54"/>
        <v>10.000000000000014</v>
      </c>
      <c r="J793" s="63">
        <v>110</v>
      </c>
      <c r="K793" s="63">
        <f t="shared" si="55"/>
        <v>110</v>
      </c>
      <c r="L793" s="62" t="str">
        <f t="shared" si="56"/>
        <v/>
      </c>
      <c r="M793" s="63"/>
    </row>
    <row r="794" spans="2:13" s="46" customFormat="1" ht="15">
      <c r="B794" s="534">
        <f t="shared" si="53"/>
        <v>787</v>
      </c>
      <c r="C794" s="56" t="s">
        <v>2262</v>
      </c>
      <c r="D794" s="56" t="s">
        <v>2907</v>
      </c>
      <c r="E794" s="57" t="s">
        <v>2908</v>
      </c>
      <c r="F794" s="58"/>
      <c r="G794" s="59">
        <v>45912</v>
      </c>
      <c r="H794" s="57" t="s">
        <v>135</v>
      </c>
      <c r="I794" s="62">
        <f t="shared" si="54"/>
        <v>30</v>
      </c>
      <c r="J794" s="63">
        <v>330</v>
      </c>
      <c r="K794" s="63">
        <f t="shared" si="55"/>
        <v>330</v>
      </c>
      <c r="L794" s="62" t="str">
        <f t="shared" si="56"/>
        <v/>
      </c>
      <c r="M794" s="63"/>
    </row>
    <row r="795" spans="2:13" s="46" customFormat="1" ht="15">
      <c r="B795" s="534">
        <f t="shared" si="53"/>
        <v>788</v>
      </c>
      <c r="C795" s="56" t="s">
        <v>2262</v>
      </c>
      <c r="D795" s="56" t="s">
        <v>2266</v>
      </c>
      <c r="E795" s="57" t="s">
        <v>2314</v>
      </c>
      <c r="F795" s="58" t="s">
        <v>2503</v>
      </c>
      <c r="G795" s="59">
        <v>45912</v>
      </c>
      <c r="H795" s="57" t="s">
        <v>133</v>
      </c>
      <c r="I795" s="62">
        <f t="shared" si="54"/>
        <v>307.4545454545455</v>
      </c>
      <c r="J795" s="63">
        <v>3382</v>
      </c>
      <c r="K795" s="63">
        <f t="shared" si="55"/>
        <v>3382</v>
      </c>
      <c r="L795" s="62" t="str">
        <f t="shared" si="56"/>
        <v/>
      </c>
      <c r="M795" s="63"/>
    </row>
    <row r="796" spans="2:13" s="46" customFormat="1" ht="15">
      <c r="B796" s="534">
        <f t="shared" si="53"/>
        <v>789</v>
      </c>
      <c r="C796" s="69" t="s">
        <v>2670</v>
      </c>
      <c r="D796" s="69" t="s">
        <v>2282</v>
      </c>
      <c r="E796" s="70" t="str">
        <f>VLOOKUP(F796,購入者リスト!B:F,4,FALSE)</f>
        <v>多肉 ちょこん入り 7種セット 抜き苗</v>
      </c>
      <c r="F796" s="69">
        <v>50</v>
      </c>
      <c r="G796" s="71" t="str">
        <f>VLOOKUP(F796,購入者リスト!B:M,12,FALSE)</f>
        <v>25/09/12</v>
      </c>
      <c r="H796" s="70" t="s">
        <v>27</v>
      </c>
      <c r="I796" s="73" t="str">
        <f t="shared" si="54"/>
        <v/>
      </c>
      <c r="J796" s="74"/>
      <c r="K796" s="74">
        <f t="shared" si="55"/>
        <v>0</v>
      </c>
      <c r="L796" s="73">
        <f t="shared" si="56"/>
        <v>236.36363636363649</v>
      </c>
      <c r="M796" s="74">
        <f>VLOOKUP(F796,購入者リスト!B:F,5,FALSE)</f>
        <v>2600</v>
      </c>
    </row>
    <row r="797" spans="2:13" s="46" customFormat="1" ht="15">
      <c r="B797" s="534">
        <f t="shared" si="53"/>
        <v>790</v>
      </c>
      <c r="C797" s="69" t="s">
        <v>2671</v>
      </c>
      <c r="D797" s="69" t="s">
        <v>2672</v>
      </c>
      <c r="E797" s="70" t="s">
        <v>2673</v>
      </c>
      <c r="F797" s="72"/>
      <c r="G797" s="71" t="str">
        <f>G796</f>
        <v>25/09/12</v>
      </c>
      <c r="H797" s="70" t="s">
        <v>27</v>
      </c>
      <c r="I797" s="73">
        <f t="shared" si="54"/>
        <v>23.636363636363654</v>
      </c>
      <c r="J797" s="74">
        <f>M796*0.1</f>
        <v>260</v>
      </c>
      <c r="K797" s="74">
        <f t="shared" si="55"/>
        <v>260</v>
      </c>
      <c r="L797" s="73" t="str">
        <f t="shared" si="56"/>
        <v/>
      </c>
      <c r="M797" s="74"/>
    </row>
    <row r="798" spans="2:13" s="46" customFormat="1" ht="15">
      <c r="B798" s="534">
        <f t="shared" si="53"/>
        <v>791</v>
      </c>
      <c r="C798" s="56" t="s">
        <v>2342</v>
      </c>
      <c r="D798" s="56" t="s">
        <v>2693</v>
      </c>
      <c r="E798" s="57" t="s">
        <v>2694</v>
      </c>
      <c r="F798" s="64">
        <v>214.5</v>
      </c>
      <c r="G798" s="59">
        <v>45916</v>
      </c>
      <c r="H798" s="57" t="s">
        <v>2695</v>
      </c>
      <c r="I798" s="62">
        <f t="shared" si="54"/>
        <v>21.818181818181841</v>
      </c>
      <c r="J798" s="63">
        <f>IF(F798&lt;=150,170,IF(F798&lt;=200,210,IF(F798&lt;=250,240,290)))</f>
        <v>240</v>
      </c>
      <c r="K798" s="63">
        <f t="shared" si="55"/>
        <v>240</v>
      </c>
      <c r="L798" s="62" t="str">
        <f t="shared" si="56"/>
        <v/>
      </c>
      <c r="M798" s="63"/>
    </row>
    <row r="799" spans="2:13" s="46" customFormat="1" ht="15">
      <c r="B799" s="534">
        <f t="shared" si="53"/>
        <v>792</v>
      </c>
      <c r="C799" s="56" t="s">
        <v>2909</v>
      </c>
      <c r="D799" s="56" t="s">
        <v>2910</v>
      </c>
      <c r="E799" s="57" t="s">
        <v>2911</v>
      </c>
      <c r="F799" s="58"/>
      <c r="G799" s="59">
        <v>45917</v>
      </c>
      <c r="H799" s="57" t="s">
        <v>90</v>
      </c>
      <c r="I799" s="62">
        <f t="shared" si="54"/>
        <v>300.00000000000045</v>
      </c>
      <c r="J799" s="63">
        <v>3300</v>
      </c>
      <c r="K799" s="63">
        <f t="shared" si="55"/>
        <v>3300</v>
      </c>
      <c r="L799" s="62" t="str">
        <f t="shared" si="56"/>
        <v/>
      </c>
      <c r="M799" s="63"/>
    </row>
    <row r="800" spans="2:13" s="46" customFormat="1" ht="15">
      <c r="B800" s="534">
        <f t="shared" si="53"/>
        <v>793</v>
      </c>
      <c r="C800" s="56" t="s">
        <v>2909</v>
      </c>
      <c r="D800" s="56" t="s">
        <v>2910</v>
      </c>
      <c r="E800" s="57" t="s">
        <v>2912</v>
      </c>
      <c r="F800" s="58"/>
      <c r="G800" s="59">
        <v>45917</v>
      </c>
      <c r="H800" s="57" t="s">
        <v>90</v>
      </c>
      <c r="I800" s="62">
        <f t="shared" si="54"/>
        <v>160.00000000000023</v>
      </c>
      <c r="J800" s="63">
        <v>1760</v>
      </c>
      <c r="K800" s="63">
        <f t="shared" si="55"/>
        <v>1760</v>
      </c>
      <c r="L800" s="62" t="str">
        <f t="shared" si="56"/>
        <v/>
      </c>
      <c r="M800" s="63"/>
    </row>
    <row r="801" spans="2:13" s="46" customFormat="1" ht="15">
      <c r="B801" s="534">
        <f t="shared" si="53"/>
        <v>794</v>
      </c>
      <c r="C801" s="56" t="s">
        <v>2909</v>
      </c>
      <c r="D801" s="56" t="s">
        <v>2910</v>
      </c>
      <c r="E801" s="57" t="s">
        <v>2913</v>
      </c>
      <c r="F801" s="58"/>
      <c r="G801" s="59">
        <v>45917</v>
      </c>
      <c r="H801" s="57" t="s">
        <v>90</v>
      </c>
      <c r="I801" s="62">
        <f t="shared" si="54"/>
        <v>230</v>
      </c>
      <c r="J801" s="63">
        <v>2530</v>
      </c>
      <c r="K801" s="63">
        <f t="shared" si="55"/>
        <v>2530</v>
      </c>
      <c r="L801" s="62" t="str">
        <f t="shared" si="56"/>
        <v/>
      </c>
      <c r="M801" s="63"/>
    </row>
    <row r="802" spans="2:13" s="46" customFormat="1" ht="15">
      <c r="B802" s="534">
        <f t="shared" si="53"/>
        <v>795</v>
      </c>
      <c r="C802" s="56" t="s">
        <v>2342</v>
      </c>
      <c r="D802" s="56" t="s">
        <v>2693</v>
      </c>
      <c r="E802" s="57" t="s">
        <v>2914</v>
      </c>
      <c r="F802" s="58"/>
      <c r="G802" s="59">
        <v>45917</v>
      </c>
      <c r="H802" s="57" t="s">
        <v>90</v>
      </c>
      <c r="I802" s="62">
        <f t="shared" si="54"/>
        <v>80.000000000000114</v>
      </c>
      <c r="J802" s="63">
        <v>880</v>
      </c>
      <c r="K802" s="63">
        <f t="shared" si="55"/>
        <v>880</v>
      </c>
      <c r="L802" s="62" t="str">
        <f t="shared" si="56"/>
        <v/>
      </c>
      <c r="M802" s="63"/>
    </row>
    <row r="803" spans="2:13" s="46" customFormat="1" ht="15">
      <c r="B803" s="534">
        <f t="shared" si="53"/>
        <v>796</v>
      </c>
      <c r="C803" s="56" t="s">
        <v>2262</v>
      </c>
      <c r="D803" s="56" t="s">
        <v>2845</v>
      </c>
      <c r="E803" s="57" t="s">
        <v>2915</v>
      </c>
      <c r="F803" s="58"/>
      <c r="G803" s="59">
        <v>45918</v>
      </c>
      <c r="H803" s="57" t="s">
        <v>2307</v>
      </c>
      <c r="I803" s="62">
        <f t="shared" si="54"/>
        <v>254.4545454545455</v>
      </c>
      <c r="J803" s="63">
        <v>2799</v>
      </c>
      <c r="K803" s="63">
        <f t="shared" si="55"/>
        <v>2799</v>
      </c>
      <c r="L803" s="62" t="str">
        <f t="shared" si="56"/>
        <v/>
      </c>
      <c r="M803" s="63"/>
    </row>
    <row r="804" spans="2:13" s="46" customFormat="1" ht="15">
      <c r="B804" s="534">
        <f t="shared" si="53"/>
        <v>797</v>
      </c>
      <c r="C804" s="56" t="s">
        <v>2262</v>
      </c>
      <c r="D804" s="56" t="s">
        <v>2276</v>
      </c>
      <c r="E804" s="57" t="s">
        <v>2475</v>
      </c>
      <c r="F804" s="58" t="s">
        <v>2377</v>
      </c>
      <c r="G804" s="59">
        <v>45918</v>
      </c>
      <c r="H804" s="57" t="s">
        <v>2307</v>
      </c>
      <c r="I804" s="62">
        <f t="shared" si="54"/>
        <v>250.90909090909099</v>
      </c>
      <c r="J804" s="63">
        <v>2760</v>
      </c>
      <c r="K804" s="63">
        <f t="shared" si="55"/>
        <v>2760</v>
      </c>
      <c r="L804" s="62" t="str">
        <f t="shared" si="56"/>
        <v/>
      </c>
      <c r="M804" s="63"/>
    </row>
    <row r="805" spans="2:13" s="46" customFormat="1" ht="15">
      <c r="B805" s="534">
        <f t="shared" si="53"/>
        <v>798</v>
      </c>
      <c r="C805" s="56" t="s">
        <v>2281</v>
      </c>
      <c r="D805" s="56" t="s">
        <v>2282</v>
      </c>
      <c r="E805" s="57" t="s">
        <v>156</v>
      </c>
      <c r="F805" s="64"/>
      <c r="G805" s="59">
        <v>45919</v>
      </c>
      <c r="H805" s="57" t="s">
        <v>96</v>
      </c>
      <c r="I805" s="62">
        <f t="shared" si="54"/>
        <v>350.00000000000045</v>
      </c>
      <c r="J805" s="63">
        <v>3850</v>
      </c>
      <c r="K805" s="63">
        <f t="shared" si="55"/>
        <v>3850</v>
      </c>
      <c r="L805" s="62" t="str">
        <f t="shared" si="56"/>
        <v/>
      </c>
      <c r="M805" s="63"/>
    </row>
    <row r="806" spans="2:13" s="46" customFormat="1" ht="15">
      <c r="B806" s="534">
        <f t="shared" si="53"/>
        <v>799</v>
      </c>
      <c r="C806" s="56" t="s">
        <v>2342</v>
      </c>
      <c r="D806" s="56" t="s">
        <v>2693</v>
      </c>
      <c r="E806" s="57" t="s">
        <v>2914</v>
      </c>
      <c r="F806" s="58"/>
      <c r="G806" s="59">
        <v>45919</v>
      </c>
      <c r="H806" s="57" t="s">
        <v>96</v>
      </c>
      <c r="I806" s="62">
        <f t="shared" si="54"/>
        <v>90.000000000000114</v>
      </c>
      <c r="J806" s="63">
        <v>990</v>
      </c>
      <c r="K806" s="63">
        <f t="shared" si="55"/>
        <v>990</v>
      </c>
      <c r="L806" s="62" t="str">
        <f t="shared" si="56"/>
        <v/>
      </c>
      <c r="M806" s="63"/>
    </row>
    <row r="807" spans="2:13" s="46" customFormat="1" ht="15">
      <c r="B807" s="534">
        <f t="shared" si="53"/>
        <v>800</v>
      </c>
      <c r="C807" s="56" t="s">
        <v>2671</v>
      </c>
      <c r="D807" s="56" t="s">
        <v>2672</v>
      </c>
      <c r="E807" s="57" t="s">
        <v>2916</v>
      </c>
      <c r="F807" s="58"/>
      <c r="G807" s="59">
        <v>45919</v>
      </c>
      <c r="H807" s="57" t="s">
        <v>96</v>
      </c>
      <c r="I807" s="62">
        <f t="shared" si="54"/>
        <v>27.272727272727309</v>
      </c>
      <c r="J807" s="63">
        <v>300</v>
      </c>
      <c r="K807" s="63">
        <f t="shared" si="55"/>
        <v>300</v>
      </c>
      <c r="L807" s="62" t="str">
        <f t="shared" si="56"/>
        <v/>
      </c>
      <c r="M807" s="63"/>
    </row>
    <row r="808" spans="2:13" s="46" customFormat="1" ht="15">
      <c r="B808" s="534">
        <f t="shared" si="53"/>
        <v>801</v>
      </c>
      <c r="C808" s="56" t="s">
        <v>2281</v>
      </c>
      <c r="D808" s="56" t="s">
        <v>2282</v>
      </c>
      <c r="E808" s="57"/>
      <c r="F808" s="64"/>
      <c r="G808" s="59">
        <v>45921</v>
      </c>
      <c r="H808" s="57" t="s">
        <v>2297</v>
      </c>
      <c r="I808" s="62">
        <f t="shared" si="54"/>
        <v>327.27272727272748</v>
      </c>
      <c r="J808" s="63">
        <v>3600</v>
      </c>
      <c r="K808" s="63">
        <f t="shared" si="55"/>
        <v>3600</v>
      </c>
      <c r="L808" s="62" t="str">
        <f t="shared" si="56"/>
        <v/>
      </c>
      <c r="M808" s="63"/>
    </row>
    <row r="809" spans="2:13" s="46" customFormat="1" ht="15">
      <c r="B809" s="534">
        <f t="shared" si="53"/>
        <v>802</v>
      </c>
      <c r="C809" s="56" t="s">
        <v>2262</v>
      </c>
      <c r="D809" s="56" t="s">
        <v>2266</v>
      </c>
      <c r="E809" s="57" t="s">
        <v>2298</v>
      </c>
      <c r="F809" s="64" t="s">
        <v>2299</v>
      </c>
      <c r="G809" s="59">
        <v>45921</v>
      </c>
      <c r="H809" s="57" t="s">
        <v>2297</v>
      </c>
      <c r="I809" s="62">
        <f t="shared" si="54"/>
        <v>34.545454545454561</v>
      </c>
      <c r="J809" s="63">
        <v>380</v>
      </c>
      <c r="K809" s="63">
        <f t="shared" si="55"/>
        <v>380</v>
      </c>
      <c r="L809" s="62" t="str">
        <f t="shared" si="56"/>
        <v/>
      </c>
      <c r="M809" s="63"/>
    </row>
    <row r="810" spans="2:13" s="46" customFormat="1" ht="15">
      <c r="B810" s="534">
        <f t="shared" si="53"/>
        <v>803</v>
      </c>
      <c r="C810" s="56" t="s">
        <v>2262</v>
      </c>
      <c r="D810" s="56" t="s">
        <v>2605</v>
      </c>
      <c r="E810" s="57" t="s">
        <v>2917</v>
      </c>
      <c r="F810" s="58"/>
      <c r="G810" s="59">
        <v>45921</v>
      </c>
      <c r="H810" s="57" t="s">
        <v>2265</v>
      </c>
      <c r="I810" s="62">
        <f t="shared" si="54"/>
        <v>20.000000000000028</v>
      </c>
      <c r="J810" s="63">
        <v>220</v>
      </c>
      <c r="K810" s="63">
        <f t="shared" si="55"/>
        <v>220</v>
      </c>
      <c r="L810" s="62" t="str">
        <f t="shared" si="56"/>
        <v/>
      </c>
      <c r="M810" s="63"/>
    </row>
    <row r="811" spans="2:13" s="46" customFormat="1" ht="15">
      <c r="B811" s="534">
        <f t="shared" si="53"/>
        <v>804</v>
      </c>
      <c r="C811" s="56" t="s">
        <v>2262</v>
      </c>
      <c r="D811" s="56" t="s">
        <v>2295</v>
      </c>
      <c r="E811" s="57" t="s">
        <v>2918</v>
      </c>
      <c r="F811" s="58" t="s">
        <v>2304</v>
      </c>
      <c r="G811" s="59">
        <v>45921</v>
      </c>
      <c r="H811" s="57" t="s">
        <v>2265</v>
      </c>
      <c r="I811" s="62">
        <f t="shared" si="54"/>
        <v>30</v>
      </c>
      <c r="J811" s="63">
        <v>330</v>
      </c>
      <c r="K811" s="63">
        <f t="shared" si="55"/>
        <v>330</v>
      </c>
      <c r="L811" s="62" t="str">
        <f t="shared" si="56"/>
        <v/>
      </c>
      <c r="M811" s="63"/>
    </row>
    <row r="812" spans="2:13" s="46" customFormat="1" ht="15">
      <c r="B812" s="534">
        <f t="shared" si="53"/>
        <v>805</v>
      </c>
      <c r="C812" s="56" t="s">
        <v>2262</v>
      </c>
      <c r="D812" s="56" t="s">
        <v>2295</v>
      </c>
      <c r="E812" s="57" t="s">
        <v>2919</v>
      </c>
      <c r="F812" s="58" t="s">
        <v>2304</v>
      </c>
      <c r="G812" s="59">
        <v>45921</v>
      </c>
      <c r="H812" s="57" t="s">
        <v>2265</v>
      </c>
      <c r="I812" s="62">
        <f t="shared" si="54"/>
        <v>30</v>
      </c>
      <c r="J812" s="63">
        <v>330</v>
      </c>
      <c r="K812" s="63">
        <f t="shared" si="55"/>
        <v>330</v>
      </c>
      <c r="L812" s="62" t="str">
        <f t="shared" si="56"/>
        <v/>
      </c>
      <c r="M812" s="63"/>
    </row>
    <row r="813" spans="2:13" s="46" customFormat="1" ht="15">
      <c r="B813" s="534">
        <f t="shared" si="53"/>
        <v>806</v>
      </c>
      <c r="C813" s="56" t="s">
        <v>2262</v>
      </c>
      <c r="D813" s="56" t="s">
        <v>2295</v>
      </c>
      <c r="E813" s="57" t="s">
        <v>2920</v>
      </c>
      <c r="F813" s="58" t="s">
        <v>2304</v>
      </c>
      <c r="G813" s="59">
        <v>45921</v>
      </c>
      <c r="H813" s="57" t="s">
        <v>2265</v>
      </c>
      <c r="I813" s="62">
        <f t="shared" si="54"/>
        <v>30</v>
      </c>
      <c r="J813" s="63">
        <v>330</v>
      </c>
      <c r="K813" s="63">
        <f t="shared" si="55"/>
        <v>330</v>
      </c>
      <c r="L813" s="62" t="str">
        <f t="shared" si="56"/>
        <v/>
      </c>
      <c r="M813" s="63"/>
    </row>
    <row r="814" spans="2:13" s="46" customFormat="1" ht="15">
      <c r="B814" s="534">
        <f t="shared" si="53"/>
        <v>807</v>
      </c>
      <c r="C814" s="56" t="s">
        <v>2262</v>
      </c>
      <c r="D814" s="56" t="s">
        <v>2796</v>
      </c>
      <c r="E814" s="57" t="s">
        <v>2921</v>
      </c>
      <c r="F814" s="58"/>
      <c r="G814" s="59">
        <v>45921</v>
      </c>
      <c r="H814" s="57" t="s">
        <v>2265</v>
      </c>
      <c r="I814" s="62">
        <f t="shared" si="54"/>
        <v>10.000000000000014</v>
      </c>
      <c r="J814" s="63">
        <v>110</v>
      </c>
      <c r="K814" s="63">
        <f t="shared" si="55"/>
        <v>110</v>
      </c>
      <c r="L814" s="62" t="str">
        <f t="shared" si="56"/>
        <v/>
      </c>
      <c r="M814" s="63"/>
    </row>
    <row r="815" spans="2:13" s="46" customFormat="1" ht="15">
      <c r="B815" s="534">
        <f t="shared" si="53"/>
        <v>808</v>
      </c>
      <c r="C815" s="56" t="s">
        <v>2262</v>
      </c>
      <c r="D815" s="56" t="s">
        <v>2383</v>
      </c>
      <c r="E815" s="57" t="s">
        <v>2384</v>
      </c>
      <c r="F815" s="58"/>
      <c r="G815" s="59">
        <v>45921</v>
      </c>
      <c r="H815" s="57" t="s">
        <v>2265</v>
      </c>
      <c r="I815" s="62">
        <f t="shared" si="54"/>
        <v>10.000000000000014</v>
      </c>
      <c r="J815" s="63">
        <v>110</v>
      </c>
      <c r="K815" s="63">
        <f t="shared" si="55"/>
        <v>110</v>
      </c>
      <c r="L815" s="62" t="str">
        <f t="shared" si="56"/>
        <v/>
      </c>
      <c r="M815" s="63"/>
    </row>
    <row r="816" spans="2:13" s="46" customFormat="1" ht="15">
      <c r="B816" s="534">
        <f t="shared" si="53"/>
        <v>809</v>
      </c>
      <c r="C816" s="56" t="s">
        <v>2262</v>
      </c>
      <c r="D816" s="56" t="s">
        <v>2640</v>
      </c>
      <c r="E816" s="57" t="s">
        <v>2922</v>
      </c>
      <c r="F816" s="58"/>
      <c r="G816" s="59">
        <v>45921</v>
      </c>
      <c r="H816" s="57" t="s">
        <v>2265</v>
      </c>
      <c r="I816" s="62">
        <f t="shared" si="54"/>
        <v>10.000000000000014</v>
      </c>
      <c r="J816" s="63">
        <v>110</v>
      </c>
      <c r="K816" s="63">
        <f t="shared" si="55"/>
        <v>110</v>
      </c>
      <c r="L816" s="62" t="str">
        <f t="shared" si="56"/>
        <v/>
      </c>
      <c r="M816" s="63"/>
    </row>
    <row r="817" spans="2:13" s="46" customFormat="1" ht="15">
      <c r="B817" s="534">
        <f t="shared" ref="B817:B880" si="57">ROW()-7</f>
        <v>810</v>
      </c>
      <c r="C817" s="56" t="s">
        <v>2262</v>
      </c>
      <c r="D817" s="56" t="s">
        <v>2923</v>
      </c>
      <c r="E817" s="57" t="s">
        <v>2924</v>
      </c>
      <c r="F817" s="58"/>
      <c r="G817" s="59">
        <v>45921</v>
      </c>
      <c r="H817" s="57" t="s">
        <v>2265</v>
      </c>
      <c r="I817" s="62">
        <f t="shared" ref="I817:I880" si="58">IF(J817&lt;&gt;"",J817-J817/1.1,"")</f>
        <v>10.000000000000014</v>
      </c>
      <c r="J817" s="63">
        <v>110</v>
      </c>
      <c r="K817" s="63">
        <f t="shared" ref="K817:K880" si="59">IF(N817="",J817,0)</f>
        <v>110</v>
      </c>
      <c r="L817" s="62" t="str">
        <f t="shared" ref="L817:L880" si="60">IF(M817&lt;&gt;"",M817-M817/1.1,"")</f>
        <v/>
      </c>
      <c r="M817" s="63"/>
    </row>
    <row r="818" spans="2:13" s="46" customFormat="1" ht="15">
      <c r="B818" s="534">
        <f t="shared" si="57"/>
        <v>811</v>
      </c>
      <c r="C818" s="56" t="s">
        <v>2262</v>
      </c>
      <c r="D818" s="56" t="s">
        <v>2285</v>
      </c>
      <c r="E818" s="57" t="s">
        <v>2925</v>
      </c>
      <c r="F818" s="58" t="s">
        <v>2271</v>
      </c>
      <c r="G818" s="59">
        <v>45921</v>
      </c>
      <c r="H818" s="57" t="s">
        <v>2265</v>
      </c>
      <c r="I818" s="62">
        <f t="shared" si="58"/>
        <v>20.000000000000028</v>
      </c>
      <c r="J818" s="63">
        <v>220</v>
      </c>
      <c r="K818" s="63">
        <f t="shared" si="59"/>
        <v>220</v>
      </c>
      <c r="L818" s="62" t="str">
        <f t="shared" si="60"/>
        <v/>
      </c>
      <c r="M818" s="63"/>
    </row>
    <row r="819" spans="2:13" s="46" customFormat="1" ht="15">
      <c r="B819" s="534">
        <f t="shared" si="57"/>
        <v>812</v>
      </c>
      <c r="C819" s="69" t="s">
        <v>2670</v>
      </c>
      <c r="D819" s="69" t="s">
        <v>2282</v>
      </c>
      <c r="E819" s="70" t="str">
        <f>VLOOKUP(F819,購入者リスト!B:F,4,FALSE)</f>
        <v>多肉 ぺったん入り 7種セット B 抜き苗</v>
      </c>
      <c r="F819" s="69">
        <v>54</v>
      </c>
      <c r="G819" s="71" t="str">
        <f>VLOOKUP(F819,購入者リスト!B:M,12,FALSE)</f>
        <v>25/09/11</v>
      </c>
      <c r="H819" s="70" t="s">
        <v>27</v>
      </c>
      <c r="I819" s="73" t="str">
        <f t="shared" si="58"/>
        <v/>
      </c>
      <c r="J819" s="74"/>
      <c r="K819" s="74">
        <f t="shared" si="59"/>
        <v>0</v>
      </c>
      <c r="L819" s="73">
        <f t="shared" si="60"/>
        <v>200.00000000000023</v>
      </c>
      <c r="M819" s="74">
        <f>VLOOKUP(F819,購入者リスト!B:F,5,FALSE)</f>
        <v>2200</v>
      </c>
    </row>
    <row r="820" spans="2:13" s="46" customFormat="1" ht="15">
      <c r="B820" s="534">
        <f t="shared" si="57"/>
        <v>813</v>
      </c>
      <c r="C820" s="69" t="s">
        <v>2671</v>
      </c>
      <c r="D820" s="69" t="s">
        <v>2672</v>
      </c>
      <c r="E820" s="70" t="s">
        <v>2673</v>
      </c>
      <c r="F820" s="72"/>
      <c r="G820" s="71" t="str">
        <f>G819</f>
        <v>25/09/11</v>
      </c>
      <c r="H820" s="70" t="s">
        <v>27</v>
      </c>
      <c r="I820" s="73">
        <f t="shared" si="58"/>
        <v>20.000000000000028</v>
      </c>
      <c r="J820" s="74">
        <f>M819*0.1</f>
        <v>220</v>
      </c>
      <c r="K820" s="74">
        <f t="shared" si="59"/>
        <v>220</v>
      </c>
      <c r="L820" s="73" t="str">
        <f t="shared" si="60"/>
        <v/>
      </c>
      <c r="M820" s="74"/>
    </row>
    <row r="821" spans="2:13" s="46" customFormat="1" ht="15.5" customHeight="1">
      <c r="B821" s="534">
        <f t="shared" si="57"/>
        <v>814</v>
      </c>
      <c r="C821" s="56" t="s">
        <v>2342</v>
      </c>
      <c r="D821" s="56" t="s">
        <v>2693</v>
      </c>
      <c r="E821" s="57" t="s">
        <v>2694</v>
      </c>
      <c r="F821" s="64">
        <v>235.5</v>
      </c>
      <c r="G821" s="59">
        <v>45926</v>
      </c>
      <c r="H821" s="57" t="s">
        <v>2695</v>
      </c>
      <c r="I821" s="62">
        <f t="shared" si="58"/>
        <v>21.818181818181841</v>
      </c>
      <c r="J821" s="63">
        <f>IF(F821&lt;=150,170,IF(F821&lt;=200,210,IF(F821&lt;=250,240,290)))</f>
        <v>240</v>
      </c>
      <c r="K821" s="63">
        <f t="shared" si="59"/>
        <v>240</v>
      </c>
      <c r="L821" s="62" t="str">
        <f t="shared" si="60"/>
        <v/>
      </c>
      <c r="M821" s="63"/>
    </row>
    <row r="822" spans="2:13" s="46" customFormat="1" ht="15">
      <c r="B822" s="534">
        <f t="shared" si="57"/>
        <v>815</v>
      </c>
      <c r="C822" s="56" t="s">
        <v>2281</v>
      </c>
      <c r="D822" s="56" t="s">
        <v>2282</v>
      </c>
      <c r="E822" s="57" t="s">
        <v>2926</v>
      </c>
      <c r="F822" s="64" t="s">
        <v>2461</v>
      </c>
      <c r="G822" s="59">
        <v>45928</v>
      </c>
      <c r="H822" s="57" t="s">
        <v>81</v>
      </c>
      <c r="I822" s="62">
        <f t="shared" si="58"/>
        <v>123.63636363636374</v>
      </c>
      <c r="J822" s="63">
        <v>1360</v>
      </c>
      <c r="K822" s="63">
        <f t="shared" si="59"/>
        <v>1360</v>
      </c>
      <c r="L822" s="62" t="str">
        <f t="shared" si="60"/>
        <v/>
      </c>
      <c r="M822" s="63"/>
    </row>
    <row r="823" spans="2:13" s="46" customFormat="1" ht="15">
      <c r="B823" s="534">
        <f t="shared" si="57"/>
        <v>816</v>
      </c>
      <c r="C823" s="56" t="s">
        <v>2262</v>
      </c>
      <c r="D823" s="56" t="s">
        <v>2276</v>
      </c>
      <c r="E823" s="57" t="s">
        <v>2927</v>
      </c>
      <c r="F823" s="58" t="s">
        <v>2271</v>
      </c>
      <c r="G823" s="59">
        <v>45928</v>
      </c>
      <c r="H823" s="57" t="s">
        <v>2715</v>
      </c>
      <c r="I823" s="62">
        <f t="shared" si="58"/>
        <v>41.81818181818187</v>
      </c>
      <c r="J823" s="63">
        <v>460</v>
      </c>
      <c r="K823" s="63">
        <f t="shared" si="59"/>
        <v>460</v>
      </c>
      <c r="L823" s="62" t="str">
        <f t="shared" si="60"/>
        <v/>
      </c>
      <c r="M823" s="63"/>
    </row>
    <row r="824" spans="2:13" s="46" customFormat="1" ht="15">
      <c r="B824" s="534">
        <f t="shared" si="57"/>
        <v>817</v>
      </c>
      <c r="C824" s="56" t="s">
        <v>2262</v>
      </c>
      <c r="D824" s="56" t="s">
        <v>2276</v>
      </c>
      <c r="E824" s="57" t="s">
        <v>2928</v>
      </c>
      <c r="F824" s="58"/>
      <c r="G824" s="59">
        <v>45928</v>
      </c>
      <c r="H824" s="57" t="s">
        <v>598</v>
      </c>
      <c r="I824" s="62">
        <f t="shared" si="58"/>
        <v>72.545454545454618</v>
      </c>
      <c r="J824" s="63">
        <v>798</v>
      </c>
      <c r="K824" s="63">
        <f t="shared" si="59"/>
        <v>798</v>
      </c>
      <c r="L824" s="62" t="str">
        <f t="shared" si="60"/>
        <v/>
      </c>
      <c r="M824" s="63"/>
    </row>
    <row r="825" spans="2:13" s="46" customFormat="1" ht="15">
      <c r="B825" s="534">
        <f t="shared" si="57"/>
        <v>818</v>
      </c>
      <c r="C825" s="56" t="s">
        <v>2262</v>
      </c>
      <c r="D825" s="56" t="s">
        <v>2295</v>
      </c>
      <c r="E825" s="57" t="s">
        <v>2929</v>
      </c>
      <c r="F825" s="58" t="s">
        <v>2271</v>
      </c>
      <c r="G825" s="59">
        <v>45928</v>
      </c>
      <c r="H825" s="57" t="s">
        <v>598</v>
      </c>
      <c r="I825" s="62">
        <f t="shared" si="58"/>
        <v>14.181818181818187</v>
      </c>
      <c r="J825" s="63">
        <v>156</v>
      </c>
      <c r="K825" s="63">
        <f t="shared" si="59"/>
        <v>156</v>
      </c>
      <c r="L825" s="62" t="str">
        <f t="shared" si="60"/>
        <v/>
      </c>
      <c r="M825" s="63"/>
    </row>
    <row r="826" spans="2:13" s="46" customFormat="1" ht="15">
      <c r="B826" s="534">
        <f t="shared" si="57"/>
        <v>819</v>
      </c>
      <c r="C826" s="69" t="s">
        <v>2670</v>
      </c>
      <c r="D826" s="69" t="s">
        <v>2282</v>
      </c>
      <c r="E826" s="70" t="str">
        <f>VLOOKUP(F826,購入者リスト!B:F,4,FALSE)</f>
        <v>多肉 ぺったん入り 7種セット A 抜き苗</v>
      </c>
      <c r="F826" s="69">
        <v>53</v>
      </c>
      <c r="G826" s="71" t="str">
        <f>VLOOKUP(F826,購入者リスト!B:M,12,FALSE)</f>
        <v>25/09/22</v>
      </c>
      <c r="H826" s="70" t="s">
        <v>27</v>
      </c>
      <c r="I826" s="73" t="str">
        <f t="shared" si="58"/>
        <v/>
      </c>
      <c r="J826" s="74"/>
      <c r="K826" s="74">
        <f t="shared" si="59"/>
        <v>0</v>
      </c>
      <c r="L826" s="73">
        <f t="shared" si="60"/>
        <v>200.00000000000023</v>
      </c>
      <c r="M826" s="74">
        <f>VLOOKUP(F826,購入者リスト!B:F,5,FALSE)</f>
        <v>2200</v>
      </c>
    </row>
    <row r="827" spans="2:13" s="46" customFormat="1" ht="15">
      <c r="B827" s="534">
        <f t="shared" si="57"/>
        <v>820</v>
      </c>
      <c r="C827" s="69" t="s">
        <v>2671</v>
      </c>
      <c r="D827" s="69" t="s">
        <v>2672</v>
      </c>
      <c r="E827" s="70" t="s">
        <v>2673</v>
      </c>
      <c r="F827" s="72"/>
      <c r="G827" s="71" t="str">
        <f>G826</f>
        <v>25/09/22</v>
      </c>
      <c r="H827" s="70" t="s">
        <v>27</v>
      </c>
      <c r="I827" s="73">
        <f t="shared" si="58"/>
        <v>20.000000000000028</v>
      </c>
      <c r="J827" s="74">
        <f>M826*0.1</f>
        <v>220</v>
      </c>
      <c r="K827" s="74">
        <f t="shared" si="59"/>
        <v>220</v>
      </c>
      <c r="L827" s="73" t="str">
        <f t="shared" si="60"/>
        <v/>
      </c>
      <c r="M827" s="74"/>
    </row>
    <row r="828" spans="2:13" s="46" customFormat="1" ht="15">
      <c r="B828" s="534">
        <f t="shared" si="57"/>
        <v>821</v>
      </c>
      <c r="C828" s="56" t="s">
        <v>2281</v>
      </c>
      <c r="D828" s="56" t="s">
        <v>2282</v>
      </c>
      <c r="E828" s="57" t="s">
        <v>2930</v>
      </c>
      <c r="F828" s="64" t="s">
        <v>2304</v>
      </c>
      <c r="G828" s="59">
        <v>45935</v>
      </c>
      <c r="H828" s="57" t="s">
        <v>2297</v>
      </c>
      <c r="I828" s="62">
        <f t="shared" si="58"/>
        <v>195.45454545454572</v>
      </c>
      <c r="J828" s="63">
        <v>2150</v>
      </c>
      <c r="K828" s="63">
        <f t="shared" si="59"/>
        <v>2150</v>
      </c>
      <c r="L828" s="62" t="str">
        <f t="shared" si="60"/>
        <v/>
      </c>
      <c r="M828" s="63"/>
    </row>
    <row r="829" spans="2:13" s="46" customFormat="1" ht="15">
      <c r="B829" s="534">
        <f t="shared" si="57"/>
        <v>822</v>
      </c>
      <c r="C829" s="56" t="s">
        <v>2281</v>
      </c>
      <c r="D829" s="56" t="s">
        <v>2282</v>
      </c>
      <c r="E829" s="57" t="s">
        <v>2931</v>
      </c>
      <c r="F829" s="64" t="s">
        <v>2304</v>
      </c>
      <c r="G829" s="59">
        <v>45935</v>
      </c>
      <c r="H829" s="57" t="s">
        <v>48</v>
      </c>
      <c r="I829" s="62">
        <f t="shared" si="58"/>
        <v>727.27272727272793</v>
      </c>
      <c r="J829" s="63">
        <v>8000</v>
      </c>
      <c r="K829" s="63">
        <f t="shared" si="59"/>
        <v>8000</v>
      </c>
      <c r="L829" s="62" t="str">
        <f t="shared" si="60"/>
        <v/>
      </c>
      <c r="M829" s="63"/>
    </row>
    <row r="830" spans="2:13" s="46" customFormat="1" ht="15">
      <c r="B830" s="534">
        <f t="shared" si="57"/>
        <v>823</v>
      </c>
      <c r="C830" s="56" t="s">
        <v>2342</v>
      </c>
      <c r="D830" s="56" t="s">
        <v>2932</v>
      </c>
      <c r="E830" s="57" t="s">
        <v>2933</v>
      </c>
      <c r="F830" s="64"/>
      <c r="G830" s="59">
        <v>45935</v>
      </c>
      <c r="H830" s="57" t="s">
        <v>48</v>
      </c>
      <c r="I830" s="62">
        <f t="shared" si="58"/>
        <v>90.909090909090992</v>
      </c>
      <c r="J830" s="63">
        <v>1000</v>
      </c>
      <c r="K830" s="63">
        <f t="shared" si="59"/>
        <v>1000</v>
      </c>
      <c r="L830" s="62" t="str">
        <f t="shared" si="60"/>
        <v/>
      </c>
      <c r="M830" s="63"/>
    </row>
    <row r="831" spans="2:13" s="46" customFormat="1" ht="15">
      <c r="B831" s="534">
        <f t="shared" si="57"/>
        <v>824</v>
      </c>
      <c r="C831" s="56" t="s">
        <v>2342</v>
      </c>
      <c r="D831" s="56" t="s">
        <v>2693</v>
      </c>
      <c r="E831" s="57" t="s">
        <v>2694</v>
      </c>
      <c r="F831" s="64">
        <v>586</v>
      </c>
      <c r="G831" s="59">
        <v>45936</v>
      </c>
      <c r="H831" s="57" t="s">
        <v>2695</v>
      </c>
      <c r="I831" s="62">
        <f t="shared" si="58"/>
        <v>35.81818181818187</v>
      </c>
      <c r="J831" s="63">
        <v>394</v>
      </c>
      <c r="K831" s="63">
        <f t="shared" si="59"/>
        <v>394</v>
      </c>
      <c r="L831" s="62" t="str">
        <f t="shared" si="60"/>
        <v/>
      </c>
      <c r="M831" s="63"/>
    </row>
    <row r="832" spans="2:13" s="46" customFormat="1" ht="15">
      <c r="B832" s="534">
        <f t="shared" si="57"/>
        <v>825</v>
      </c>
      <c r="C832" s="56" t="s">
        <v>2342</v>
      </c>
      <c r="D832" s="56" t="s">
        <v>2693</v>
      </c>
      <c r="E832" s="57" t="s">
        <v>2694</v>
      </c>
      <c r="F832" s="64">
        <v>350</v>
      </c>
      <c r="G832" s="59">
        <v>45936</v>
      </c>
      <c r="H832" s="57" t="s">
        <v>2695</v>
      </c>
      <c r="I832" s="62">
        <f t="shared" si="58"/>
        <v>26.363636363636374</v>
      </c>
      <c r="J832" s="63">
        <f>IF(F832&lt;=150,170,IF(F832&lt;=200,210,IF(F832&lt;=250,240,290)))</f>
        <v>290</v>
      </c>
      <c r="K832" s="63">
        <f t="shared" si="59"/>
        <v>290</v>
      </c>
      <c r="L832" s="62" t="str">
        <f t="shared" si="60"/>
        <v/>
      </c>
      <c r="M832" s="63"/>
    </row>
    <row r="833" spans="2:13" s="46" customFormat="1" ht="15">
      <c r="B833" s="534">
        <f t="shared" si="57"/>
        <v>826</v>
      </c>
      <c r="C833" s="56" t="s">
        <v>2342</v>
      </c>
      <c r="D833" s="56" t="s">
        <v>2693</v>
      </c>
      <c r="E833" s="57" t="s">
        <v>2694</v>
      </c>
      <c r="F833" s="64">
        <v>235</v>
      </c>
      <c r="G833" s="59">
        <v>45936</v>
      </c>
      <c r="H833" s="57" t="s">
        <v>2695</v>
      </c>
      <c r="I833" s="62">
        <f t="shared" si="58"/>
        <v>21.818181818181841</v>
      </c>
      <c r="J833" s="63">
        <f>IF(F833&lt;=150,170,IF(F833&lt;=200,210,IF(F833&lt;=250,240,290)))</f>
        <v>240</v>
      </c>
      <c r="K833" s="63">
        <f t="shared" si="59"/>
        <v>240</v>
      </c>
      <c r="L833" s="62" t="str">
        <f t="shared" si="60"/>
        <v/>
      </c>
      <c r="M833" s="63"/>
    </row>
    <row r="834" spans="2:13" s="46" customFormat="1" ht="15">
      <c r="B834" s="534">
        <f t="shared" si="57"/>
        <v>827</v>
      </c>
      <c r="C834" s="56" t="s">
        <v>2342</v>
      </c>
      <c r="D834" s="56" t="s">
        <v>2693</v>
      </c>
      <c r="E834" s="57" t="s">
        <v>2813</v>
      </c>
      <c r="F834" s="64"/>
      <c r="G834" s="59">
        <v>45936</v>
      </c>
      <c r="H834" s="57" t="s">
        <v>2695</v>
      </c>
      <c r="I834" s="62">
        <f t="shared" si="58"/>
        <v>27.272727272727309</v>
      </c>
      <c r="J834" s="63">
        <v>300</v>
      </c>
      <c r="K834" s="63">
        <f t="shared" si="59"/>
        <v>300</v>
      </c>
      <c r="L834" s="62" t="str">
        <f t="shared" si="60"/>
        <v/>
      </c>
      <c r="M834" s="63"/>
    </row>
    <row r="835" spans="2:13" s="46" customFormat="1" ht="15">
      <c r="B835" s="534">
        <f t="shared" si="57"/>
        <v>828</v>
      </c>
      <c r="C835" s="56" t="s">
        <v>2342</v>
      </c>
      <c r="D835" s="56" t="s">
        <v>2693</v>
      </c>
      <c r="E835" s="57" t="s">
        <v>2694</v>
      </c>
      <c r="F835" s="64">
        <v>234.5</v>
      </c>
      <c r="G835" s="59">
        <v>45936</v>
      </c>
      <c r="H835" s="57" t="s">
        <v>2695</v>
      </c>
      <c r="I835" s="62">
        <f t="shared" si="58"/>
        <v>21.818181818181841</v>
      </c>
      <c r="J835" s="63">
        <f>IF(F835&lt;=150,170,IF(F835&lt;=200,210,IF(F835&lt;=250,240,290)))</f>
        <v>240</v>
      </c>
      <c r="K835" s="63">
        <f t="shared" si="59"/>
        <v>240</v>
      </c>
      <c r="L835" s="62" t="str">
        <f t="shared" si="60"/>
        <v/>
      </c>
      <c r="M835" s="63"/>
    </row>
    <row r="836" spans="2:13" s="46" customFormat="1" ht="15">
      <c r="B836" s="534">
        <f t="shared" si="57"/>
        <v>829</v>
      </c>
      <c r="C836" s="69" t="s">
        <v>2670</v>
      </c>
      <c r="D836" s="69" t="s">
        <v>2282</v>
      </c>
      <c r="E836" s="70" t="str">
        <f>VLOOKUP(F836,購入者リスト!B:F,4,FALSE)</f>
        <v>多肉 ぺったん入り 7種セット 抜き苗</v>
      </c>
      <c r="F836" s="69">
        <v>59</v>
      </c>
      <c r="G836" s="71" t="str">
        <f>VLOOKUP(F836,購入者リスト!B:M,12,FALSE)</f>
        <v>25/10/07</v>
      </c>
      <c r="H836" s="70" t="s">
        <v>27</v>
      </c>
      <c r="I836" s="73" t="str">
        <f t="shared" si="58"/>
        <v/>
      </c>
      <c r="J836" s="74"/>
      <c r="K836" s="74">
        <f t="shared" si="59"/>
        <v>0</v>
      </c>
      <c r="L836" s="73">
        <f t="shared" si="60"/>
        <v>200.00000000000023</v>
      </c>
      <c r="M836" s="74">
        <f>VLOOKUP(F836,購入者リスト!B:F,5,FALSE)</f>
        <v>2200</v>
      </c>
    </row>
    <row r="837" spans="2:13" s="46" customFormat="1" ht="15">
      <c r="B837" s="534">
        <f t="shared" si="57"/>
        <v>830</v>
      </c>
      <c r="C837" s="69" t="s">
        <v>2671</v>
      </c>
      <c r="D837" s="69" t="s">
        <v>2672</v>
      </c>
      <c r="E837" s="70" t="s">
        <v>2673</v>
      </c>
      <c r="F837" s="72"/>
      <c r="G837" s="71" t="str">
        <f>G836</f>
        <v>25/10/07</v>
      </c>
      <c r="H837" s="70" t="s">
        <v>27</v>
      </c>
      <c r="I837" s="73">
        <f t="shared" si="58"/>
        <v>20.000000000000028</v>
      </c>
      <c r="J837" s="74">
        <f>M836*0.1</f>
        <v>220</v>
      </c>
      <c r="K837" s="74">
        <f t="shared" si="59"/>
        <v>220</v>
      </c>
      <c r="L837" s="73" t="str">
        <f t="shared" si="60"/>
        <v/>
      </c>
      <c r="M837" s="74"/>
    </row>
    <row r="838" spans="2:13" s="46" customFormat="1" ht="15">
      <c r="B838" s="534">
        <f t="shared" si="57"/>
        <v>831</v>
      </c>
      <c r="C838" s="69" t="s">
        <v>2670</v>
      </c>
      <c r="D838" s="69" t="s">
        <v>2813</v>
      </c>
      <c r="E838" s="69" t="s">
        <v>2813</v>
      </c>
      <c r="F838" s="69">
        <v>49</v>
      </c>
      <c r="G838" s="71" t="str">
        <f>G837</f>
        <v>25/10/07</v>
      </c>
      <c r="H838" s="70" t="s">
        <v>27</v>
      </c>
      <c r="I838" s="73" t="str">
        <f t="shared" si="58"/>
        <v/>
      </c>
      <c r="J838" s="74"/>
      <c r="K838" s="74">
        <f t="shared" si="59"/>
        <v>0</v>
      </c>
      <c r="L838" s="73">
        <f t="shared" si="60"/>
        <v>27.272727272727309</v>
      </c>
      <c r="M838" s="74">
        <v>300</v>
      </c>
    </row>
    <row r="839" spans="2:13" s="46" customFormat="1" ht="15">
      <c r="B839" s="534">
        <f t="shared" si="57"/>
        <v>832</v>
      </c>
      <c r="C839" s="69" t="s">
        <v>2671</v>
      </c>
      <c r="D839" s="69" t="s">
        <v>2672</v>
      </c>
      <c r="E839" s="70" t="s">
        <v>2673</v>
      </c>
      <c r="F839" s="72"/>
      <c r="G839" s="71" t="str">
        <f>G838</f>
        <v>25/10/07</v>
      </c>
      <c r="H839" s="70" t="s">
        <v>27</v>
      </c>
      <c r="I839" s="73">
        <f t="shared" si="58"/>
        <v>2.7272727272727302</v>
      </c>
      <c r="J839" s="74">
        <f>M838*0.1</f>
        <v>30</v>
      </c>
      <c r="K839" s="74">
        <f t="shared" si="59"/>
        <v>30</v>
      </c>
      <c r="L839" s="73" t="str">
        <f t="shared" si="60"/>
        <v/>
      </c>
      <c r="M839" s="74"/>
    </row>
    <row r="840" spans="2:13" s="46" customFormat="1" ht="15">
      <c r="B840" s="534">
        <f t="shared" si="57"/>
        <v>833</v>
      </c>
      <c r="C840" s="56" t="s">
        <v>2281</v>
      </c>
      <c r="D840" s="56" t="s">
        <v>2282</v>
      </c>
      <c r="E840" s="57" t="s">
        <v>2934</v>
      </c>
      <c r="F840" s="64" t="s">
        <v>2424</v>
      </c>
      <c r="G840" s="59">
        <v>45938</v>
      </c>
      <c r="H840" s="57" t="s">
        <v>72</v>
      </c>
      <c r="I840" s="62">
        <f t="shared" si="58"/>
        <v>190.90909090909099</v>
      </c>
      <c r="J840" s="63">
        <v>2100</v>
      </c>
      <c r="K840" s="63">
        <f t="shared" si="59"/>
        <v>2100</v>
      </c>
      <c r="L840" s="62" t="str">
        <f t="shared" si="60"/>
        <v/>
      </c>
      <c r="M840" s="63"/>
    </row>
    <row r="841" spans="2:13" s="46" customFormat="1" ht="15">
      <c r="B841" s="534">
        <f t="shared" si="57"/>
        <v>834</v>
      </c>
      <c r="C841" s="69" t="s">
        <v>2670</v>
      </c>
      <c r="D841" s="69" t="s">
        <v>2282</v>
      </c>
      <c r="E841" s="70" t="str">
        <f>VLOOKUP(F841,購入者リスト!B:F,4,FALSE)</f>
        <v>多肉 モルゲンロート 7種セット 抜き苗</v>
      </c>
      <c r="F841" s="69">
        <v>55</v>
      </c>
      <c r="G841" s="71" t="str">
        <f>VLOOKUP(F841,購入者リスト!B:M,12,FALSE)</f>
        <v>25/10/09</v>
      </c>
      <c r="H841" s="70" t="s">
        <v>27</v>
      </c>
      <c r="I841" s="73" t="str">
        <f t="shared" si="58"/>
        <v/>
      </c>
      <c r="J841" s="74"/>
      <c r="K841" s="74">
        <f t="shared" si="59"/>
        <v>0</v>
      </c>
      <c r="L841" s="73">
        <f t="shared" si="60"/>
        <v>200.00000000000023</v>
      </c>
      <c r="M841" s="74">
        <f>VLOOKUP(F841,購入者リスト!B:F,5,FALSE)</f>
        <v>2200</v>
      </c>
    </row>
    <row r="842" spans="2:13" s="46" customFormat="1" ht="15">
      <c r="B842" s="534">
        <f t="shared" si="57"/>
        <v>835</v>
      </c>
      <c r="C842" s="69" t="s">
        <v>2671</v>
      </c>
      <c r="D842" s="69" t="s">
        <v>2672</v>
      </c>
      <c r="E842" s="70" t="s">
        <v>2673</v>
      </c>
      <c r="F842" s="72"/>
      <c r="G842" s="71" t="str">
        <f>G841</f>
        <v>25/10/09</v>
      </c>
      <c r="H842" s="70" t="s">
        <v>27</v>
      </c>
      <c r="I842" s="73">
        <f t="shared" si="58"/>
        <v>20.000000000000028</v>
      </c>
      <c r="J842" s="74">
        <f>M841*0.1</f>
        <v>220</v>
      </c>
      <c r="K842" s="74">
        <f t="shared" si="59"/>
        <v>220</v>
      </c>
      <c r="L842" s="73" t="str">
        <f t="shared" si="60"/>
        <v/>
      </c>
      <c r="M842" s="74"/>
    </row>
    <row r="843" spans="2:13" s="46" customFormat="1" ht="15">
      <c r="B843" s="534">
        <f t="shared" si="57"/>
        <v>836</v>
      </c>
      <c r="C843" s="69" t="s">
        <v>2670</v>
      </c>
      <c r="D843" s="69" t="s">
        <v>2282</v>
      </c>
      <c r="E843" s="70" t="str">
        <f>VLOOKUP(F843,購入者リスト!B:F,4,FALSE)</f>
        <v>多肉 はじまりの花入り 7種セット 抜き苗</v>
      </c>
      <c r="F843" s="69">
        <v>56</v>
      </c>
      <c r="G843" s="71" t="str">
        <f>VLOOKUP(F843,購入者リスト!B:M,12,FALSE)</f>
        <v>25/10/09</v>
      </c>
      <c r="H843" s="70" t="s">
        <v>27</v>
      </c>
      <c r="I843" s="73" t="str">
        <f t="shared" si="58"/>
        <v/>
      </c>
      <c r="J843" s="74"/>
      <c r="K843" s="74">
        <f t="shared" si="59"/>
        <v>0</v>
      </c>
      <c r="L843" s="73">
        <f t="shared" si="60"/>
        <v>200.00000000000023</v>
      </c>
      <c r="M843" s="74">
        <f>VLOOKUP(F843,購入者リスト!B:F,5,FALSE)</f>
        <v>2200</v>
      </c>
    </row>
    <row r="844" spans="2:13" s="46" customFormat="1" ht="15">
      <c r="B844" s="534">
        <f t="shared" si="57"/>
        <v>837</v>
      </c>
      <c r="C844" s="69" t="s">
        <v>2671</v>
      </c>
      <c r="D844" s="69" t="s">
        <v>2672</v>
      </c>
      <c r="E844" s="70" t="s">
        <v>2673</v>
      </c>
      <c r="F844" s="72"/>
      <c r="G844" s="71" t="str">
        <f>G843</f>
        <v>25/10/09</v>
      </c>
      <c r="H844" s="70" t="s">
        <v>27</v>
      </c>
      <c r="I844" s="73">
        <f t="shared" si="58"/>
        <v>20.000000000000028</v>
      </c>
      <c r="J844" s="74">
        <f>M843*0.1</f>
        <v>220</v>
      </c>
      <c r="K844" s="74">
        <f t="shared" si="59"/>
        <v>220</v>
      </c>
      <c r="L844" s="73" t="str">
        <f t="shared" si="60"/>
        <v/>
      </c>
      <c r="M844" s="74"/>
    </row>
    <row r="845" spans="2:13" s="46" customFormat="1" ht="15">
      <c r="B845" s="534">
        <f t="shared" si="57"/>
        <v>838</v>
      </c>
      <c r="C845" s="69" t="s">
        <v>2670</v>
      </c>
      <c r="D845" s="69" t="s">
        <v>2282</v>
      </c>
      <c r="E845" s="70" t="str">
        <f>VLOOKUP(F845,購入者リスト!B:F,4,FALSE)</f>
        <v>多肉 ちょこん入り 7種セット A 抜き苗</v>
      </c>
      <c r="F845" s="69">
        <v>57</v>
      </c>
      <c r="G845" s="71" t="str">
        <f>VLOOKUP(F845,購入者リスト!B:M,12,FALSE)</f>
        <v>25/10/09</v>
      </c>
      <c r="H845" s="70" t="s">
        <v>27</v>
      </c>
      <c r="I845" s="73" t="str">
        <f t="shared" si="58"/>
        <v/>
      </c>
      <c r="J845" s="74"/>
      <c r="K845" s="74">
        <f t="shared" si="59"/>
        <v>0</v>
      </c>
      <c r="L845" s="73">
        <f t="shared" si="60"/>
        <v>254.54545454545496</v>
      </c>
      <c r="M845" s="74">
        <f>VLOOKUP(F845,購入者リスト!B:F,5,FALSE)</f>
        <v>2800</v>
      </c>
    </row>
    <row r="846" spans="2:13" s="46" customFormat="1" ht="15">
      <c r="B846" s="534">
        <f t="shared" si="57"/>
        <v>839</v>
      </c>
      <c r="C846" s="69" t="s">
        <v>2671</v>
      </c>
      <c r="D846" s="69" t="s">
        <v>2672</v>
      </c>
      <c r="E846" s="70" t="s">
        <v>2673</v>
      </c>
      <c r="F846" s="72"/>
      <c r="G846" s="71" t="str">
        <f>G845</f>
        <v>25/10/09</v>
      </c>
      <c r="H846" s="70" t="s">
        <v>27</v>
      </c>
      <c r="I846" s="73">
        <f t="shared" si="58"/>
        <v>25.454545454545467</v>
      </c>
      <c r="J846" s="74">
        <f>M845*0.1</f>
        <v>280</v>
      </c>
      <c r="K846" s="74">
        <f t="shared" si="59"/>
        <v>280</v>
      </c>
      <c r="L846" s="73" t="str">
        <f t="shared" si="60"/>
        <v/>
      </c>
      <c r="M846" s="74"/>
    </row>
    <row r="847" spans="2:13" s="46" customFormat="1" ht="15">
      <c r="B847" s="534">
        <f t="shared" si="57"/>
        <v>840</v>
      </c>
      <c r="C847" s="69" t="s">
        <v>2670</v>
      </c>
      <c r="D847" s="69" t="s">
        <v>2282</v>
      </c>
      <c r="E847" s="70" t="str">
        <f>VLOOKUP(F847,購入者リスト!B:F,4,FALSE)</f>
        <v>多肉 ちょこん入り 7種セット B 抜き苗</v>
      </c>
      <c r="F847" s="69">
        <v>58</v>
      </c>
      <c r="G847" s="71" t="str">
        <f>VLOOKUP(F847,購入者リスト!B:M,12,FALSE)</f>
        <v>25/10/09</v>
      </c>
      <c r="H847" s="70" t="s">
        <v>27</v>
      </c>
      <c r="I847" s="73" t="str">
        <f t="shared" si="58"/>
        <v/>
      </c>
      <c r="J847" s="74"/>
      <c r="K847" s="74">
        <f t="shared" si="59"/>
        <v>0</v>
      </c>
      <c r="L847" s="73">
        <f t="shared" si="60"/>
        <v>236.36363636363649</v>
      </c>
      <c r="M847" s="74">
        <f>VLOOKUP(F847,購入者リスト!B:F,5,FALSE)</f>
        <v>2600</v>
      </c>
    </row>
    <row r="848" spans="2:13" s="46" customFormat="1" ht="15">
      <c r="B848" s="534">
        <f t="shared" si="57"/>
        <v>841</v>
      </c>
      <c r="C848" s="69" t="s">
        <v>2671</v>
      </c>
      <c r="D848" s="69" t="s">
        <v>2672</v>
      </c>
      <c r="E848" s="70" t="s">
        <v>2673</v>
      </c>
      <c r="F848" s="72"/>
      <c r="G848" s="71" t="str">
        <f>G847</f>
        <v>25/10/09</v>
      </c>
      <c r="H848" s="70" t="s">
        <v>27</v>
      </c>
      <c r="I848" s="73">
        <f t="shared" si="58"/>
        <v>23.636363636363654</v>
      </c>
      <c r="J848" s="74">
        <f>M847*0.1</f>
        <v>260</v>
      </c>
      <c r="K848" s="74">
        <f t="shared" si="59"/>
        <v>260</v>
      </c>
      <c r="L848" s="73" t="str">
        <f t="shared" si="60"/>
        <v/>
      </c>
      <c r="M848" s="74"/>
    </row>
    <row r="849" spans="2:14" s="46" customFormat="1" ht="15">
      <c r="B849" s="534">
        <f t="shared" si="57"/>
        <v>842</v>
      </c>
      <c r="C849" s="56" t="s">
        <v>2262</v>
      </c>
      <c r="D849" s="56" t="s">
        <v>2392</v>
      </c>
      <c r="E849" s="57" t="s">
        <v>2576</v>
      </c>
      <c r="F849" s="58" t="s">
        <v>2304</v>
      </c>
      <c r="G849" s="59">
        <v>45942</v>
      </c>
      <c r="H849" s="57" t="s">
        <v>45</v>
      </c>
      <c r="I849" s="62">
        <f t="shared" si="58"/>
        <v>30</v>
      </c>
      <c r="J849" s="63">
        <v>330</v>
      </c>
      <c r="K849" s="63">
        <f t="shared" si="59"/>
        <v>330</v>
      </c>
      <c r="L849" s="62" t="str">
        <f t="shared" si="60"/>
        <v/>
      </c>
      <c r="M849" s="63"/>
    </row>
    <row r="850" spans="2:14" s="46" customFormat="1" ht="15">
      <c r="B850" s="534">
        <f t="shared" si="57"/>
        <v>843</v>
      </c>
      <c r="C850" s="56" t="s">
        <v>2262</v>
      </c>
      <c r="D850" s="56" t="s">
        <v>2467</v>
      </c>
      <c r="E850" s="57" t="s">
        <v>2897</v>
      </c>
      <c r="F850" s="58"/>
      <c r="G850" s="59">
        <v>45942</v>
      </c>
      <c r="H850" s="57" t="s">
        <v>45</v>
      </c>
      <c r="I850" s="62">
        <f t="shared" si="58"/>
        <v>10.000000000000014</v>
      </c>
      <c r="J850" s="63">
        <v>110</v>
      </c>
      <c r="K850" s="63">
        <f t="shared" si="59"/>
        <v>110</v>
      </c>
      <c r="L850" s="62" t="str">
        <f t="shared" si="60"/>
        <v/>
      </c>
      <c r="M850" s="63"/>
    </row>
    <row r="851" spans="2:14" s="46" customFormat="1" ht="15">
      <c r="B851" s="534">
        <f t="shared" si="57"/>
        <v>844</v>
      </c>
      <c r="C851" s="56" t="s">
        <v>2273</v>
      </c>
      <c r="D851" s="56" t="s">
        <v>2428</v>
      </c>
      <c r="E851" s="57" t="s">
        <v>2429</v>
      </c>
      <c r="F851" s="58" t="s">
        <v>2271</v>
      </c>
      <c r="G851" s="59">
        <v>45942</v>
      </c>
      <c r="H851" s="57" t="s">
        <v>45</v>
      </c>
      <c r="I851" s="62">
        <f t="shared" si="58"/>
        <v>20.000000000000028</v>
      </c>
      <c r="J851" s="63">
        <v>220</v>
      </c>
      <c r="K851" s="63">
        <f t="shared" si="59"/>
        <v>220</v>
      </c>
      <c r="L851" s="62" t="str">
        <f t="shared" si="60"/>
        <v/>
      </c>
      <c r="M851" s="63"/>
    </row>
    <row r="852" spans="2:14" s="46" customFormat="1" ht="15">
      <c r="B852" s="534">
        <f t="shared" si="57"/>
        <v>845</v>
      </c>
      <c r="C852" s="56" t="s">
        <v>2262</v>
      </c>
      <c r="D852" s="56" t="s">
        <v>2509</v>
      </c>
      <c r="E852" s="57" t="s">
        <v>2749</v>
      </c>
      <c r="F852" s="58" t="s">
        <v>2271</v>
      </c>
      <c r="G852" s="59">
        <v>45942</v>
      </c>
      <c r="H852" s="57" t="s">
        <v>45</v>
      </c>
      <c r="I852" s="62">
        <f t="shared" si="58"/>
        <v>20.000000000000028</v>
      </c>
      <c r="J852" s="63">
        <v>220</v>
      </c>
      <c r="K852" s="63">
        <f t="shared" si="59"/>
        <v>220</v>
      </c>
      <c r="L852" s="62" t="str">
        <f t="shared" si="60"/>
        <v/>
      </c>
      <c r="M852" s="63"/>
    </row>
    <row r="853" spans="2:14" s="46" customFormat="1" ht="15">
      <c r="B853" s="534">
        <f t="shared" si="57"/>
        <v>846</v>
      </c>
      <c r="C853" s="56" t="s">
        <v>2262</v>
      </c>
      <c r="D853" s="56" t="s">
        <v>2346</v>
      </c>
      <c r="E853" s="57" t="s">
        <v>2573</v>
      </c>
      <c r="F853" s="58" t="s">
        <v>2271</v>
      </c>
      <c r="G853" s="59">
        <v>45942</v>
      </c>
      <c r="H853" s="57" t="s">
        <v>45</v>
      </c>
      <c r="I853" s="62">
        <f t="shared" si="58"/>
        <v>20.000000000000028</v>
      </c>
      <c r="J853" s="63">
        <v>220</v>
      </c>
      <c r="K853" s="63">
        <f t="shared" si="59"/>
        <v>220</v>
      </c>
      <c r="L853" s="62" t="str">
        <f t="shared" si="60"/>
        <v/>
      </c>
      <c r="M853" s="63"/>
    </row>
    <row r="854" spans="2:14" s="46" customFormat="1" ht="15">
      <c r="B854" s="534">
        <f t="shared" si="57"/>
        <v>847</v>
      </c>
      <c r="C854" s="56" t="s">
        <v>2262</v>
      </c>
      <c r="D854" s="56" t="s">
        <v>2512</v>
      </c>
      <c r="E854" s="57" t="s">
        <v>2935</v>
      </c>
      <c r="F854" s="58"/>
      <c r="G854" s="59">
        <v>45942</v>
      </c>
      <c r="H854" s="57" t="s">
        <v>45</v>
      </c>
      <c r="I854" s="62">
        <f t="shared" si="58"/>
        <v>10.000000000000014</v>
      </c>
      <c r="J854" s="63">
        <v>110</v>
      </c>
      <c r="K854" s="63">
        <f t="shared" si="59"/>
        <v>110</v>
      </c>
      <c r="L854" s="62" t="str">
        <f t="shared" si="60"/>
        <v/>
      </c>
      <c r="M854" s="63"/>
    </row>
    <row r="855" spans="2:14" s="46" customFormat="1" ht="15">
      <c r="B855" s="534">
        <f t="shared" si="57"/>
        <v>848</v>
      </c>
      <c r="C855" s="56" t="s">
        <v>2262</v>
      </c>
      <c r="D855" s="56" t="s">
        <v>2936</v>
      </c>
      <c r="E855" s="57" t="s">
        <v>2937</v>
      </c>
      <c r="F855" s="58"/>
      <c r="G855" s="59">
        <v>45942</v>
      </c>
      <c r="H855" s="57" t="s">
        <v>45</v>
      </c>
      <c r="I855" s="62">
        <f t="shared" si="58"/>
        <v>10.000000000000014</v>
      </c>
      <c r="J855" s="63">
        <v>110</v>
      </c>
      <c r="K855" s="63">
        <f t="shared" si="59"/>
        <v>110</v>
      </c>
      <c r="L855" s="62" t="str">
        <f t="shared" si="60"/>
        <v/>
      </c>
      <c r="M855" s="63"/>
    </row>
    <row r="856" spans="2:14" s="46" customFormat="1" ht="15">
      <c r="B856" s="534">
        <f t="shared" si="57"/>
        <v>849</v>
      </c>
      <c r="C856" s="56" t="s">
        <v>2262</v>
      </c>
      <c r="D856" s="56" t="s">
        <v>2938</v>
      </c>
      <c r="E856" s="57" t="s">
        <v>2939</v>
      </c>
      <c r="F856" s="58"/>
      <c r="G856" s="59">
        <v>45942</v>
      </c>
      <c r="H856" s="57" t="s">
        <v>45</v>
      </c>
      <c r="I856" s="62">
        <f t="shared" si="58"/>
        <v>100.00000000000011</v>
      </c>
      <c r="J856" s="63">
        <v>1100</v>
      </c>
      <c r="K856" s="63">
        <f t="shared" si="59"/>
        <v>1100</v>
      </c>
      <c r="L856" s="62" t="str">
        <f t="shared" si="60"/>
        <v/>
      </c>
      <c r="M856" s="63"/>
    </row>
    <row r="857" spans="2:14" s="46" customFormat="1" ht="15">
      <c r="B857" s="534">
        <f t="shared" si="57"/>
        <v>850</v>
      </c>
      <c r="C857" s="56" t="s">
        <v>2442</v>
      </c>
      <c r="D857" s="56" t="s">
        <v>2534</v>
      </c>
      <c r="E857" s="57" t="s">
        <v>2535</v>
      </c>
      <c r="F857" s="58" t="s">
        <v>2940</v>
      </c>
      <c r="G857" s="59">
        <v>45943</v>
      </c>
      <c r="H857" s="57" t="s">
        <v>2941</v>
      </c>
      <c r="I857" s="62">
        <f t="shared" si="58"/>
        <v>272.72727272727298</v>
      </c>
      <c r="J857" s="63">
        <v>3000</v>
      </c>
      <c r="K857" s="63">
        <f t="shared" si="59"/>
        <v>0</v>
      </c>
      <c r="L857" s="62" t="str">
        <f t="shared" si="60"/>
        <v/>
      </c>
      <c r="M857" s="63"/>
      <c r="N857" s="66" t="s">
        <v>24</v>
      </c>
    </row>
    <row r="858" spans="2:14" s="46" customFormat="1" ht="15">
      <c r="B858" s="534">
        <f t="shared" si="57"/>
        <v>851</v>
      </c>
      <c r="C858" s="56" t="s">
        <v>2262</v>
      </c>
      <c r="D858" s="56" t="s">
        <v>2302</v>
      </c>
      <c r="E858" s="57" t="s">
        <v>2942</v>
      </c>
      <c r="F858" s="58"/>
      <c r="G858" s="59">
        <v>45943</v>
      </c>
      <c r="H858" s="57" t="s">
        <v>2307</v>
      </c>
      <c r="I858" s="62">
        <f t="shared" si="58"/>
        <v>280</v>
      </c>
      <c r="J858" s="63">
        <v>3080</v>
      </c>
      <c r="K858" s="63">
        <f t="shared" si="59"/>
        <v>3080</v>
      </c>
      <c r="L858" s="62" t="str">
        <f t="shared" si="60"/>
        <v/>
      </c>
      <c r="M858" s="63"/>
    </row>
    <row r="859" spans="2:14" s="46" customFormat="1" ht="15">
      <c r="B859" s="534">
        <f t="shared" si="57"/>
        <v>852</v>
      </c>
      <c r="C859" s="56" t="s">
        <v>2262</v>
      </c>
      <c r="D859" s="56" t="s">
        <v>2790</v>
      </c>
      <c r="E859" s="57" t="s">
        <v>2943</v>
      </c>
      <c r="F859" s="64"/>
      <c r="G859" s="59">
        <v>45944</v>
      </c>
      <c r="H859" s="57" t="s">
        <v>49</v>
      </c>
      <c r="I859" s="62">
        <f t="shared" si="58"/>
        <v>10.000000000000014</v>
      </c>
      <c r="J859" s="63">
        <v>110</v>
      </c>
      <c r="K859" s="63">
        <f t="shared" si="59"/>
        <v>110</v>
      </c>
      <c r="L859" s="62" t="str">
        <f t="shared" si="60"/>
        <v/>
      </c>
      <c r="M859" s="63"/>
    </row>
    <row r="860" spans="2:14" s="46" customFormat="1" ht="15">
      <c r="B860" s="534">
        <f t="shared" si="57"/>
        <v>853</v>
      </c>
      <c r="C860" s="56" t="s">
        <v>2262</v>
      </c>
      <c r="D860" s="56" t="s">
        <v>2579</v>
      </c>
      <c r="E860" s="57" t="s">
        <v>2944</v>
      </c>
      <c r="F860" s="64" t="s">
        <v>2271</v>
      </c>
      <c r="G860" s="59">
        <v>45944</v>
      </c>
      <c r="H860" s="57" t="s">
        <v>49</v>
      </c>
      <c r="I860" s="62">
        <f t="shared" si="58"/>
        <v>20.000000000000028</v>
      </c>
      <c r="J860" s="63">
        <v>220</v>
      </c>
      <c r="K860" s="63">
        <f t="shared" si="59"/>
        <v>220</v>
      </c>
      <c r="L860" s="62" t="str">
        <f t="shared" si="60"/>
        <v/>
      </c>
      <c r="M860" s="63"/>
    </row>
    <row r="861" spans="2:14" s="46" customFormat="1" ht="15">
      <c r="B861" s="534">
        <f t="shared" si="57"/>
        <v>854</v>
      </c>
      <c r="C861" s="56" t="s">
        <v>2262</v>
      </c>
      <c r="D861" s="56" t="s">
        <v>2945</v>
      </c>
      <c r="E861" s="57" t="s">
        <v>2946</v>
      </c>
      <c r="F861" s="64"/>
      <c r="G861" s="59">
        <v>45948</v>
      </c>
      <c r="H861" s="57" t="s">
        <v>49</v>
      </c>
      <c r="I861" s="62">
        <f t="shared" si="58"/>
        <v>10.000000000000014</v>
      </c>
      <c r="J861" s="63">
        <v>110</v>
      </c>
      <c r="K861" s="63">
        <f t="shared" si="59"/>
        <v>110</v>
      </c>
      <c r="L861" s="62" t="str">
        <f t="shared" si="60"/>
        <v/>
      </c>
      <c r="M861" s="63"/>
    </row>
    <row r="862" spans="2:14" s="46" customFormat="1" ht="15">
      <c r="B862" s="534">
        <f t="shared" si="57"/>
        <v>855</v>
      </c>
      <c r="C862" s="56" t="s">
        <v>2262</v>
      </c>
      <c r="D862" s="56" t="s">
        <v>2592</v>
      </c>
      <c r="E862" s="57" t="s">
        <v>2947</v>
      </c>
      <c r="F862" s="64"/>
      <c r="G862" s="59">
        <v>45948</v>
      </c>
      <c r="H862" s="57" t="s">
        <v>49</v>
      </c>
      <c r="I862" s="62">
        <f t="shared" si="58"/>
        <v>50.000000000000057</v>
      </c>
      <c r="J862" s="63">
        <v>550</v>
      </c>
      <c r="K862" s="63">
        <f t="shared" si="59"/>
        <v>550</v>
      </c>
      <c r="L862" s="62" t="str">
        <f t="shared" si="60"/>
        <v/>
      </c>
      <c r="M862" s="63"/>
    </row>
    <row r="863" spans="2:14" s="46" customFormat="1" ht="15">
      <c r="B863" s="534">
        <f t="shared" si="57"/>
        <v>856</v>
      </c>
      <c r="C863" s="56" t="s">
        <v>2281</v>
      </c>
      <c r="D863" s="56" t="s">
        <v>2282</v>
      </c>
      <c r="E863" s="57" t="s">
        <v>615</v>
      </c>
      <c r="F863" s="58"/>
      <c r="G863" s="59">
        <v>45950</v>
      </c>
      <c r="H863" s="57" t="s">
        <v>90</v>
      </c>
      <c r="I863" s="62">
        <f t="shared" si="58"/>
        <v>400.00000000000045</v>
      </c>
      <c r="J863" s="63">
        <v>4400</v>
      </c>
      <c r="K863" s="63">
        <f t="shared" si="59"/>
        <v>4400</v>
      </c>
      <c r="L863" s="62" t="str">
        <f t="shared" si="60"/>
        <v/>
      </c>
      <c r="M863" s="63"/>
    </row>
    <row r="864" spans="2:14" s="46" customFormat="1" ht="15">
      <c r="B864" s="534">
        <f t="shared" si="57"/>
        <v>857</v>
      </c>
      <c r="C864" s="56" t="s">
        <v>2281</v>
      </c>
      <c r="D864" s="56" t="s">
        <v>2282</v>
      </c>
      <c r="E864" s="57" t="s">
        <v>784</v>
      </c>
      <c r="F864" s="58"/>
      <c r="G864" s="59">
        <v>45950</v>
      </c>
      <c r="H864" s="57" t="s">
        <v>90</v>
      </c>
      <c r="I864" s="62">
        <f t="shared" si="58"/>
        <v>700.00000000000091</v>
      </c>
      <c r="J864" s="63">
        <v>7700</v>
      </c>
      <c r="K864" s="63">
        <f t="shared" si="59"/>
        <v>7700</v>
      </c>
      <c r="L864" s="62" t="str">
        <f t="shared" si="60"/>
        <v/>
      </c>
      <c r="M864" s="63"/>
    </row>
    <row r="865" spans="2:13" s="46" customFormat="1" ht="15">
      <c r="B865" s="534">
        <f t="shared" si="57"/>
        <v>858</v>
      </c>
      <c r="C865" s="56" t="s">
        <v>2281</v>
      </c>
      <c r="D865" s="56" t="s">
        <v>2282</v>
      </c>
      <c r="E865" s="57" t="s">
        <v>2948</v>
      </c>
      <c r="F865" s="58"/>
      <c r="G865" s="59">
        <v>45950</v>
      </c>
      <c r="H865" s="57" t="s">
        <v>90</v>
      </c>
      <c r="I865" s="62">
        <f t="shared" si="58"/>
        <v>250</v>
      </c>
      <c r="J865" s="63">
        <v>2750</v>
      </c>
      <c r="K865" s="63">
        <f t="shared" si="59"/>
        <v>2750</v>
      </c>
      <c r="L865" s="62" t="str">
        <f t="shared" si="60"/>
        <v/>
      </c>
      <c r="M865" s="63"/>
    </row>
    <row r="866" spans="2:13" s="46" customFormat="1" ht="15">
      <c r="B866" s="534">
        <f t="shared" si="57"/>
        <v>859</v>
      </c>
      <c r="C866" s="56" t="s">
        <v>2342</v>
      </c>
      <c r="D866" s="56" t="s">
        <v>2693</v>
      </c>
      <c r="E866" s="57" t="s">
        <v>2914</v>
      </c>
      <c r="F866" s="58"/>
      <c r="G866" s="59">
        <v>45950</v>
      </c>
      <c r="H866" s="57" t="s">
        <v>90</v>
      </c>
      <c r="I866" s="62">
        <f t="shared" si="58"/>
        <v>80.000000000000114</v>
      </c>
      <c r="J866" s="63">
        <v>880</v>
      </c>
      <c r="K866" s="63">
        <f t="shared" si="59"/>
        <v>880</v>
      </c>
      <c r="L866" s="62" t="str">
        <f t="shared" si="60"/>
        <v/>
      </c>
      <c r="M866" s="63"/>
    </row>
    <row r="867" spans="2:13" s="46" customFormat="1" ht="15">
      <c r="B867" s="534">
        <f t="shared" si="57"/>
        <v>860</v>
      </c>
      <c r="C867" s="56" t="s">
        <v>2342</v>
      </c>
      <c r="D867" s="56" t="s">
        <v>2693</v>
      </c>
      <c r="E867" s="57" t="s">
        <v>2694</v>
      </c>
      <c r="F867" s="64">
        <v>431.5</v>
      </c>
      <c r="G867" s="59">
        <v>45950</v>
      </c>
      <c r="H867" s="57" t="s">
        <v>2695</v>
      </c>
      <c r="I867" s="62">
        <f t="shared" si="58"/>
        <v>31.090909090909122</v>
      </c>
      <c r="J867" s="63">
        <v>342</v>
      </c>
      <c r="K867" s="63">
        <f t="shared" si="59"/>
        <v>342</v>
      </c>
      <c r="L867" s="62" t="str">
        <f t="shared" si="60"/>
        <v/>
      </c>
      <c r="M867" s="63"/>
    </row>
    <row r="868" spans="2:13" s="46" customFormat="1" ht="15">
      <c r="B868" s="534">
        <f t="shared" si="57"/>
        <v>861</v>
      </c>
      <c r="C868" s="56" t="s">
        <v>2342</v>
      </c>
      <c r="D868" s="56" t="s">
        <v>2693</v>
      </c>
      <c r="E868" s="57" t="s">
        <v>2694</v>
      </c>
      <c r="F868" s="64">
        <v>405.5</v>
      </c>
      <c r="G868" s="59">
        <v>45950</v>
      </c>
      <c r="H868" s="57" t="s">
        <v>2695</v>
      </c>
      <c r="I868" s="62">
        <f t="shared" si="58"/>
        <v>31.090909090909122</v>
      </c>
      <c r="J868" s="63">
        <v>342</v>
      </c>
      <c r="K868" s="63">
        <f t="shared" si="59"/>
        <v>342</v>
      </c>
      <c r="L868" s="62" t="str">
        <f t="shared" si="60"/>
        <v/>
      </c>
      <c r="M868" s="63"/>
    </row>
    <row r="869" spans="2:13" s="46" customFormat="1" ht="15">
      <c r="B869" s="534">
        <f t="shared" si="57"/>
        <v>862</v>
      </c>
      <c r="C869" s="56" t="s">
        <v>2342</v>
      </c>
      <c r="D869" s="56" t="s">
        <v>2693</v>
      </c>
      <c r="E869" s="57" t="s">
        <v>2694</v>
      </c>
      <c r="F869" s="64">
        <v>360.5</v>
      </c>
      <c r="G869" s="59">
        <v>45950</v>
      </c>
      <c r="H869" s="57" t="s">
        <v>2695</v>
      </c>
      <c r="I869" s="62">
        <f t="shared" si="58"/>
        <v>26.363636363636374</v>
      </c>
      <c r="J869" s="63">
        <f>IF(F869&lt;=150,170,IF(F869&lt;=200,210,IF(F869&lt;=250,240,290)))</f>
        <v>290</v>
      </c>
      <c r="K869" s="63">
        <f t="shared" si="59"/>
        <v>290</v>
      </c>
      <c r="L869" s="62" t="str">
        <f t="shared" si="60"/>
        <v/>
      </c>
      <c r="M869" s="63"/>
    </row>
    <row r="870" spans="2:13" s="46" customFormat="1" ht="15">
      <c r="B870" s="534">
        <f t="shared" si="57"/>
        <v>863</v>
      </c>
      <c r="C870" s="56" t="s">
        <v>2342</v>
      </c>
      <c r="D870" s="56" t="s">
        <v>2693</v>
      </c>
      <c r="E870" s="57" t="s">
        <v>2694</v>
      </c>
      <c r="F870" s="64">
        <v>362</v>
      </c>
      <c r="G870" s="59">
        <v>45950</v>
      </c>
      <c r="H870" s="57" t="s">
        <v>2695</v>
      </c>
      <c r="I870" s="62">
        <f t="shared" si="58"/>
        <v>26.363636363636374</v>
      </c>
      <c r="J870" s="63">
        <f>IF(F870&lt;=150,170,IF(F870&lt;=200,210,IF(F870&lt;=250,240,290)))</f>
        <v>290</v>
      </c>
      <c r="K870" s="63">
        <f t="shared" si="59"/>
        <v>290</v>
      </c>
      <c r="L870" s="62" t="str">
        <f t="shared" si="60"/>
        <v/>
      </c>
      <c r="M870" s="63"/>
    </row>
    <row r="871" spans="2:13" s="46" customFormat="1" ht="15">
      <c r="B871" s="534">
        <f t="shared" si="57"/>
        <v>864</v>
      </c>
      <c r="C871" s="56" t="s">
        <v>2342</v>
      </c>
      <c r="D871" s="56" t="s">
        <v>2693</v>
      </c>
      <c r="E871" s="57" t="s">
        <v>2694</v>
      </c>
      <c r="F871" s="64">
        <v>355.5</v>
      </c>
      <c r="G871" s="59">
        <v>45950</v>
      </c>
      <c r="H871" s="57" t="s">
        <v>2695</v>
      </c>
      <c r="I871" s="62">
        <f t="shared" si="58"/>
        <v>26.363636363636374</v>
      </c>
      <c r="J871" s="63">
        <f>IF(F871&lt;=150,170,IF(F871&lt;=200,210,IF(F871&lt;=250,240,290)))</f>
        <v>290</v>
      </c>
      <c r="K871" s="63">
        <f t="shared" si="59"/>
        <v>290</v>
      </c>
      <c r="L871" s="62" t="str">
        <f t="shared" si="60"/>
        <v/>
      </c>
      <c r="M871" s="63"/>
    </row>
    <row r="872" spans="2:13" s="46" customFormat="1" ht="15">
      <c r="B872" s="534">
        <f t="shared" si="57"/>
        <v>865</v>
      </c>
      <c r="C872" s="56" t="s">
        <v>2262</v>
      </c>
      <c r="D872" s="56" t="s">
        <v>2634</v>
      </c>
      <c r="E872" s="57" t="s">
        <v>2949</v>
      </c>
      <c r="F872" s="64" t="s">
        <v>2271</v>
      </c>
      <c r="G872" s="59">
        <v>45950</v>
      </c>
      <c r="H872" s="57" t="s">
        <v>2616</v>
      </c>
      <c r="I872" s="62">
        <f t="shared" si="58"/>
        <v>100.00000000000011</v>
      </c>
      <c r="J872" s="63">
        <v>1100</v>
      </c>
      <c r="K872" s="63">
        <f t="shared" si="59"/>
        <v>1100</v>
      </c>
      <c r="L872" s="62" t="str">
        <f t="shared" si="60"/>
        <v/>
      </c>
      <c r="M872" s="63"/>
    </row>
    <row r="873" spans="2:13" s="46" customFormat="1" ht="15">
      <c r="B873" s="534">
        <f t="shared" si="57"/>
        <v>866</v>
      </c>
      <c r="C873" s="56" t="s">
        <v>2262</v>
      </c>
      <c r="D873" s="56" t="s">
        <v>2634</v>
      </c>
      <c r="E873" s="57" t="s">
        <v>2950</v>
      </c>
      <c r="F873" s="64" t="s">
        <v>2271</v>
      </c>
      <c r="G873" s="59">
        <v>45950</v>
      </c>
      <c r="H873" s="57" t="s">
        <v>2616</v>
      </c>
      <c r="I873" s="62">
        <f t="shared" si="58"/>
        <v>180.00000000000023</v>
      </c>
      <c r="J873" s="63">
        <v>1980</v>
      </c>
      <c r="K873" s="63">
        <f t="shared" si="59"/>
        <v>1980</v>
      </c>
      <c r="L873" s="62" t="str">
        <f t="shared" si="60"/>
        <v/>
      </c>
      <c r="M873" s="63"/>
    </row>
    <row r="874" spans="2:13" s="46" customFormat="1" ht="15">
      <c r="B874" s="534">
        <f t="shared" si="57"/>
        <v>867</v>
      </c>
      <c r="C874" s="69" t="s">
        <v>2670</v>
      </c>
      <c r="D874" s="69" t="s">
        <v>2282</v>
      </c>
      <c r="E874" s="70" t="str">
        <f>VLOOKUP(F874,購入者リスト!B:F,4,FALSE)</f>
        <v>多肉 ぺったん入り 7種セット B 抜き苗</v>
      </c>
      <c r="F874" s="69">
        <v>61</v>
      </c>
      <c r="G874" s="71" t="str">
        <f>VLOOKUP(F874,購入者リスト!B:M,12,FALSE)</f>
        <v>25/10/22</v>
      </c>
      <c r="H874" s="70" t="s">
        <v>27</v>
      </c>
      <c r="I874" s="73" t="str">
        <f t="shared" si="58"/>
        <v/>
      </c>
      <c r="J874" s="74"/>
      <c r="K874" s="74">
        <f t="shared" si="59"/>
        <v>0</v>
      </c>
      <c r="L874" s="73">
        <f t="shared" si="60"/>
        <v>218.18181818181847</v>
      </c>
      <c r="M874" s="74">
        <f>VLOOKUP(F874,購入者リスト!B:F,5,FALSE)</f>
        <v>2400</v>
      </c>
    </row>
    <row r="875" spans="2:13" s="46" customFormat="1" ht="15">
      <c r="B875" s="534">
        <f t="shared" si="57"/>
        <v>868</v>
      </c>
      <c r="C875" s="69" t="s">
        <v>2671</v>
      </c>
      <c r="D875" s="69" t="s">
        <v>2672</v>
      </c>
      <c r="E875" s="70" t="s">
        <v>2673</v>
      </c>
      <c r="F875" s="72"/>
      <c r="G875" s="71" t="str">
        <f>G874</f>
        <v>25/10/22</v>
      </c>
      <c r="H875" s="70" t="s">
        <v>27</v>
      </c>
      <c r="I875" s="73">
        <f t="shared" si="58"/>
        <v>21.818181818181841</v>
      </c>
      <c r="J875" s="74">
        <f>M874*0.1</f>
        <v>240</v>
      </c>
      <c r="K875" s="74">
        <f t="shared" si="59"/>
        <v>240</v>
      </c>
      <c r="L875" s="73" t="str">
        <f t="shared" si="60"/>
        <v/>
      </c>
      <c r="M875" s="74"/>
    </row>
    <row r="876" spans="2:13" s="46" customFormat="1" ht="15">
      <c r="B876" s="534">
        <f t="shared" si="57"/>
        <v>869</v>
      </c>
      <c r="C876" s="69" t="s">
        <v>2670</v>
      </c>
      <c r="D876" s="69" t="s">
        <v>2282</v>
      </c>
      <c r="E876" s="70" t="str">
        <f>VLOOKUP(F876,購入者リスト!B:F,4,FALSE)</f>
        <v>多肉 ぺったん入り 7種セット A 抜き苗</v>
      </c>
      <c r="F876" s="69">
        <v>60</v>
      </c>
      <c r="G876" s="71" t="str">
        <f>VLOOKUP(F876,購入者リスト!B:M,12,FALSE)</f>
        <v>25/10/23</v>
      </c>
      <c r="H876" s="70" t="s">
        <v>27</v>
      </c>
      <c r="I876" s="73" t="str">
        <f t="shared" si="58"/>
        <v/>
      </c>
      <c r="J876" s="74"/>
      <c r="K876" s="74">
        <f t="shared" si="59"/>
        <v>0</v>
      </c>
      <c r="L876" s="73">
        <f t="shared" si="60"/>
        <v>218.18181818181847</v>
      </c>
      <c r="M876" s="74">
        <f>VLOOKUP(F876,購入者リスト!B:F,5,FALSE)</f>
        <v>2400</v>
      </c>
    </row>
    <row r="877" spans="2:13" s="46" customFormat="1" ht="15">
      <c r="B877" s="534">
        <f t="shared" si="57"/>
        <v>870</v>
      </c>
      <c r="C877" s="69" t="s">
        <v>2671</v>
      </c>
      <c r="D877" s="69" t="s">
        <v>2672</v>
      </c>
      <c r="E877" s="70" t="s">
        <v>2673</v>
      </c>
      <c r="F877" s="72"/>
      <c r="G877" s="71" t="str">
        <f>G876</f>
        <v>25/10/23</v>
      </c>
      <c r="H877" s="70" t="s">
        <v>27</v>
      </c>
      <c r="I877" s="73">
        <f t="shared" si="58"/>
        <v>21.818181818181841</v>
      </c>
      <c r="J877" s="74">
        <f>M876*0.1</f>
        <v>240</v>
      </c>
      <c r="K877" s="74">
        <f t="shared" si="59"/>
        <v>240</v>
      </c>
      <c r="L877" s="73" t="str">
        <f t="shared" si="60"/>
        <v/>
      </c>
      <c r="M877" s="74"/>
    </row>
    <row r="878" spans="2:13" s="46" customFormat="1" ht="15">
      <c r="B878" s="534">
        <f t="shared" si="57"/>
        <v>871</v>
      </c>
      <c r="C878" s="69" t="s">
        <v>2670</v>
      </c>
      <c r="D878" s="69" t="s">
        <v>2282</v>
      </c>
      <c r="E878" s="70" t="str">
        <f>VLOOKUP(F878,購入者リスト!B:F,4,FALSE)</f>
        <v>多肉 モルゲンロート入り 7種セット B 抜き苗</v>
      </c>
      <c r="F878" s="69">
        <v>63</v>
      </c>
      <c r="G878" s="71" t="str">
        <f>VLOOKUP(F878,購入者リスト!B:M,12,FALSE)</f>
        <v>25/10/24</v>
      </c>
      <c r="H878" s="70" t="s">
        <v>27</v>
      </c>
      <c r="I878" s="73" t="str">
        <f t="shared" si="58"/>
        <v/>
      </c>
      <c r="J878" s="74"/>
      <c r="K878" s="74">
        <f t="shared" si="59"/>
        <v>0</v>
      </c>
      <c r="L878" s="73">
        <f t="shared" si="60"/>
        <v>218.18181818181847</v>
      </c>
      <c r="M878" s="74">
        <f>VLOOKUP(F878,購入者リスト!B:F,5,FALSE)</f>
        <v>2400</v>
      </c>
    </row>
    <row r="879" spans="2:13" s="46" customFormat="1" ht="15">
      <c r="B879" s="534">
        <f t="shared" si="57"/>
        <v>872</v>
      </c>
      <c r="C879" s="69" t="s">
        <v>2671</v>
      </c>
      <c r="D879" s="69" t="s">
        <v>2672</v>
      </c>
      <c r="E879" s="70" t="s">
        <v>2673</v>
      </c>
      <c r="F879" s="72"/>
      <c r="G879" s="71" t="str">
        <f>G878</f>
        <v>25/10/24</v>
      </c>
      <c r="H879" s="70" t="s">
        <v>27</v>
      </c>
      <c r="I879" s="73">
        <f t="shared" si="58"/>
        <v>21.818181818181841</v>
      </c>
      <c r="J879" s="74">
        <f>M878*0.1</f>
        <v>240</v>
      </c>
      <c r="K879" s="74">
        <f t="shared" si="59"/>
        <v>240</v>
      </c>
      <c r="L879" s="73" t="str">
        <f t="shared" si="60"/>
        <v/>
      </c>
      <c r="M879" s="74"/>
    </row>
    <row r="880" spans="2:13" s="46" customFormat="1" ht="15">
      <c r="B880" s="534">
        <f t="shared" si="57"/>
        <v>873</v>
      </c>
      <c r="C880" s="69" t="s">
        <v>2670</v>
      </c>
      <c r="D880" s="69" t="s">
        <v>2282</v>
      </c>
      <c r="E880" s="70" t="str">
        <f>VLOOKUP(F880,購入者リスト!B:F,4,FALSE)</f>
        <v>多肉 モルゲンロート入り 7種セット A 抜き苗</v>
      </c>
      <c r="F880" s="69">
        <v>62</v>
      </c>
      <c r="G880" s="71" t="str">
        <f>VLOOKUP(F880,購入者リスト!B:M,12,FALSE)</f>
        <v>25/10/23</v>
      </c>
      <c r="H880" s="70" t="s">
        <v>27</v>
      </c>
      <c r="I880" s="73" t="str">
        <f t="shared" si="58"/>
        <v/>
      </c>
      <c r="J880" s="74"/>
      <c r="K880" s="74">
        <f t="shared" si="59"/>
        <v>0</v>
      </c>
      <c r="L880" s="73">
        <f t="shared" si="60"/>
        <v>218.18181818181847</v>
      </c>
      <c r="M880" s="74">
        <f>VLOOKUP(F880,購入者リスト!B:F,5,FALSE)</f>
        <v>2400</v>
      </c>
    </row>
    <row r="881" spans="2:13" s="46" customFormat="1" ht="15">
      <c r="B881" s="534">
        <f t="shared" ref="B881:B944" si="61">ROW()-7</f>
        <v>874</v>
      </c>
      <c r="C881" s="69" t="s">
        <v>2671</v>
      </c>
      <c r="D881" s="69" t="s">
        <v>2672</v>
      </c>
      <c r="E881" s="70" t="s">
        <v>2673</v>
      </c>
      <c r="F881" s="72"/>
      <c r="G881" s="71" t="str">
        <f>G880</f>
        <v>25/10/23</v>
      </c>
      <c r="H881" s="70" t="s">
        <v>27</v>
      </c>
      <c r="I881" s="73">
        <f t="shared" ref="I881:I944" si="62">IF(J881&lt;&gt;"",J881-J881/1.1,"")</f>
        <v>21.818181818181841</v>
      </c>
      <c r="J881" s="74">
        <f>M880*0.1</f>
        <v>240</v>
      </c>
      <c r="K881" s="74">
        <f t="shared" ref="K881:K944" si="63">IF(N881="",J881,0)</f>
        <v>240</v>
      </c>
      <c r="L881" s="73" t="str">
        <f t="shared" ref="L881:L944" si="64">IF(M881&lt;&gt;"",M881-M881/1.1,"")</f>
        <v/>
      </c>
      <c r="M881" s="74"/>
    </row>
    <row r="882" spans="2:13" s="46" customFormat="1" ht="15">
      <c r="B882" s="534">
        <f t="shared" si="61"/>
        <v>875</v>
      </c>
      <c r="C882" s="69" t="s">
        <v>2670</v>
      </c>
      <c r="D882" s="69" t="s">
        <v>2282</v>
      </c>
      <c r="E882" s="70" t="str">
        <f>VLOOKUP(F882,購入者リスト!B:F,4,FALSE)</f>
        <v>多肉 ちょこん入り 7種セット 抜き苗</v>
      </c>
      <c r="F882" s="69">
        <v>64</v>
      </c>
      <c r="G882" s="71" t="str">
        <f>VLOOKUP(F882,購入者リスト!B:M,12,FALSE)</f>
        <v>25/10/23</v>
      </c>
      <c r="H882" s="70" t="s">
        <v>27</v>
      </c>
      <c r="I882" s="73" t="str">
        <f t="shared" si="62"/>
        <v/>
      </c>
      <c r="J882" s="74"/>
      <c r="K882" s="74">
        <f t="shared" si="63"/>
        <v>0</v>
      </c>
      <c r="L882" s="73">
        <f t="shared" si="64"/>
        <v>236.36363636363649</v>
      </c>
      <c r="M882" s="74">
        <f>VLOOKUP(F882,購入者リスト!B:F,5,FALSE)</f>
        <v>2600</v>
      </c>
    </row>
    <row r="883" spans="2:13" s="46" customFormat="1" ht="15">
      <c r="B883" s="534">
        <f t="shared" si="61"/>
        <v>876</v>
      </c>
      <c r="C883" s="69" t="s">
        <v>2671</v>
      </c>
      <c r="D883" s="69" t="s">
        <v>2672</v>
      </c>
      <c r="E883" s="70" t="s">
        <v>2673</v>
      </c>
      <c r="F883" s="72"/>
      <c r="G883" s="71" t="str">
        <f>G882</f>
        <v>25/10/23</v>
      </c>
      <c r="H883" s="70" t="s">
        <v>27</v>
      </c>
      <c r="I883" s="73">
        <f t="shared" si="62"/>
        <v>23.636363636363654</v>
      </c>
      <c r="J883" s="74">
        <f>M882*0.1</f>
        <v>260</v>
      </c>
      <c r="K883" s="74">
        <f t="shared" si="63"/>
        <v>260</v>
      </c>
      <c r="L883" s="73" t="str">
        <f t="shared" si="64"/>
        <v/>
      </c>
      <c r="M883" s="74"/>
    </row>
    <row r="884" spans="2:13" s="46" customFormat="1" ht="15">
      <c r="B884" s="534">
        <f t="shared" si="61"/>
        <v>877</v>
      </c>
      <c r="C884" s="56" t="s">
        <v>2262</v>
      </c>
      <c r="D884" s="56" t="s">
        <v>2711</v>
      </c>
      <c r="E884" s="57" t="s">
        <v>2951</v>
      </c>
      <c r="F884" s="58"/>
      <c r="G884" s="59">
        <v>45956</v>
      </c>
      <c r="H884" s="57" t="s">
        <v>129</v>
      </c>
      <c r="I884" s="62">
        <f t="shared" si="62"/>
        <v>248</v>
      </c>
      <c r="J884" s="63">
        <v>2728</v>
      </c>
      <c r="K884" s="63">
        <f t="shared" si="63"/>
        <v>2728</v>
      </c>
      <c r="L884" s="62" t="str">
        <f t="shared" si="64"/>
        <v/>
      </c>
      <c r="M884" s="63"/>
    </row>
    <row r="885" spans="2:13" s="46" customFormat="1" ht="15">
      <c r="B885" s="534">
        <f t="shared" si="61"/>
        <v>878</v>
      </c>
      <c r="C885" s="56" t="s">
        <v>2262</v>
      </c>
      <c r="D885" s="56" t="s">
        <v>2512</v>
      </c>
      <c r="E885" s="57" t="s">
        <v>2952</v>
      </c>
      <c r="F885" s="58"/>
      <c r="G885" s="59">
        <v>45956</v>
      </c>
      <c r="H885" s="57" t="s">
        <v>129</v>
      </c>
      <c r="I885" s="62">
        <f t="shared" si="62"/>
        <v>27.727272727272748</v>
      </c>
      <c r="J885" s="63">
        <v>305</v>
      </c>
      <c r="K885" s="63">
        <f t="shared" si="63"/>
        <v>305</v>
      </c>
      <c r="L885" s="62" t="str">
        <f t="shared" si="64"/>
        <v/>
      </c>
      <c r="M885" s="63"/>
    </row>
    <row r="886" spans="2:13" s="46" customFormat="1" ht="15">
      <c r="B886" s="534">
        <f t="shared" si="61"/>
        <v>879</v>
      </c>
      <c r="C886" s="56" t="s">
        <v>2342</v>
      </c>
      <c r="D886" s="56" t="s">
        <v>2693</v>
      </c>
      <c r="E886" s="57" t="s">
        <v>2694</v>
      </c>
      <c r="F886" s="64">
        <v>299.5</v>
      </c>
      <c r="G886" s="59">
        <v>45957</v>
      </c>
      <c r="H886" s="57" t="s">
        <v>2695</v>
      </c>
      <c r="I886" s="62">
        <f t="shared" si="62"/>
        <v>21.818181818181841</v>
      </c>
      <c r="J886" s="63">
        <v>240</v>
      </c>
      <c r="K886" s="63">
        <f t="shared" si="63"/>
        <v>240</v>
      </c>
      <c r="L886" s="62" t="str">
        <f t="shared" si="64"/>
        <v/>
      </c>
      <c r="M886" s="63"/>
    </row>
    <row r="887" spans="2:13" s="46" customFormat="1" ht="15">
      <c r="B887" s="534">
        <f t="shared" si="61"/>
        <v>880</v>
      </c>
      <c r="C887" s="56" t="s">
        <v>2342</v>
      </c>
      <c r="D887" s="56" t="s">
        <v>2693</v>
      </c>
      <c r="E887" s="57" t="s">
        <v>2694</v>
      </c>
      <c r="F887" s="64">
        <v>299.5</v>
      </c>
      <c r="G887" s="59">
        <v>45957</v>
      </c>
      <c r="H887" s="57" t="s">
        <v>2695</v>
      </c>
      <c r="I887" s="62">
        <f t="shared" si="62"/>
        <v>21.818181818181841</v>
      </c>
      <c r="J887" s="63">
        <v>240</v>
      </c>
      <c r="K887" s="63">
        <f t="shared" si="63"/>
        <v>240</v>
      </c>
      <c r="L887" s="62" t="str">
        <f t="shared" si="64"/>
        <v/>
      </c>
      <c r="M887" s="63"/>
    </row>
    <row r="888" spans="2:13" s="46" customFormat="1" ht="15">
      <c r="B888" s="534">
        <f t="shared" si="61"/>
        <v>881</v>
      </c>
      <c r="C888" s="56" t="s">
        <v>2342</v>
      </c>
      <c r="D888" s="56" t="s">
        <v>2693</v>
      </c>
      <c r="E888" s="57" t="s">
        <v>2694</v>
      </c>
      <c r="F888" s="64">
        <v>299.5</v>
      </c>
      <c r="G888" s="59">
        <v>45957</v>
      </c>
      <c r="H888" s="57" t="s">
        <v>2695</v>
      </c>
      <c r="I888" s="62">
        <f t="shared" si="62"/>
        <v>21.818181818181841</v>
      </c>
      <c r="J888" s="63">
        <v>240</v>
      </c>
      <c r="K888" s="63">
        <f t="shared" si="63"/>
        <v>240</v>
      </c>
      <c r="L888" s="62" t="str">
        <f t="shared" si="64"/>
        <v/>
      </c>
      <c r="M888" s="63"/>
    </row>
    <row r="889" spans="2:13" s="46" customFormat="1" ht="15">
      <c r="B889" s="534">
        <f t="shared" si="61"/>
        <v>882</v>
      </c>
      <c r="C889" s="56" t="s">
        <v>2342</v>
      </c>
      <c r="D889" s="56" t="s">
        <v>2693</v>
      </c>
      <c r="E889" s="57" t="s">
        <v>2694</v>
      </c>
      <c r="F889" s="64">
        <v>299.5</v>
      </c>
      <c r="G889" s="59">
        <v>45957</v>
      </c>
      <c r="H889" s="57" t="s">
        <v>2695</v>
      </c>
      <c r="I889" s="62">
        <f t="shared" si="62"/>
        <v>21.818181818181841</v>
      </c>
      <c r="J889" s="63">
        <v>240</v>
      </c>
      <c r="K889" s="63">
        <f t="shared" si="63"/>
        <v>240</v>
      </c>
      <c r="L889" s="62" t="str">
        <f t="shared" si="64"/>
        <v/>
      </c>
      <c r="M889" s="63"/>
    </row>
    <row r="890" spans="2:13" s="46" customFormat="1" ht="15">
      <c r="B890" s="534">
        <f t="shared" si="61"/>
        <v>883</v>
      </c>
      <c r="C890" s="56" t="s">
        <v>2342</v>
      </c>
      <c r="D890" s="56" t="s">
        <v>2693</v>
      </c>
      <c r="E890" s="57" t="s">
        <v>2694</v>
      </c>
      <c r="F890" s="64">
        <v>306.5</v>
      </c>
      <c r="G890" s="59">
        <v>45957</v>
      </c>
      <c r="H890" s="57" t="s">
        <v>2695</v>
      </c>
      <c r="I890" s="62">
        <f t="shared" si="62"/>
        <v>26.363636363636374</v>
      </c>
      <c r="J890" s="63">
        <v>290</v>
      </c>
      <c r="K890" s="63">
        <f t="shared" si="63"/>
        <v>290</v>
      </c>
      <c r="L890" s="62" t="str">
        <f t="shared" si="64"/>
        <v/>
      </c>
      <c r="M890" s="63"/>
    </row>
    <row r="891" spans="2:13" s="46" customFormat="1" ht="15">
      <c r="B891" s="534">
        <f t="shared" si="61"/>
        <v>884</v>
      </c>
      <c r="C891" s="56" t="s">
        <v>2273</v>
      </c>
      <c r="D891" s="56" t="s">
        <v>2274</v>
      </c>
      <c r="E891" s="57" t="s">
        <v>2904</v>
      </c>
      <c r="F891" s="58"/>
      <c r="G891" s="59">
        <v>45958</v>
      </c>
      <c r="H891" s="57" t="s">
        <v>135</v>
      </c>
      <c r="I891" s="62">
        <f t="shared" si="62"/>
        <v>97.000000000000114</v>
      </c>
      <c r="J891" s="63">
        <v>1067</v>
      </c>
      <c r="K891" s="63">
        <f t="shared" si="63"/>
        <v>1067</v>
      </c>
      <c r="L891" s="62" t="str">
        <f t="shared" si="64"/>
        <v/>
      </c>
      <c r="M891" s="63"/>
    </row>
    <row r="892" spans="2:13" s="46" customFormat="1" ht="15">
      <c r="B892" s="534">
        <f t="shared" si="61"/>
        <v>885</v>
      </c>
      <c r="C892" s="56" t="s">
        <v>2262</v>
      </c>
      <c r="D892" s="56" t="s">
        <v>2514</v>
      </c>
      <c r="E892" s="57" t="s">
        <v>2835</v>
      </c>
      <c r="F892" s="58"/>
      <c r="G892" s="59">
        <v>45958</v>
      </c>
      <c r="H892" s="57" t="s">
        <v>2828</v>
      </c>
      <c r="I892" s="62">
        <f t="shared" si="62"/>
        <v>154.09090909090924</v>
      </c>
      <c r="J892" s="63">
        <v>1695</v>
      </c>
      <c r="K892" s="63">
        <f t="shared" si="63"/>
        <v>1695</v>
      </c>
      <c r="L892" s="62" t="str">
        <f t="shared" si="64"/>
        <v/>
      </c>
      <c r="M892" s="63"/>
    </row>
    <row r="893" spans="2:13" s="46" customFormat="1" ht="15">
      <c r="B893" s="534">
        <f t="shared" si="61"/>
        <v>886</v>
      </c>
      <c r="C893" s="56" t="s">
        <v>2262</v>
      </c>
      <c r="D893" s="56" t="s">
        <v>2953</v>
      </c>
      <c r="E893" s="57" t="s">
        <v>2954</v>
      </c>
      <c r="F893" s="58"/>
      <c r="G893" s="59">
        <v>45958</v>
      </c>
      <c r="H893" s="57" t="s">
        <v>2828</v>
      </c>
      <c r="I893" s="62">
        <f t="shared" si="62"/>
        <v>51.636363636363626</v>
      </c>
      <c r="J893" s="63">
        <v>568</v>
      </c>
      <c r="K893" s="63">
        <f t="shared" si="63"/>
        <v>568</v>
      </c>
      <c r="L893" s="62" t="str">
        <f t="shared" si="64"/>
        <v/>
      </c>
      <c r="M893" s="63"/>
    </row>
    <row r="894" spans="2:13" s="46" customFormat="1" ht="15">
      <c r="B894" s="534">
        <f t="shared" si="61"/>
        <v>887</v>
      </c>
      <c r="C894" s="56" t="s">
        <v>2262</v>
      </c>
      <c r="D894" s="56" t="s">
        <v>2953</v>
      </c>
      <c r="E894" s="57" t="s">
        <v>2955</v>
      </c>
      <c r="F894" s="58"/>
      <c r="G894" s="59">
        <v>45958</v>
      </c>
      <c r="H894" s="57" t="s">
        <v>2828</v>
      </c>
      <c r="I894" s="62">
        <f t="shared" si="62"/>
        <v>125.81818181818198</v>
      </c>
      <c r="J894" s="63">
        <v>1384</v>
      </c>
      <c r="K894" s="63">
        <f t="shared" si="63"/>
        <v>1384</v>
      </c>
      <c r="L894" s="62" t="str">
        <f t="shared" si="64"/>
        <v/>
      </c>
      <c r="M894" s="63"/>
    </row>
    <row r="895" spans="2:13" s="46" customFormat="1" ht="15">
      <c r="B895" s="534">
        <f t="shared" si="61"/>
        <v>888</v>
      </c>
      <c r="C895" s="56" t="s">
        <v>2262</v>
      </c>
      <c r="D895" s="56" t="s">
        <v>2881</v>
      </c>
      <c r="E895" s="57" t="s">
        <v>2956</v>
      </c>
      <c r="F895" s="58" t="s">
        <v>2271</v>
      </c>
      <c r="G895" s="59">
        <v>45958</v>
      </c>
      <c r="H895" s="57" t="s">
        <v>2828</v>
      </c>
      <c r="I895" s="62">
        <f t="shared" si="62"/>
        <v>23.454545454545467</v>
      </c>
      <c r="J895" s="63">
        <v>258</v>
      </c>
      <c r="K895" s="63">
        <f t="shared" si="63"/>
        <v>258</v>
      </c>
      <c r="L895" s="62" t="str">
        <f t="shared" si="64"/>
        <v/>
      </c>
      <c r="M895" s="63"/>
    </row>
    <row r="896" spans="2:13" s="46" customFormat="1" ht="15">
      <c r="B896" s="534">
        <f t="shared" si="61"/>
        <v>889</v>
      </c>
      <c r="C896" s="56" t="s">
        <v>2262</v>
      </c>
      <c r="D896" s="56" t="s">
        <v>2276</v>
      </c>
      <c r="E896" s="57" t="s">
        <v>2447</v>
      </c>
      <c r="F896" s="58" t="s">
        <v>2271</v>
      </c>
      <c r="G896" s="59">
        <v>45958</v>
      </c>
      <c r="H896" s="57" t="s">
        <v>598</v>
      </c>
      <c r="I896" s="62">
        <f t="shared" si="62"/>
        <v>108.72727272727275</v>
      </c>
      <c r="J896" s="63">
        <v>1196</v>
      </c>
      <c r="K896" s="63">
        <f t="shared" si="63"/>
        <v>1196</v>
      </c>
      <c r="L896" s="62" t="str">
        <f t="shared" si="64"/>
        <v/>
      </c>
      <c r="M896" s="63"/>
    </row>
    <row r="897" spans="2:14" s="46" customFormat="1" ht="15">
      <c r="B897" s="534">
        <f t="shared" si="61"/>
        <v>890</v>
      </c>
      <c r="C897" s="69" t="s">
        <v>2670</v>
      </c>
      <c r="D897" s="69" t="s">
        <v>2282</v>
      </c>
      <c r="E897" s="70" t="str">
        <f>VLOOKUP(F897,購入者リスト!B:F,4,FALSE)</f>
        <v>多肉 はじまりの花入り 7種セット 抜き苗</v>
      </c>
      <c r="F897" s="69">
        <v>68</v>
      </c>
      <c r="G897" s="71" t="str">
        <f>VLOOKUP(F897,購入者リスト!B:M,12,FALSE)</f>
        <v>25/10/30</v>
      </c>
      <c r="H897" s="70" t="s">
        <v>27</v>
      </c>
      <c r="I897" s="73" t="str">
        <f t="shared" si="62"/>
        <v/>
      </c>
      <c r="J897" s="74"/>
      <c r="K897" s="74">
        <f t="shared" si="63"/>
        <v>0</v>
      </c>
      <c r="L897" s="73">
        <f t="shared" si="64"/>
        <v>218.18181818181847</v>
      </c>
      <c r="M897" s="74">
        <f>VLOOKUP(F897,購入者リスト!B:F,5,FALSE)</f>
        <v>2400</v>
      </c>
    </row>
    <row r="898" spans="2:14" s="46" customFormat="1" ht="15">
      <c r="B898" s="534">
        <f t="shared" si="61"/>
        <v>891</v>
      </c>
      <c r="C898" s="69" t="s">
        <v>2671</v>
      </c>
      <c r="D898" s="69" t="s">
        <v>2672</v>
      </c>
      <c r="E898" s="70" t="s">
        <v>2673</v>
      </c>
      <c r="F898" s="72"/>
      <c r="G898" s="71" t="str">
        <f>G897</f>
        <v>25/10/30</v>
      </c>
      <c r="H898" s="70" t="s">
        <v>27</v>
      </c>
      <c r="I898" s="73">
        <f t="shared" si="62"/>
        <v>21.818181818181841</v>
      </c>
      <c r="J898" s="74">
        <f>M897*0.1</f>
        <v>240</v>
      </c>
      <c r="K898" s="74">
        <f t="shared" si="63"/>
        <v>240</v>
      </c>
      <c r="L898" s="73" t="str">
        <f t="shared" si="64"/>
        <v/>
      </c>
      <c r="M898" s="74"/>
    </row>
    <row r="899" spans="2:14" s="46" customFormat="1" ht="15">
      <c r="B899" s="534">
        <f t="shared" si="61"/>
        <v>892</v>
      </c>
      <c r="C899" s="69" t="s">
        <v>2670</v>
      </c>
      <c r="D899" s="69" t="s">
        <v>2282</v>
      </c>
      <c r="E899" s="70" t="str">
        <f>VLOOKUP(F899,購入者リスト!B:F,4,FALSE)</f>
        <v>多肉 ちょこん入り 7種セット B 抜き苗</v>
      </c>
      <c r="F899" s="69">
        <v>66</v>
      </c>
      <c r="G899" s="71" t="str">
        <f>VLOOKUP(F899,購入者リスト!B:M,12,FALSE)</f>
        <v>25/10/30</v>
      </c>
      <c r="H899" s="70" t="s">
        <v>27</v>
      </c>
      <c r="I899" s="73" t="str">
        <f t="shared" si="62"/>
        <v/>
      </c>
      <c r="J899" s="74"/>
      <c r="K899" s="74">
        <f t="shared" si="63"/>
        <v>0</v>
      </c>
      <c r="L899" s="73">
        <f t="shared" si="64"/>
        <v>218.18181818181847</v>
      </c>
      <c r="M899" s="74">
        <f>VLOOKUP(F899,購入者リスト!B:F,5,FALSE)</f>
        <v>2400</v>
      </c>
    </row>
    <row r="900" spans="2:14" s="46" customFormat="1" ht="15">
      <c r="B900" s="534">
        <f t="shared" si="61"/>
        <v>893</v>
      </c>
      <c r="C900" s="69" t="s">
        <v>2671</v>
      </c>
      <c r="D900" s="69" t="s">
        <v>2672</v>
      </c>
      <c r="E900" s="70" t="s">
        <v>2673</v>
      </c>
      <c r="F900" s="72"/>
      <c r="G900" s="71" t="str">
        <f>G899</f>
        <v>25/10/30</v>
      </c>
      <c r="H900" s="70" t="s">
        <v>27</v>
      </c>
      <c r="I900" s="73">
        <f t="shared" si="62"/>
        <v>21.818181818181841</v>
      </c>
      <c r="J900" s="74">
        <f>M899*0.1</f>
        <v>240</v>
      </c>
      <c r="K900" s="74">
        <f t="shared" si="63"/>
        <v>240</v>
      </c>
      <c r="L900" s="73" t="str">
        <f t="shared" si="64"/>
        <v/>
      </c>
      <c r="M900" s="74"/>
    </row>
    <row r="901" spans="2:14" s="46" customFormat="1" ht="15">
      <c r="B901" s="534">
        <f t="shared" si="61"/>
        <v>894</v>
      </c>
      <c r="C901" s="69" t="s">
        <v>2670</v>
      </c>
      <c r="D901" s="69" t="s">
        <v>2282</v>
      </c>
      <c r="E901" s="70" t="str">
        <f>VLOOKUP(F901,購入者リスト!B:F,4,FALSE)</f>
        <v>多肉 紫紺の矢入り 7種セット 抜き苗</v>
      </c>
      <c r="F901" s="69">
        <v>69</v>
      </c>
      <c r="G901" s="71" t="str">
        <f>VLOOKUP(F901,購入者リスト!B:M,12,FALSE)</f>
        <v>25/10/30</v>
      </c>
      <c r="H901" s="70" t="s">
        <v>27</v>
      </c>
      <c r="I901" s="73" t="str">
        <f t="shared" si="62"/>
        <v/>
      </c>
      <c r="J901" s="74"/>
      <c r="K901" s="74">
        <f t="shared" si="63"/>
        <v>0</v>
      </c>
      <c r="L901" s="73">
        <f t="shared" si="64"/>
        <v>200.00000000000023</v>
      </c>
      <c r="M901" s="74">
        <f>VLOOKUP(F901,購入者リスト!B:F,5,FALSE)</f>
        <v>2200</v>
      </c>
    </row>
    <row r="902" spans="2:14" s="46" customFormat="1" ht="15">
      <c r="B902" s="534">
        <f t="shared" si="61"/>
        <v>895</v>
      </c>
      <c r="C902" s="69" t="s">
        <v>2671</v>
      </c>
      <c r="D902" s="69" t="s">
        <v>2672</v>
      </c>
      <c r="E902" s="70" t="s">
        <v>2673</v>
      </c>
      <c r="F902" s="72"/>
      <c r="G902" s="71" t="str">
        <f>G901</f>
        <v>25/10/30</v>
      </c>
      <c r="H902" s="70" t="s">
        <v>27</v>
      </c>
      <c r="I902" s="73">
        <f t="shared" si="62"/>
        <v>20.000000000000028</v>
      </c>
      <c r="J902" s="74">
        <f>M901*0.1</f>
        <v>220</v>
      </c>
      <c r="K902" s="74">
        <f t="shared" si="63"/>
        <v>220</v>
      </c>
      <c r="L902" s="73" t="str">
        <f t="shared" si="64"/>
        <v/>
      </c>
      <c r="M902" s="74"/>
    </row>
    <row r="903" spans="2:14" s="46" customFormat="1" ht="15">
      <c r="B903" s="534">
        <f t="shared" si="61"/>
        <v>896</v>
      </c>
      <c r="C903" s="69" t="s">
        <v>2670</v>
      </c>
      <c r="D903" s="69" t="s">
        <v>2282</v>
      </c>
      <c r="E903" s="70" t="str">
        <f>VLOOKUP(F903,購入者リスト!B:F,4,FALSE)</f>
        <v>多肉 ちょこん入り 7種セット C 抜き苗</v>
      </c>
      <c r="F903" s="69">
        <v>67</v>
      </c>
      <c r="G903" s="71" t="str">
        <f>VLOOKUP(F903,購入者リスト!B:M,12,FALSE)</f>
        <v>25/10/30</v>
      </c>
      <c r="H903" s="70" t="s">
        <v>27</v>
      </c>
      <c r="I903" s="73" t="str">
        <f t="shared" si="62"/>
        <v/>
      </c>
      <c r="J903" s="74"/>
      <c r="K903" s="74">
        <f t="shared" si="63"/>
        <v>0</v>
      </c>
      <c r="L903" s="73">
        <f t="shared" si="64"/>
        <v>218.18181818181847</v>
      </c>
      <c r="M903" s="74">
        <f>VLOOKUP(F903,購入者リスト!B:F,5,FALSE)</f>
        <v>2400</v>
      </c>
    </row>
    <row r="904" spans="2:14" s="46" customFormat="1" ht="15">
      <c r="B904" s="534">
        <f t="shared" si="61"/>
        <v>897</v>
      </c>
      <c r="C904" s="69" t="s">
        <v>2671</v>
      </c>
      <c r="D904" s="69" t="s">
        <v>2672</v>
      </c>
      <c r="E904" s="70" t="s">
        <v>2673</v>
      </c>
      <c r="F904" s="72"/>
      <c r="G904" s="71" t="str">
        <f>G903</f>
        <v>25/10/30</v>
      </c>
      <c r="H904" s="70" t="s">
        <v>27</v>
      </c>
      <c r="I904" s="73">
        <f t="shared" si="62"/>
        <v>21.818181818181841</v>
      </c>
      <c r="J904" s="74">
        <f>M903*0.1</f>
        <v>240</v>
      </c>
      <c r="K904" s="74">
        <f t="shared" si="63"/>
        <v>240</v>
      </c>
      <c r="L904" s="73" t="str">
        <f t="shared" si="64"/>
        <v/>
      </c>
      <c r="M904" s="74"/>
    </row>
    <row r="905" spans="2:14" s="46" customFormat="1" ht="15">
      <c r="B905" s="534">
        <f t="shared" si="61"/>
        <v>898</v>
      </c>
      <c r="C905" s="69" t="s">
        <v>2670</v>
      </c>
      <c r="D905" s="69" t="s">
        <v>2282</v>
      </c>
      <c r="E905" s="70" t="str">
        <f>VLOOKUP(F905,購入者リスト!B:F,4,FALSE)</f>
        <v>多肉 ちょこん入り 7種セット A 抜き苗</v>
      </c>
      <c r="F905" s="69">
        <v>65</v>
      </c>
      <c r="G905" s="71" t="str">
        <f>VLOOKUP(F905,購入者リスト!B:M,12,FALSE)</f>
        <v>25/10/31</v>
      </c>
      <c r="H905" s="70" t="s">
        <v>27</v>
      </c>
      <c r="I905" s="73" t="str">
        <f t="shared" si="62"/>
        <v/>
      </c>
      <c r="J905" s="74"/>
      <c r="K905" s="74">
        <f t="shared" si="63"/>
        <v>0</v>
      </c>
      <c r="L905" s="73">
        <f t="shared" si="64"/>
        <v>245.4545454545455</v>
      </c>
      <c r="M905" s="74">
        <f>VLOOKUP(F905,購入者リスト!B:F,5,FALSE)</f>
        <v>2700</v>
      </c>
    </row>
    <row r="906" spans="2:14" s="46" customFormat="1" ht="15">
      <c r="B906" s="534">
        <f t="shared" si="61"/>
        <v>899</v>
      </c>
      <c r="C906" s="69" t="s">
        <v>2671</v>
      </c>
      <c r="D906" s="69" t="s">
        <v>2672</v>
      </c>
      <c r="E906" s="70" t="s">
        <v>2673</v>
      </c>
      <c r="F906" s="72"/>
      <c r="G906" s="71" t="str">
        <f>G905</f>
        <v>25/10/31</v>
      </c>
      <c r="H906" s="70" t="s">
        <v>27</v>
      </c>
      <c r="I906" s="73">
        <f t="shared" si="62"/>
        <v>24.545454545454561</v>
      </c>
      <c r="J906" s="74">
        <f>M905*0.1</f>
        <v>270</v>
      </c>
      <c r="K906" s="74">
        <f t="shared" si="63"/>
        <v>270</v>
      </c>
      <c r="L906" s="73" t="str">
        <f t="shared" si="64"/>
        <v/>
      </c>
      <c r="M906" s="74"/>
    </row>
    <row r="907" spans="2:14" s="46" customFormat="1" ht="15">
      <c r="B907" s="534">
        <f t="shared" si="61"/>
        <v>900</v>
      </c>
      <c r="C907" s="56" t="s">
        <v>2774</v>
      </c>
      <c r="D907" s="56" t="s">
        <v>2957</v>
      </c>
      <c r="E907" s="57" t="s">
        <v>2958</v>
      </c>
      <c r="F907" s="58"/>
      <c r="G907" s="59">
        <v>45961</v>
      </c>
      <c r="H907" s="57" t="s">
        <v>2959</v>
      </c>
      <c r="I907" s="62">
        <f t="shared" si="62"/>
        <v>1000</v>
      </c>
      <c r="J907" s="63">
        <v>11000</v>
      </c>
      <c r="K907" s="63">
        <f t="shared" si="63"/>
        <v>0</v>
      </c>
      <c r="L907" s="62" t="str">
        <f t="shared" si="64"/>
        <v/>
      </c>
      <c r="M907" s="63"/>
      <c r="N907" s="66" t="s">
        <v>24</v>
      </c>
    </row>
    <row r="908" spans="2:14" s="46" customFormat="1" ht="15">
      <c r="B908" s="534">
        <f t="shared" si="61"/>
        <v>901</v>
      </c>
      <c r="C908" s="56" t="s">
        <v>2442</v>
      </c>
      <c r="D908" s="56" t="s">
        <v>2534</v>
      </c>
      <c r="E908" s="57" t="s">
        <v>2535</v>
      </c>
      <c r="F908" s="58" t="s">
        <v>2940</v>
      </c>
      <c r="G908" s="59">
        <v>45962</v>
      </c>
      <c r="H908" s="57" t="s">
        <v>2941</v>
      </c>
      <c r="I908" s="62">
        <f t="shared" si="62"/>
        <v>272.72727272727298</v>
      </c>
      <c r="J908" s="63">
        <v>3000</v>
      </c>
      <c r="K908" s="63">
        <f t="shared" si="63"/>
        <v>0</v>
      </c>
      <c r="L908" s="62" t="str">
        <f t="shared" si="64"/>
        <v/>
      </c>
      <c r="M908" s="63"/>
      <c r="N908" s="66" t="s">
        <v>24</v>
      </c>
    </row>
    <row r="909" spans="2:14" s="46" customFormat="1" ht="15">
      <c r="B909" s="534">
        <f t="shared" si="61"/>
        <v>902</v>
      </c>
      <c r="C909" s="56" t="s">
        <v>2262</v>
      </c>
      <c r="D909" s="56" t="s">
        <v>2960</v>
      </c>
      <c r="E909" s="57" t="s">
        <v>2961</v>
      </c>
      <c r="F909" s="58"/>
      <c r="G909" s="59">
        <v>45964</v>
      </c>
      <c r="H909" s="57" t="s">
        <v>45</v>
      </c>
      <c r="I909" s="62">
        <f t="shared" si="62"/>
        <v>10.000000000000014</v>
      </c>
      <c r="J909" s="63">
        <v>110</v>
      </c>
      <c r="K909" s="63">
        <f t="shared" si="63"/>
        <v>110</v>
      </c>
      <c r="L909" s="62" t="str">
        <f t="shared" si="64"/>
        <v/>
      </c>
      <c r="M909" s="63"/>
    </row>
    <row r="910" spans="2:14" s="46" customFormat="1" ht="15">
      <c r="B910" s="534">
        <f t="shared" si="61"/>
        <v>903</v>
      </c>
      <c r="C910" s="56" t="s">
        <v>2262</v>
      </c>
      <c r="D910" s="56" t="s">
        <v>3</v>
      </c>
      <c r="E910" s="57" t="s">
        <v>25</v>
      </c>
      <c r="F910" s="58"/>
      <c r="G910" s="59">
        <v>45964</v>
      </c>
      <c r="H910" s="57" t="s">
        <v>27</v>
      </c>
      <c r="I910" s="62">
        <f t="shared" si="62"/>
        <v>207.27272727272748</v>
      </c>
      <c r="J910" s="63">
        <v>2280</v>
      </c>
      <c r="K910" s="63">
        <f t="shared" si="63"/>
        <v>2280</v>
      </c>
      <c r="L910" s="62" t="str">
        <f t="shared" si="64"/>
        <v/>
      </c>
      <c r="M910" s="63"/>
    </row>
    <row r="911" spans="2:14" s="46" customFormat="1" ht="15">
      <c r="B911" s="534">
        <f t="shared" si="61"/>
        <v>904</v>
      </c>
      <c r="C911" s="56" t="s">
        <v>2909</v>
      </c>
      <c r="D911" s="56" t="s">
        <v>2910</v>
      </c>
      <c r="E911" s="57" t="s">
        <v>2962</v>
      </c>
      <c r="F911" s="58"/>
      <c r="G911" s="59">
        <v>45965</v>
      </c>
      <c r="H911" s="57" t="s">
        <v>27</v>
      </c>
      <c r="I911" s="62">
        <f t="shared" si="62"/>
        <v>116.36363636363649</v>
      </c>
      <c r="J911" s="63">
        <v>1280</v>
      </c>
      <c r="K911" s="63">
        <f t="shared" si="63"/>
        <v>1280</v>
      </c>
      <c r="L911" s="62" t="str">
        <f t="shared" si="64"/>
        <v/>
      </c>
      <c r="M911" s="63"/>
    </row>
    <row r="912" spans="2:14" s="46" customFormat="1" ht="15">
      <c r="B912" s="534">
        <f t="shared" si="61"/>
        <v>905</v>
      </c>
      <c r="C912" s="56" t="s">
        <v>2774</v>
      </c>
      <c r="D912" s="56" t="s">
        <v>2775</v>
      </c>
      <c r="E912" s="57" t="s">
        <v>2963</v>
      </c>
      <c r="F912" s="58"/>
      <c r="G912" s="59">
        <v>45968</v>
      </c>
      <c r="H912" s="57" t="s">
        <v>2777</v>
      </c>
      <c r="I912" s="62">
        <f t="shared" si="62"/>
        <v>472.18181818181893</v>
      </c>
      <c r="J912" s="63">
        <v>5194</v>
      </c>
      <c r="K912" s="63">
        <f t="shared" si="63"/>
        <v>0</v>
      </c>
      <c r="L912" s="62" t="str">
        <f t="shared" si="64"/>
        <v/>
      </c>
      <c r="M912" s="63"/>
      <c r="N912" s="66" t="s">
        <v>24</v>
      </c>
    </row>
    <row r="913" spans="2:14" s="46" customFormat="1" ht="15">
      <c r="B913" s="534">
        <f t="shared" si="61"/>
        <v>906</v>
      </c>
      <c r="C913" s="56" t="s">
        <v>2774</v>
      </c>
      <c r="D913" s="56" t="s">
        <v>2964</v>
      </c>
      <c r="E913" s="57" t="s">
        <v>2965</v>
      </c>
      <c r="F913" s="58"/>
      <c r="G913" s="59">
        <v>45969</v>
      </c>
      <c r="H913" s="57" t="s">
        <v>2966</v>
      </c>
      <c r="I913" s="62">
        <f t="shared" si="62"/>
        <v>27.272727272727309</v>
      </c>
      <c r="J913" s="63">
        <v>300</v>
      </c>
      <c r="K913" s="63">
        <f t="shared" si="63"/>
        <v>0</v>
      </c>
      <c r="L913" s="62" t="str">
        <f t="shared" si="64"/>
        <v/>
      </c>
      <c r="M913" s="63"/>
      <c r="N913" s="66" t="s">
        <v>24</v>
      </c>
    </row>
    <row r="914" spans="2:14" s="46" customFormat="1" ht="15">
      <c r="B914" s="534">
        <f t="shared" si="61"/>
        <v>907</v>
      </c>
      <c r="C914" s="56" t="s">
        <v>2262</v>
      </c>
      <c r="D914" s="56" t="s">
        <v>2967</v>
      </c>
      <c r="E914" s="57" t="s">
        <v>2968</v>
      </c>
      <c r="F914" s="58"/>
      <c r="G914" s="59">
        <v>45969</v>
      </c>
      <c r="H914" s="57" t="s">
        <v>49</v>
      </c>
      <c r="I914" s="62">
        <f t="shared" si="62"/>
        <v>120</v>
      </c>
      <c r="J914" s="63">
        <v>1320</v>
      </c>
      <c r="K914" s="63">
        <f t="shared" si="63"/>
        <v>1320</v>
      </c>
      <c r="L914" s="62" t="str">
        <f t="shared" si="64"/>
        <v/>
      </c>
      <c r="M914" s="63"/>
    </row>
    <row r="915" spans="2:14" s="46" customFormat="1" ht="15">
      <c r="B915" s="534">
        <f t="shared" si="61"/>
        <v>908</v>
      </c>
      <c r="C915" s="56" t="s">
        <v>2342</v>
      </c>
      <c r="D915" s="56" t="s">
        <v>2693</v>
      </c>
      <c r="E915" s="57" t="s">
        <v>2694</v>
      </c>
      <c r="F915" s="64">
        <v>193</v>
      </c>
      <c r="G915" s="59">
        <v>45971</v>
      </c>
      <c r="H915" s="57" t="s">
        <v>2695</v>
      </c>
      <c r="I915" s="62">
        <f t="shared" si="62"/>
        <v>19.090909090909093</v>
      </c>
      <c r="J915" s="63">
        <f>IF(F915&lt;=150,170,IF(F915&lt;=200,210,IF(F915&lt;=250,240,290)))</f>
        <v>210</v>
      </c>
      <c r="K915" s="63">
        <f t="shared" si="63"/>
        <v>210</v>
      </c>
      <c r="L915" s="62" t="str">
        <f t="shared" si="64"/>
        <v/>
      </c>
      <c r="M915" s="63"/>
    </row>
    <row r="916" spans="2:14" s="46" customFormat="1" ht="15">
      <c r="B916" s="534">
        <f t="shared" si="61"/>
        <v>909</v>
      </c>
      <c r="C916" s="56" t="s">
        <v>2342</v>
      </c>
      <c r="D916" s="56" t="s">
        <v>2693</v>
      </c>
      <c r="E916" s="57" t="s">
        <v>2694</v>
      </c>
      <c r="F916" s="64">
        <v>193</v>
      </c>
      <c r="G916" s="59">
        <v>45971</v>
      </c>
      <c r="H916" s="57" t="s">
        <v>2695</v>
      </c>
      <c r="I916" s="62">
        <f t="shared" si="62"/>
        <v>19.090909090909093</v>
      </c>
      <c r="J916" s="63">
        <f>IF(F916&lt;=150,170,IF(F916&lt;=200,210,IF(F916&lt;=250,240,290)))</f>
        <v>210</v>
      </c>
      <c r="K916" s="63">
        <f t="shared" si="63"/>
        <v>210</v>
      </c>
      <c r="L916" s="62" t="str">
        <f t="shared" si="64"/>
        <v/>
      </c>
      <c r="M916" s="63"/>
    </row>
    <row r="917" spans="2:14" s="46" customFormat="1" ht="15">
      <c r="B917" s="534">
        <f t="shared" si="61"/>
        <v>910</v>
      </c>
      <c r="C917" s="56" t="s">
        <v>2342</v>
      </c>
      <c r="D917" s="56" t="s">
        <v>2693</v>
      </c>
      <c r="E917" s="57" t="s">
        <v>2694</v>
      </c>
      <c r="F917" s="64">
        <v>193</v>
      </c>
      <c r="G917" s="59">
        <v>45971</v>
      </c>
      <c r="H917" s="57" t="s">
        <v>2695</v>
      </c>
      <c r="I917" s="62">
        <f t="shared" si="62"/>
        <v>19.090909090909093</v>
      </c>
      <c r="J917" s="63">
        <f>IF(F917&lt;=150,170,IF(F917&lt;=200,210,IF(F917&lt;=250,240,290)))</f>
        <v>210</v>
      </c>
      <c r="K917" s="63">
        <f t="shared" si="63"/>
        <v>210</v>
      </c>
      <c r="L917" s="62" t="str">
        <f t="shared" si="64"/>
        <v/>
      </c>
      <c r="M917" s="63"/>
    </row>
    <row r="918" spans="2:14" s="46" customFormat="1" ht="15">
      <c r="B918" s="534">
        <f t="shared" si="61"/>
        <v>911</v>
      </c>
      <c r="C918" s="56" t="s">
        <v>2342</v>
      </c>
      <c r="D918" s="56" t="s">
        <v>2693</v>
      </c>
      <c r="E918" s="57" t="s">
        <v>2694</v>
      </c>
      <c r="F918" s="64">
        <v>213</v>
      </c>
      <c r="G918" s="59">
        <v>45971</v>
      </c>
      <c r="H918" s="57" t="s">
        <v>2695</v>
      </c>
      <c r="I918" s="62">
        <f t="shared" si="62"/>
        <v>21.818181818181841</v>
      </c>
      <c r="J918" s="63">
        <f>IF(F918&lt;=150,170,IF(F918&lt;=200,210,IF(F918&lt;=250,240,290)))</f>
        <v>240</v>
      </c>
      <c r="K918" s="63">
        <f t="shared" si="63"/>
        <v>240</v>
      </c>
      <c r="L918" s="62" t="str">
        <f t="shared" si="64"/>
        <v/>
      </c>
      <c r="M918" s="63"/>
    </row>
    <row r="919" spans="2:14" s="46" customFormat="1" ht="15">
      <c r="B919" s="534">
        <f t="shared" si="61"/>
        <v>912</v>
      </c>
      <c r="C919" s="56" t="s">
        <v>2342</v>
      </c>
      <c r="D919" s="56" t="s">
        <v>2693</v>
      </c>
      <c r="E919" s="57" t="s">
        <v>2694</v>
      </c>
      <c r="F919" s="64">
        <v>213</v>
      </c>
      <c r="G919" s="59">
        <v>45971</v>
      </c>
      <c r="H919" s="57" t="s">
        <v>2695</v>
      </c>
      <c r="I919" s="62">
        <f t="shared" si="62"/>
        <v>21.818181818181841</v>
      </c>
      <c r="J919" s="63">
        <f>IF(F919&lt;=150,170,IF(F919&lt;=200,210,IF(F919&lt;=250,240,290)))</f>
        <v>240</v>
      </c>
      <c r="K919" s="63">
        <f t="shared" si="63"/>
        <v>240</v>
      </c>
      <c r="L919" s="62" t="str">
        <f t="shared" si="64"/>
        <v/>
      </c>
      <c r="M919" s="63"/>
    </row>
    <row r="920" spans="2:14" s="46" customFormat="1" ht="15">
      <c r="B920" s="534">
        <f t="shared" si="61"/>
        <v>913</v>
      </c>
      <c r="C920" s="69" t="s">
        <v>2670</v>
      </c>
      <c r="D920" s="69" t="s">
        <v>2282</v>
      </c>
      <c r="E920" s="70" t="str">
        <f>VLOOKUP(F920,購入者リスト!B:F,4,FALSE)</f>
        <v>多肉 ちょこん入り 7種セット E 抜き苗</v>
      </c>
      <c r="F920" s="69">
        <v>74</v>
      </c>
      <c r="G920" s="71" t="str">
        <f>VLOOKUP(F920,購入者リスト!B:M,12,FALSE)</f>
        <v>25/11/13</v>
      </c>
      <c r="H920" s="70" t="s">
        <v>27</v>
      </c>
      <c r="I920" s="73" t="str">
        <f t="shared" si="62"/>
        <v/>
      </c>
      <c r="J920" s="74"/>
      <c r="K920" s="74">
        <f t="shared" si="63"/>
        <v>0</v>
      </c>
      <c r="L920" s="73">
        <f t="shared" si="64"/>
        <v>200.00000000000023</v>
      </c>
      <c r="M920" s="74">
        <f>VLOOKUP(F920,購入者リスト!B:F,5,FALSE)</f>
        <v>2200</v>
      </c>
    </row>
    <row r="921" spans="2:14" s="46" customFormat="1" ht="15">
      <c r="B921" s="534">
        <f t="shared" si="61"/>
        <v>914</v>
      </c>
      <c r="C921" s="69" t="s">
        <v>2671</v>
      </c>
      <c r="D921" s="69" t="s">
        <v>2672</v>
      </c>
      <c r="E921" s="70" t="s">
        <v>2673</v>
      </c>
      <c r="F921" s="72"/>
      <c r="G921" s="71" t="str">
        <f>G920</f>
        <v>25/11/13</v>
      </c>
      <c r="H921" s="70" t="s">
        <v>27</v>
      </c>
      <c r="I921" s="73">
        <f t="shared" si="62"/>
        <v>20.000000000000028</v>
      </c>
      <c r="J921" s="74">
        <f>M920*0.1</f>
        <v>220</v>
      </c>
      <c r="K921" s="74">
        <f t="shared" si="63"/>
        <v>220</v>
      </c>
      <c r="L921" s="73" t="str">
        <f t="shared" si="64"/>
        <v/>
      </c>
      <c r="M921" s="74"/>
    </row>
    <row r="922" spans="2:14" s="46" customFormat="1" ht="15">
      <c r="B922" s="534">
        <f t="shared" si="61"/>
        <v>915</v>
      </c>
      <c r="C922" s="69" t="s">
        <v>2670</v>
      </c>
      <c r="D922" s="69" t="s">
        <v>2282</v>
      </c>
      <c r="E922" s="70" t="str">
        <f>VLOOKUP(F922,購入者リスト!B:F,4,FALSE)</f>
        <v>多肉 ちょこん入り 7種セット A 抜き苗</v>
      </c>
      <c r="F922" s="69">
        <v>70</v>
      </c>
      <c r="G922" s="71" t="str">
        <f>VLOOKUP(F922,購入者リスト!B:M,12,FALSE)</f>
        <v>25/11/13</v>
      </c>
      <c r="H922" s="70" t="s">
        <v>27</v>
      </c>
      <c r="I922" s="73" t="str">
        <f t="shared" si="62"/>
        <v/>
      </c>
      <c r="J922" s="74"/>
      <c r="K922" s="74">
        <f t="shared" si="63"/>
        <v>0</v>
      </c>
      <c r="L922" s="73">
        <f t="shared" si="64"/>
        <v>218.18181818181847</v>
      </c>
      <c r="M922" s="74">
        <f>VLOOKUP(F922,購入者リスト!B:F,5,FALSE)</f>
        <v>2400</v>
      </c>
    </row>
    <row r="923" spans="2:14" s="46" customFormat="1" ht="15">
      <c r="B923" s="534">
        <f t="shared" si="61"/>
        <v>916</v>
      </c>
      <c r="C923" s="69" t="s">
        <v>2671</v>
      </c>
      <c r="D923" s="69" t="s">
        <v>2672</v>
      </c>
      <c r="E923" s="70" t="s">
        <v>2673</v>
      </c>
      <c r="F923" s="72"/>
      <c r="G923" s="71" t="str">
        <f>G922</f>
        <v>25/11/13</v>
      </c>
      <c r="H923" s="70" t="s">
        <v>27</v>
      </c>
      <c r="I923" s="73">
        <f t="shared" si="62"/>
        <v>21.818181818181841</v>
      </c>
      <c r="J923" s="74">
        <f>M922*0.1</f>
        <v>240</v>
      </c>
      <c r="K923" s="74">
        <f t="shared" si="63"/>
        <v>240</v>
      </c>
      <c r="L923" s="73" t="str">
        <f t="shared" si="64"/>
        <v/>
      </c>
      <c r="M923" s="74"/>
    </row>
    <row r="924" spans="2:14" s="46" customFormat="1" ht="15">
      <c r="B924" s="534">
        <f t="shared" si="61"/>
        <v>917</v>
      </c>
      <c r="C924" s="69" t="s">
        <v>2670</v>
      </c>
      <c r="D924" s="69" t="s">
        <v>2282</v>
      </c>
      <c r="E924" s="70" t="str">
        <f>VLOOKUP(F924,購入者リスト!B:F,4,FALSE)</f>
        <v>多肉 ちょこん入り 7種セット C 抜き苗</v>
      </c>
      <c r="F924" s="69">
        <v>72</v>
      </c>
      <c r="G924" s="71" t="str">
        <f>VLOOKUP(F924,購入者リスト!B:M,12,FALSE)</f>
        <v>25/11/15</v>
      </c>
      <c r="H924" s="70" t="s">
        <v>27</v>
      </c>
      <c r="I924" s="73" t="str">
        <f t="shared" si="62"/>
        <v/>
      </c>
      <c r="J924" s="74"/>
      <c r="K924" s="74">
        <f t="shared" si="63"/>
        <v>0</v>
      </c>
      <c r="L924" s="73">
        <f t="shared" si="64"/>
        <v>218.18181818181847</v>
      </c>
      <c r="M924" s="74">
        <f>VLOOKUP(F924,購入者リスト!B:F,5,FALSE)</f>
        <v>2400</v>
      </c>
    </row>
    <row r="925" spans="2:14" s="46" customFormat="1" ht="15">
      <c r="B925" s="534">
        <f t="shared" si="61"/>
        <v>918</v>
      </c>
      <c r="C925" s="69" t="s">
        <v>2671</v>
      </c>
      <c r="D925" s="69" t="s">
        <v>2672</v>
      </c>
      <c r="E925" s="70" t="s">
        <v>2673</v>
      </c>
      <c r="F925" s="72"/>
      <c r="G925" s="71" t="str">
        <f>G924</f>
        <v>25/11/15</v>
      </c>
      <c r="H925" s="70" t="s">
        <v>27</v>
      </c>
      <c r="I925" s="73">
        <f t="shared" si="62"/>
        <v>21.818181818181841</v>
      </c>
      <c r="J925" s="74">
        <f>M924*0.1</f>
        <v>240</v>
      </c>
      <c r="K925" s="74">
        <f t="shared" si="63"/>
        <v>240</v>
      </c>
      <c r="L925" s="73" t="str">
        <f t="shared" si="64"/>
        <v/>
      </c>
      <c r="M925" s="74"/>
    </row>
    <row r="926" spans="2:14" s="46" customFormat="1" ht="15">
      <c r="B926" s="534">
        <f t="shared" si="61"/>
        <v>919</v>
      </c>
      <c r="C926" s="69" t="s">
        <v>2670</v>
      </c>
      <c r="D926" s="69" t="s">
        <v>2282</v>
      </c>
      <c r="E926" s="70" t="str">
        <f>VLOOKUP(F926,購入者リスト!B:F,4,FALSE)</f>
        <v>多肉 ミックスベリア ちょこん 抜き苗 7種セット D</v>
      </c>
      <c r="F926" s="69">
        <v>73</v>
      </c>
      <c r="G926" s="71" t="str">
        <f>VLOOKUP(F926,購入者リスト!B:M,12,FALSE)</f>
        <v>25/11/12</v>
      </c>
      <c r="H926" s="70" t="s">
        <v>27</v>
      </c>
      <c r="I926" s="73" t="str">
        <f t="shared" si="62"/>
        <v/>
      </c>
      <c r="J926" s="74"/>
      <c r="K926" s="74">
        <f t="shared" si="63"/>
        <v>0</v>
      </c>
      <c r="L926" s="73">
        <f t="shared" si="64"/>
        <v>200.00000000000023</v>
      </c>
      <c r="M926" s="74">
        <f>VLOOKUP(F926,購入者リスト!B:F,5,FALSE)</f>
        <v>2200</v>
      </c>
    </row>
    <row r="927" spans="2:14" s="46" customFormat="1" ht="15">
      <c r="B927" s="534">
        <f t="shared" si="61"/>
        <v>920</v>
      </c>
      <c r="C927" s="69" t="s">
        <v>2671</v>
      </c>
      <c r="D927" s="69" t="s">
        <v>2672</v>
      </c>
      <c r="E927" s="70" t="s">
        <v>2673</v>
      </c>
      <c r="F927" s="72"/>
      <c r="G927" s="71" t="str">
        <f>G926</f>
        <v>25/11/12</v>
      </c>
      <c r="H927" s="70" t="s">
        <v>27</v>
      </c>
      <c r="I927" s="73">
        <f t="shared" si="62"/>
        <v>20.000000000000028</v>
      </c>
      <c r="J927" s="74">
        <f>M926*0.1</f>
        <v>220</v>
      </c>
      <c r="K927" s="74">
        <f t="shared" si="63"/>
        <v>220</v>
      </c>
      <c r="L927" s="73" t="str">
        <f t="shared" si="64"/>
        <v/>
      </c>
      <c r="M927" s="74"/>
    </row>
    <row r="928" spans="2:14" s="46" customFormat="1" ht="15">
      <c r="B928" s="534">
        <f t="shared" si="61"/>
        <v>921</v>
      </c>
      <c r="C928" s="69" t="s">
        <v>2670</v>
      </c>
      <c r="D928" s="69" t="s">
        <v>2282</v>
      </c>
      <c r="E928" s="70" t="str">
        <f>VLOOKUP(F928,購入者リスト!B:F,4,FALSE)</f>
        <v>多肉 ミックスベリア ちょこん入り 7種セット B 抜き苗</v>
      </c>
      <c r="F928" s="69">
        <v>71</v>
      </c>
      <c r="G928" s="71" t="str">
        <f>VLOOKUP(F928,購入者リスト!B:M,12,FALSE)</f>
        <v>25/11/15</v>
      </c>
      <c r="H928" s="70" t="s">
        <v>27</v>
      </c>
      <c r="I928" s="73" t="str">
        <f t="shared" si="62"/>
        <v/>
      </c>
      <c r="J928" s="74"/>
      <c r="K928" s="74">
        <f t="shared" si="63"/>
        <v>0</v>
      </c>
      <c r="L928" s="73">
        <f t="shared" si="64"/>
        <v>218.18181818181847</v>
      </c>
      <c r="M928" s="74">
        <f>VLOOKUP(F928,購入者リスト!B:F,5,FALSE)</f>
        <v>2400</v>
      </c>
    </row>
    <row r="929" spans="2:13" s="46" customFormat="1" ht="15">
      <c r="B929" s="534">
        <f t="shared" si="61"/>
        <v>922</v>
      </c>
      <c r="C929" s="69" t="s">
        <v>2671</v>
      </c>
      <c r="D929" s="69" t="s">
        <v>2672</v>
      </c>
      <c r="E929" s="70" t="s">
        <v>2673</v>
      </c>
      <c r="F929" s="72"/>
      <c r="G929" s="71" t="str">
        <f>G928</f>
        <v>25/11/15</v>
      </c>
      <c r="H929" s="70" t="s">
        <v>27</v>
      </c>
      <c r="I929" s="73">
        <f t="shared" si="62"/>
        <v>21.818181818181841</v>
      </c>
      <c r="J929" s="74">
        <f>M928*0.1</f>
        <v>240</v>
      </c>
      <c r="K929" s="74">
        <f t="shared" si="63"/>
        <v>240</v>
      </c>
      <c r="L929" s="73" t="str">
        <f t="shared" si="64"/>
        <v/>
      </c>
      <c r="M929" s="74"/>
    </row>
    <row r="930" spans="2:13" s="46" customFormat="1" ht="15">
      <c r="B930" s="534">
        <f t="shared" si="61"/>
        <v>923</v>
      </c>
      <c r="C930" s="56" t="s">
        <v>2268</v>
      </c>
      <c r="D930" s="56" t="s">
        <v>2318</v>
      </c>
      <c r="E930" s="57" t="s">
        <v>2969</v>
      </c>
      <c r="F930" s="58" t="s">
        <v>2377</v>
      </c>
      <c r="G930" s="59">
        <v>45977</v>
      </c>
      <c r="H930" s="57" t="s">
        <v>135</v>
      </c>
      <c r="I930" s="62">
        <f t="shared" si="62"/>
        <v>118.72727272727275</v>
      </c>
      <c r="J930" s="63">
        <v>1306</v>
      </c>
      <c r="K930" s="63">
        <f t="shared" si="63"/>
        <v>1306</v>
      </c>
      <c r="L930" s="62" t="str">
        <f t="shared" si="64"/>
        <v/>
      </c>
      <c r="M930" s="63"/>
    </row>
    <row r="931" spans="2:13" s="46" customFormat="1" ht="15">
      <c r="B931" s="534">
        <f t="shared" si="61"/>
        <v>924</v>
      </c>
      <c r="C931" s="56" t="s">
        <v>2268</v>
      </c>
      <c r="D931" s="56" t="s">
        <v>2318</v>
      </c>
      <c r="E931" s="57" t="s">
        <v>2970</v>
      </c>
      <c r="F931" s="58"/>
      <c r="G931" s="59">
        <v>45977</v>
      </c>
      <c r="H931" s="57" t="s">
        <v>135</v>
      </c>
      <c r="I931" s="62">
        <f t="shared" si="62"/>
        <v>29.636363636363683</v>
      </c>
      <c r="J931" s="63">
        <v>326</v>
      </c>
      <c r="K931" s="63">
        <f t="shared" si="63"/>
        <v>326</v>
      </c>
      <c r="L931" s="62" t="str">
        <f t="shared" si="64"/>
        <v/>
      </c>
      <c r="M931" s="63"/>
    </row>
    <row r="932" spans="2:13" s="46" customFormat="1" ht="15">
      <c r="B932" s="534">
        <f t="shared" si="61"/>
        <v>925</v>
      </c>
      <c r="C932" s="56" t="s">
        <v>2268</v>
      </c>
      <c r="D932" s="56" t="s">
        <v>2318</v>
      </c>
      <c r="E932" s="57" t="s">
        <v>2746</v>
      </c>
      <c r="F932" s="58" t="s">
        <v>2377</v>
      </c>
      <c r="G932" s="59">
        <v>45977</v>
      </c>
      <c r="H932" s="57" t="s">
        <v>135</v>
      </c>
      <c r="I932" s="62">
        <f t="shared" si="62"/>
        <v>20.000000000000028</v>
      </c>
      <c r="J932" s="63">
        <v>220</v>
      </c>
      <c r="K932" s="63">
        <f t="shared" si="63"/>
        <v>220</v>
      </c>
      <c r="L932" s="62" t="str">
        <f t="shared" si="64"/>
        <v/>
      </c>
      <c r="M932" s="63"/>
    </row>
    <row r="933" spans="2:13" s="46" customFormat="1" ht="15">
      <c r="B933" s="534">
        <f t="shared" si="61"/>
        <v>926</v>
      </c>
      <c r="C933" s="56" t="s">
        <v>2268</v>
      </c>
      <c r="D933" s="56" t="s">
        <v>2318</v>
      </c>
      <c r="E933" s="57" t="s">
        <v>2971</v>
      </c>
      <c r="F933" s="58"/>
      <c r="G933" s="59">
        <v>45977</v>
      </c>
      <c r="H933" s="57" t="s">
        <v>135</v>
      </c>
      <c r="I933" s="62">
        <f t="shared" si="62"/>
        <v>64.63636363636374</v>
      </c>
      <c r="J933" s="63">
        <v>711</v>
      </c>
      <c r="K933" s="63">
        <f t="shared" si="63"/>
        <v>711</v>
      </c>
      <c r="L933" s="62" t="str">
        <f t="shared" si="64"/>
        <v/>
      </c>
      <c r="M933" s="63"/>
    </row>
    <row r="934" spans="2:13" s="46" customFormat="1" ht="15">
      <c r="B934" s="534">
        <f t="shared" si="61"/>
        <v>927</v>
      </c>
      <c r="C934" s="56" t="s">
        <v>2262</v>
      </c>
      <c r="D934" s="56" t="s">
        <v>2972</v>
      </c>
      <c r="E934" s="57" t="s">
        <v>2973</v>
      </c>
      <c r="F934" s="58"/>
      <c r="G934" s="59">
        <v>45977</v>
      </c>
      <c r="H934" s="57" t="s">
        <v>135</v>
      </c>
      <c r="I934" s="62">
        <f t="shared" si="62"/>
        <v>197.00000000000023</v>
      </c>
      <c r="J934" s="63">
        <v>2167</v>
      </c>
      <c r="K934" s="63">
        <f t="shared" si="63"/>
        <v>2167</v>
      </c>
      <c r="L934" s="62" t="str">
        <f t="shared" si="64"/>
        <v/>
      </c>
      <c r="M934" s="63"/>
    </row>
    <row r="935" spans="2:13" s="46" customFormat="1" ht="15">
      <c r="B935" s="534">
        <f t="shared" si="61"/>
        <v>928</v>
      </c>
      <c r="C935" s="56" t="s">
        <v>2262</v>
      </c>
      <c r="D935" s="56" t="s">
        <v>2974</v>
      </c>
      <c r="E935" s="57" t="s">
        <v>2975</v>
      </c>
      <c r="F935" s="58"/>
      <c r="G935" s="59">
        <v>45977</v>
      </c>
      <c r="H935" s="57" t="s">
        <v>135</v>
      </c>
      <c r="I935" s="62">
        <f t="shared" si="62"/>
        <v>20.000000000000028</v>
      </c>
      <c r="J935" s="63">
        <v>220</v>
      </c>
      <c r="K935" s="63">
        <f t="shared" si="63"/>
        <v>220</v>
      </c>
      <c r="L935" s="62" t="str">
        <f t="shared" si="64"/>
        <v/>
      </c>
      <c r="M935" s="63"/>
    </row>
    <row r="936" spans="2:13" s="46" customFormat="1" ht="15">
      <c r="B936" s="534">
        <f t="shared" si="61"/>
        <v>929</v>
      </c>
      <c r="C936" s="56" t="s">
        <v>2262</v>
      </c>
      <c r="D936" s="56" t="s">
        <v>2700</v>
      </c>
      <c r="E936" s="57" t="s">
        <v>2976</v>
      </c>
      <c r="F936" s="58"/>
      <c r="G936" s="59">
        <v>45977</v>
      </c>
      <c r="H936" s="57" t="s">
        <v>45</v>
      </c>
      <c r="I936" s="62">
        <f t="shared" si="62"/>
        <v>10.000000000000014</v>
      </c>
      <c r="J936" s="63">
        <v>110</v>
      </c>
      <c r="K936" s="63">
        <f t="shared" si="63"/>
        <v>110</v>
      </c>
      <c r="L936" s="62" t="str">
        <f t="shared" si="64"/>
        <v/>
      </c>
      <c r="M936" s="63"/>
    </row>
    <row r="937" spans="2:13" s="46" customFormat="1" ht="15">
      <c r="B937" s="534">
        <f t="shared" si="61"/>
        <v>930</v>
      </c>
      <c r="C937" s="56" t="s">
        <v>2262</v>
      </c>
      <c r="D937" s="56" t="s">
        <v>2516</v>
      </c>
      <c r="E937" s="57" t="s">
        <v>2977</v>
      </c>
      <c r="F937" s="58"/>
      <c r="G937" s="59">
        <v>45977</v>
      </c>
      <c r="H937" s="57" t="s">
        <v>45</v>
      </c>
      <c r="I937" s="62">
        <f t="shared" si="62"/>
        <v>10.000000000000014</v>
      </c>
      <c r="J937" s="63">
        <v>110</v>
      </c>
      <c r="K937" s="63">
        <f t="shared" si="63"/>
        <v>110</v>
      </c>
      <c r="L937" s="62" t="str">
        <f t="shared" si="64"/>
        <v/>
      </c>
      <c r="M937" s="63"/>
    </row>
    <row r="938" spans="2:13" s="46" customFormat="1" ht="15">
      <c r="B938" s="534">
        <f t="shared" si="61"/>
        <v>931</v>
      </c>
      <c r="C938" s="56" t="s">
        <v>2262</v>
      </c>
      <c r="D938" s="56" t="s">
        <v>2512</v>
      </c>
      <c r="E938" s="57" t="s">
        <v>2978</v>
      </c>
      <c r="F938" s="58"/>
      <c r="G938" s="59">
        <v>45977</v>
      </c>
      <c r="H938" s="57" t="s">
        <v>45</v>
      </c>
      <c r="I938" s="62">
        <f t="shared" si="62"/>
        <v>10.000000000000014</v>
      </c>
      <c r="J938" s="63">
        <v>110</v>
      </c>
      <c r="K938" s="63">
        <f t="shared" si="63"/>
        <v>110</v>
      </c>
      <c r="L938" s="62" t="str">
        <f t="shared" si="64"/>
        <v/>
      </c>
      <c r="M938" s="63"/>
    </row>
    <row r="939" spans="2:13" s="46" customFormat="1" ht="15">
      <c r="B939" s="534">
        <f t="shared" si="61"/>
        <v>932</v>
      </c>
      <c r="C939" s="56" t="s">
        <v>2262</v>
      </c>
      <c r="D939" s="56" t="s">
        <v>2512</v>
      </c>
      <c r="E939" s="57" t="s">
        <v>2979</v>
      </c>
      <c r="F939" s="58"/>
      <c r="G939" s="59">
        <v>45977</v>
      </c>
      <c r="H939" s="57" t="s">
        <v>45</v>
      </c>
      <c r="I939" s="62">
        <f t="shared" si="62"/>
        <v>10.000000000000014</v>
      </c>
      <c r="J939" s="63">
        <v>110</v>
      </c>
      <c r="K939" s="63">
        <f t="shared" si="63"/>
        <v>110</v>
      </c>
      <c r="L939" s="62" t="str">
        <f t="shared" si="64"/>
        <v/>
      </c>
      <c r="M939" s="63"/>
    </row>
    <row r="940" spans="2:13" s="46" customFormat="1" ht="15">
      <c r="B940" s="534">
        <f t="shared" si="61"/>
        <v>933</v>
      </c>
      <c r="C940" s="56" t="s">
        <v>2262</v>
      </c>
      <c r="D940" s="56" t="s">
        <v>2512</v>
      </c>
      <c r="E940" s="57" t="s">
        <v>2980</v>
      </c>
      <c r="F940" s="58"/>
      <c r="G940" s="59">
        <v>45977</v>
      </c>
      <c r="H940" s="57" t="s">
        <v>45</v>
      </c>
      <c r="I940" s="62">
        <f t="shared" si="62"/>
        <v>10.000000000000014</v>
      </c>
      <c r="J940" s="63">
        <v>110</v>
      </c>
      <c r="K940" s="63">
        <f t="shared" si="63"/>
        <v>110</v>
      </c>
      <c r="L940" s="62" t="str">
        <f t="shared" si="64"/>
        <v/>
      </c>
      <c r="M940" s="63"/>
    </row>
    <row r="941" spans="2:13" s="46" customFormat="1" ht="15">
      <c r="B941" s="534">
        <f t="shared" si="61"/>
        <v>934</v>
      </c>
      <c r="C941" s="56" t="s">
        <v>2262</v>
      </c>
      <c r="D941" s="56" t="s">
        <v>2579</v>
      </c>
      <c r="E941" s="57" t="s">
        <v>2981</v>
      </c>
      <c r="F941" s="58"/>
      <c r="G941" s="59">
        <v>45977</v>
      </c>
      <c r="H941" s="57" t="s">
        <v>45</v>
      </c>
      <c r="I941" s="62">
        <f t="shared" si="62"/>
        <v>10.000000000000014</v>
      </c>
      <c r="J941" s="63">
        <v>110</v>
      </c>
      <c r="K941" s="63">
        <f t="shared" si="63"/>
        <v>110</v>
      </c>
      <c r="L941" s="62" t="str">
        <f t="shared" si="64"/>
        <v/>
      </c>
      <c r="M941" s="63"/>
    </row>
    <row r="942" spans="2:13" s="46" customFormat="1" ht="15">
      <c r="B942" s="534">
        <f t="shared" si="61"/>
        <v>935</v>
      </c>
      <c r="C942" s="56" t="s">
        <v>2262</v>
      </c>
      <c r="D942" s="56" t="s">
        <v>2982</v>
      </c>
      <c r="E942" s="57" t="s">
        <v>2983</v>
      </c>
      <c r="F942" s="58"/>
      <c r="G942" s="59">
        <v>45977</v>
      </c>
      <c r="H942" s="57" t="s">
        <v>45</v>
      </c>
      <c r="I942" s="62">
        <f t="shared" si="62"/>
        <v>10.000000000000014</v>
      </c>
      <c r="J942" s="63">
        <v>110</v>
      </c>
      <c r="K942" s="63">
        <f t="shared" si="63"/>
        <v>110</v>
      </c>
      <c r="L942" s="62" t="str">
        <f t="shared" si="64"/>
        <v/>
      </c>
      <c r="M942" s="63"/>
    </row>
    <row r="943" spans="2:13" s="46" customFormat="1" ht="15">
      <c r="B943" s="534">
        <f t="shared" si="61"/>
        <v>936</v>
      </c>
      <c r="C943" s="56" t="s">
        <v>2262</v>
      </c>
      <c r="D943" s="56" t="s">
        <v>2457</v>
      </c>
      <c r="E943" s="57" t="s">
        <v>2984</v>
      </c>
      <c r="F943" s="58"/>
      <c r="G943" s="59">
        <v>45977</v>
      </c>
      <c r="H943" s="57" t="s">
        <v>45</v>
      </c>
      <c r="I943" s="62">
        <f t="shared" si="62"/>
        <v>10.000000000000014</v>
      </c>
      <c r="J943" s="63">
        <v>110</v>
      </c>
      <c r="K943" s="63">
        <f t="shared" si="63"/>
        <v>110</v>
      </c>
      <c r="L943" s="62" t="str">
        <f t="shared" si="64"/>
        <v/>
      </c>
      <c r="M943" s="63"/>
    </row>
    <row r="944" spans="2:13" s="46" customFormat="1" ht="15">
      <c r="B944" s="534">
        <f t="shared" si="61"/>
        <v>937</v>
      </c>
      <c r="C944" s="56" t="s">
        <v>2262</v>
      </c>
      <c r="D944" s="56" t="s">
        <v>2579</v>
      </c>
      <c r="E944" s="57" t="s">
        <v>2985</v>
      </c>
      <c r="F944" s="58" t="s">
        <v>2271</v>
      </c>
      <c r="G944" s="59">
        <v>45977</v>
      </c>
      <c r="H944" s="57" t="s">
        <v>45</v>
      </c>
      <c r="I944" s="62">
        <f t="shared" si="62"/>
        <v>20.000000000000028</v>
      </c>
      <c r="J944" s="63">
        <v>220</v>
      </c>
      <c r="K944" s="63">
        <f t="shared" si="63"/>
        <v>220</v>
      </c>
      <c r="L944" s="62" t="str">
        <f t="shared" si="64"/>
        <v/>
      </c>
      <c r="M944" s="63"/>
    </row>
    <row r="945" spans="2:14" s="46" customFormat="1" ht="15">
      <c r="B945" s="534">
        <f t="shared" ref="B945:B980" si="65">ROW()-7</f>
        <v>938</v>
      </c>
      <c r="C945" s="56" t="s">
        <v>2774</v>
      </c>
      <c r="D945" s="56" t="s">
        <v>2986</v>
      </c>
      <c r="E945" s="57" t="s">
        <v>2987</v>
      </c>
      <c r="F945" s="58"/>
      <c r="G945" s="59">
        <v>45982</v>
      </c>
      <c r="H945" s="57" t="s">
        <v>2941</v>
      </c>
      <c r="I945" s="62">
        <v>1900</v>
      </c>
      <c r="J945" s="63">
        <v>45640</v>
      </c>
      <c r="K945" s="63">
        <f t="shared" ref="K945:K980" si="66">IF(N945="",J945,0)</f>
        <v>0</v>
      </c>
      <c r="L945" s="62" t="str">
        <f t="shared" ref="L945:L980" si="67">IF(M945&lt;&gt;"",M945-M945/1.1,"")</f>
        <v/>
      </c>
      <c r="M945" s="63"/>
      <c r="N945" s="66" t="s">
        <v>24</v>
      </c>
    </row>
    <row r="946" spans="2:14" s="46" customFormat="1" ht="15">
      <c r="B946" s="534">
        <f t="shared" si="65"/>
        <v>939</v>
      </c>
      <c r="C946" s="56" t="s">
        <v>2442</v>
      </c>
      <c r="D946" s="56" t="s">
        <v>2534</v>
      </c>
      <c r="E946" s="57" t="s">
        <v>2535</v>
      </c>
      <c r="F946" s="58" t="s">
        <v>2988</v>
      </c>
      <c r="G946" s="59">
        <v>45982</v>
      </c>
      <c r="H946" s="57" t="s">
        <v>2941</v>
      </c>
      <c r="I946" s="62">
        <f t="shared" ref="I946:I980" si="68">IF(J946&lt;&gt;"",J946-J946/1.1,"")</f>
        <v>90.909090909090992</v>
      </c>
      <c r="J946" s="63">
        <v>1000</v>
      </c>
      <c r="K946" s="63">
        <f t="shared" si="66"/>
        <v>0</v>
      </c>
      <c r="L946" s="62" t="str">
        <f t="shared" si="67"/>
        <v/>
      </c>
      <c r="M946" s="63"/>
      <c r="N946" s="66" t="s">
        <v>24</v>
      </c>
    </row>
    <row r="947" spans="2:14" s="46" customFormat="1" ht="15">
      <c r="B947" s="534">
        <f t="shared" si="65"/>
        <v>940</v>
      </c>
      <c r="C947" s="56" t="s">
        <v>2262</v>
      </c>
      <c r="D947" s="56" t="s">
        <v>2276</v>
      </c>
      <c r="E947" s="57" t="s">
        <v>2583</v>
      </c>
      <c r="F947" s="58"/>
      <c r="G947" s="59">
        <v>45982</v>
      </c>
      <c r="H947" s="57" t="s">
        <v>129</v>
      </c>
      <c r="I947" s="62">
        <f t="shared" si="68"/>
        <v>59.727272727272748</v>
      </c>
      <c r="J947" s="63">
        <v>657</v>
      </c>
      <c r="K947" s="63">
        <f t="shared" si="66"/>
        <v>657</v>
      </c>
      <c r="L947" s="62" t="str">
        <f t="shared" si="67"/>
        <v/>
      </c>
      <c r="M947" s="63"/>
    </row>
    <row r="948" spans="2:14" s="46" customFormat="1" ht="15">
      <c r="B948" s="534">
        <f t="shared" si="65"/>
        <v>941</v>
      </c>
      <c r="C948" s="56" t="s">
        <v>2442</v>
      </c>
      <c r="D948" s="56" t="s">
        <v>2534</v>
      </c>
      <c r="E948" s="57" t="s">
        <v>2535</v>
      </c>
      <c r="F948" s="58" t="s">
        <v>2989</v>
      </c>
      <c r="G948" s="59">
        <v>45983</v>
      </c>
      <c r="H948" s="57" t="s">
        <v>2941</v>
      </c>
      <c r="I948" s="62">
        <f t="shared" si="68"/>
        <v>272.72727272727298</v>
      </c>
      <c r="J948" s="63">
        <v>3000</v>
      </c>
      <c r="K948" s="63">
        <f t="shared" si="66"/>
        <v>0</v>
      </c>
      <c r="L948" s="62" t="str">
        <f t="shared" si="67"/>
        <v/>
      </c>
      <c r="M948" s="63"/>
      <c r="N948" s="66" t="s">
        <v>24</v>
      </c>
    </row>
    <row r="949" spans="2:14" s="46" customFormat="1" ht="15">
      <c r="B949" s="534">
        <f t="shared" si="65"/>
        <v>942</v>
      </c>
      <c r="C949" s="56" t="s">
        <v>2268</v>
      </c>
      <c r="D949" s="56" t="s">
        <v>2318</v>
      </c>
      <c r="E949" s="57" t="s">
        <v>2990</v>
      </c>
      <c r="F949" s="58"/>
      <c r="G949" s="59">
        <v>45983</v>
      </c>
      <c r="H949" s="57" t="s">
        <v>598</v>
      </c>
      <c r="I949" s="62">
        <f t="shared" si="68"/>
        <v>45.272727272727309</v>
      </c>
      <c r="J949" s="63">
        <v>498</v>
      </c>
      <c r="K949" s="63">
        <f t="shared" si="66"/>
        <v>498</v>
      </c>
      <c r="L949" s="62" t="str">
        <f t="shared" si="67"/>
        <v/>
      </c>
      <c r="M949" s="63"/>
    </row>
    <row r="950" spans="2:14" s="46" customFormat="1" ht="15">
      <c r="B950" s="534">
        <f t="shared" si="65"/>
        <v>943</v>
      </c>
      <c r="C950" s="56" t="s">
        <v>2262</v>
      </c>
      <c r="D950" s="56" t="s">
        <v>2700</v>
      </c>
      <c r="E950" s="57" t="s">
        <v>2991</v>
      </c>
      <c r="F950" s="58"/>
      <c r="G950" s="59">
        <v>45983</v>
      </c>
      <c r="H950" s="57" t="s">
        <v>49</v>
      </c>
      <c r="I950" s="62">
        <f t="shared" si="68"/>
        <v>20.000000000000028</v>
      </c>
      <c r="J950" s="63">
        <v>220</v>
      </c>
      <c r="K950" s="63">
        <f t="shared" si="66"/>
        <v>220</v>
      </c>
      <c r="L950" s="62" t="str">
        <f t="shared" si="67"/>
        <v/>
      </c>
      <c r="M950" s="63"/>
    </row>
    <row r="951" spans="2:14" s="46" customFormat="1" ht="15">
      <c r="B951" s="534">
        <f t="shared" si="65"/>
        <v>944</v>
      </c>
      <c r="C951" s="56" t="s">
        <v>2262</v>
      </c>
      <c r="D951" s="56" t="s">
        <v>2700</v>
      </c>
      <c r="E951" s="57" t="s">
        <v>2992</v>
      </c>
      <c r="F951" s="58"/>
      <c r="G951" s="59">
        <v>45983</v>
      </c>
      <c r="H951" s="57" t="s">
        <v>49</v>
      </c>
      <c r="I951" s="62">
        <f t="shared" si="68"/>
        <v>30</v>
      </c>
      <c r="J951" s="63">
        <v>330</v>
      </c>
      <c r="K951" s="63">
        <f t="shared" si="66"/>
        <v>330</v>
      </c>
      <c r="L951" s="62" t="str">
        <f t="shared" si="67"/>
        <v/>
      </c>
      <c r="M951" s="63"/>
    </row>
    <row r="952" spans="2:14" s="46" customFormat="1" ht="15">
      <c r="B952" s="534">
        <f t="shared" si="65"/>
        <v>945</v>
      </c>
      <c r="C952" s="56" t="s">
        <v>2262</v>
      </c>
      <c r="D952" s="56" t="s">
        <v>2512</v>
      </c>
      <c r="E952" s="57" t="s">
        <v>2993</v>
      </c>
      <c r="F952" s="58"/>
      <c r="G952" s="59">
        <v>45983</v>
      </c>
      <c r="H952" s="57" t="s">
        <v>49</v>
      </c>
      <c r="I952" s="62">
        <f t="shared" si="68"/>
        <v>20.000000000000028</v>
      </c>
      <c r="J952" s="63">
        <v>220</v>
      </c>
      <c r="K952" s="63">
        <f t="shared" si="66"/>
        <v>220</v>
      </c>
      <c r="L952" s="62" t="str">
        <f t="shared" si="67"/>
        <v/>
      </c>
      <c r="M952" s="63"/>
    </row>
    <row r="953" spans="2:14" s="46" customFormat="1" ht="15">
      <c r="B953" s="534">
        <f t="shared" si="65"/>
        <v>946</v>
      </c>
      <c r="C953" s="56" t="s">
        <v>2262</v>
      </c>
      <c r="D953" s="56" t="s">
        <v>2994</v>
      </c>
      <c r="E953" s="57" t="s">
        <v>2995</v>
      </c>
      <c r="F953" s="58"/>
      <c r="G953" s="59">
        <v>45983</v>
      </c>
      <c r="H953" s="57" t="s">
        <v>49</v>
      </c>
      <c r="I953" s="62">
        <f t="shared" si="68"/>
        <v>10.000000000000014</v>
      </c>
      <c r="J953" s="63">
        <v>110</v>
      </c>
      <c r="K953" s="63">
        <f t="shared" si="66"/>
        <v>110</v>
      </c>
      <c r="L953" s="62" t="str">
        <f t="shared" si="67"/>
        <v/>
      </c>
      <c r="M953" s="63"/>
    </row>
    <row r="954" spans="2:14" s="46" customFormat="1" ht="15">
      <c r="B954" s="534">
        <f t="shared" si="65"/>
        <v>947</v>
      </c>
      <c r="C954" s="56" t="s">
        <v>2342</v>
      </c>
      <c r="D954" s="56" t="s">
        <v>2693</v>
      </c>
      <c r="E954" s="57" t="s">
        <v>2694</v>
      </c>
      <c r="F954" s="64">
        <v>185</v>
      </c>
      <c r="G954" s="59">
        <v>45992</v>
      </c>
      <c r="H954" s="57" t="s">
        <v>2695</v>
      </c>
      <c r="I954" s="62">
        <f t="shared" si="68"/>
        <v>19.090909090909093</v>
      </c>
      <c r="J954" s="63">
        <f>IF(F954&lt;=150,170,IF(F954&lt;=200,210,IF(F954&lt;=250,240,290)))</f>
        <v>210</v>
      </c>
      <c r="K954" s="63">
        <f t="shared" si="66"/>
        <v>210</v>
      </c>
      <c r="L954" s="62" t="str">
        <f t="shared" si="67"/>
        <v/>
      </c>
      <c r="M954" s="63"/>
    </row>
    <row r="955" spans="2:14" s="46" customFormat="1" ht="15">
      <c r="B955" s="534">
        <f t="shared" si="65"/>
        <v>948</v>
      </c>
      <c r="C955" s="56" t="s">
        <v>2342</v>
      </c>
      <c r="D955" s="56" t="s">
        <v>2693</v>
      </c>
      <c r="E955" s="57" t="s">
        <v>2694</v>
      </c>
      <c r="F955" s="64">
        <v>191.5</v>
      </c>
      <c r="G955" s="59">
        <v>45992</v>
      </c>
      <c r="H955" s="57" t="s">
        <v>2695</v>
      </c>
      <c r="I955" s="62">
        <f t="shared" si="68"/>
        <v>19.090909090909093</v>
      </c>
      <c r="J955" s="63">
        <f>IF(F955&lt;=150,170,IF(F955&lt;=200,210,IF(F955&lt;=250,240,290)))</f>
        <v>210</v>
      </c>
      <c r="K955" s="63">
        <f t="shared" si="66"/>
        <v>210</v>
      </c>
      <c r="L955" s="62" t="str">
        <f t="shared" si="67"/>
        <v/>
      </c>
      <c r="M955" s="63"/>
    </row>
    <row r="956" spans="2:14" s="46" customFormat="1" ht="15">
      <c r="B956" s="534">
        <f t="shared" si="65"/>
        <v>949</v>
      </c>
      <c r="C956" s="56" t="s">
        <v>2342</v>
      </c>
      <c r="D956" s="56" t="s">
        <v>2693</v>
      </c>
      <c r="E956" s="57" t="s">
        <v>2694</v>
      </c>
      <c r="F956" s="64">
        <v>211</v>
      </c>
      <c r="G956" s="59">
        <v>45992</v>
      </c>
      <c r="H956" s="57" t="s">
        <v>2695</v>
      </c>
      <c r="I956" s="62">
        <f t="shared" si="68"/>
        <v>21.818181818181841</v>
      </c>
      <c r="J956" s="63">
        <f>IF(F956&lt;=150,170,IF(F956&lt;=200,210,IF(F956&lt;=250,240,290)))</f>
        <v>240</v>
      </c>
      <c r="K956" s="63">
        <f t="shared" si="66"/>
        <v>240</v>
      </c>
      <c r="L956" s="62" t="str">
        <f t="shared" si="67"/>
        <v/>
      </c>
      <c r="M956" s="63"/>
    </row>
    <row r="957" spans="2:14" s="46" customFormat="1" ht="15">
      <c r="B957" s="534">
        <f t="shared" si="65"/>
        <v>950</v>
      </c>
      <c r="C957" s="56" t="s">
        <v>2342</v>
      </c>
      <c r="D957" s="56" t="s">
        <v>2693</v>
      </c>
      <c r="E957" s="57" t="s">
        <v>2694</v>
      </c>
      <c r="F957" s="64">
        <v>211</v>
      </c>
      <c r="G957" s="59">
        <v>45992</v>
      </c>
      <c r="H957" s="57" t="s">
        <v>2695</v>
      </c>
      <c r="I957" s="62">
        <f t="shared" si="68"/>
        <v>21.818181818181841</v>
      </c>
      <c r="J957" s="63">
        <f>IF(F957&lt;=150,170,IF(F957&lt;=200,210,IF(F957&lt;=250,240,290)))</f>
        <v>240</v>
      </c>
      <c r="K957" s="63">
        <f t="shared" si="66"/>
        <v>240</v>
      </c>
      <c r="L957" s="62" t="str">
        <f t="shared" si="67"/>
        <v/>
      </c>
      <c r="M957" s="63"/>
    </row>
    <row r="958" spans="2:14" s="46" customFormat="1" ht="15">
      <c r="B958" s="534">
        <f t="shared" si="65"/>
        <v>951</v>
      </c>
      <c r="C958" s="56" t="s">
        <v>2342</v>
      </c>
      <c r="D958" s="56" t="s">
        <v>2693</v>
      </c>
      <c r="E958" s="57" t="s">
        <v>2694</v>
      </c>
      <c r="F958" s="64">
        <v>211</v>
      </c>
      <c r="G958" s="59">
        <v>45992</v>
      </c>
      <c r="H958" s="57" t="s">
        <v>2695</v>
      </c>
      <c r="I958" s="62">
        <f t="shared" si="68"/>
        <v>21.818181818181841</v>
      </c>
      <c r="J958" s="63">
        <f>IF(F958&lt;=150,170,IF(F958&lt;=200,210,IF(F958&lt;=250,240,290)))</f>
        <v>240</v>
      </c>
      <c r="K958" s="63">
        <f t="shared" si="66"/>
        <v>240</v>
      </c>
      <c r="L958" s="62" t="str">
        <f t="shared" si="67"/>
        <v/>
      </c>
      <c r="M958" s="63"/>
    </row>
    <row r="959" spans="2:14" s="46" customFormat="1" ht="15">
      <c r="B959" s="534">
        <f t="shared" si="65"/>
        <v>952</v>
      </c>
      <c r="C959" s="69" t="s">
        <v>2670</v>
      </c>
      <c r="D959" s="69" t="s">
        <v>2282</v>
      </c>
      <c r="E959" s="70" t="str">
        <f>VLOOKUP(F959,購入者リスト!B:F,4,FALSE)</f>
        <v>多肉 ミックスベリア スノーミルフィーユ 抜き苗 7種セット B</v>
      </c>
      <c r="F959" s="69">
        <v>77</v>
      </c>
      <c r="G959" s="71" t="str">
        <f>VLOOKUP(F959,購入者リスト!B:M,12,FALSE)</f>
        <v>25/12/08</v>
      </c>
      <c r="H959" s="70" t="s">
        <v>27</v>
      </c>
      <c r="I959" s="73" t="str">
        <f t="shared" si="68"/>
        <v/>
      </c>
      <c r="J959" s="74"/>
      <c r="K959" s="74">
        <f t="shared" si="66"/>
        <v>0</v>
      </c>
      <c r="L959" s="73">
        <f t="shared" si="67"/>
        <v>218.18181818181847</v>
      </c>
      <c r="M959" s="74">
        <f>VLOOKUP(F959,購入者リスト!B:F,5,FALSE)</f>
        <v>2400</v>
      </c>
    </row>
    <row r="960" spans="2:14" s="46" customFormat="1" ht="15">
      <c r="B960" s="534">
        <f t="shared" si="65"/>
        <v>953</v>
      </c>
      <c r="C960" s="69" t="s">
        <v>2671</v>
      </c>
      <c r="D960" s="69" t="s">
        <v>2672</v>
      </c>
      <c r="E960" s="70" t="s">
        <v>2673</v>
      </c>
      <c r="F960" s="72"/>
      <c r="G960" s="71" t="str">
        <f>G959</f>
        <v>25/12/08</v>
      </c>
      <c r="H960" s="70" t="s">
        <v>27</v>
      </c>
      <c r="I960" s="73">
        <f t="shared" si="68"/>
        <v>21.818181818181841</v>
      </c>
      <c r="J960" s="74">
        <f>M959*0.1</f>
        <v>240</v>
      </c>
      <c r="K960" s="74">
        <f t="shared" si="66"/>
        <v>240</v>
      </c>
      <c r="L960" s="73" t="str">
        <f t="shared" si="67"/>
        <v/>
      </c>
      <c r="M960" s="74"/>
    </row>
    <row r="961" spans="2:14" s="46" customFormat="1" ht="15">
      <c r="B961" s="534">
        <f t="shared" si="65"/>
        <v>954</v>
      </c>
      <c r="C961" s="69" t="s">
        <v>2670</v>
      </c>
      <c r="D961" s="69" t="s">
        <v>2282</v>
      </c>
      <c r="E961" s="70" t="str">
        <f>VLOOKUP(F961,購入者リスト!B:F,4,FALSE)</f>
        <v>多肉 ミックスベリア ぺったん 抜き苗 7種セット</v>
      </c>
      <c r="F961" s="69">
        <v>79</v>
      </c>
      <c r="G961" s="71" t="str">
        <f>VLOOKUP(F961,購入者リスト!B:M,12,FALSE)</f>
        <v>25/12/04</v>
      </c>
      <c r="H961" s="70" t="s">
        <v>27</v>
      </c>
      <c r="I961" s="73" t="str">
        <f t="shared" si="68"/>
        <v/>
      </c>
      <c r="J961" s="74"/>
      <c r="K961" s="74">
        <f t="shared" si="66"/>
        <v>0</v>
      </c>
      <c r="L961" s="73">
        <f t="shared" si="67"/>
        <v>218.18181818181847</v>
      </c>
      <c r="M961" s="74">
        <f>VLOOKUP(F961,購入者リスト!B:F,5,FALSE)</f>
        <v>2400</v>
      </c>
    </row>
    <row r="962" spans="2:14" s="46" customFormat="1" ht="15">
      <c r="B962" s="534">
        <f t="shared" si="65"/>
        <v>955</v>
      </c>
      <c r="C962" s="69" t="s">
        <v>2671</v>
      </c>
      <c r="D962" s="69" t="s">
        <v>2672</v>
      </c>
      <c r="E962" s="70" t="s">
        <v>2673</v>
      </c>
      <c r="F962" s="72"/>
      <c r="G962" s="71" t="str">
        <f>G961</f>
        <v>25/12/04</v>
      </c>
      <c r="H962" s="70" t="s">
        <v>27</v>
      </c>
      <c r="I962" s="73">
        <f t="shared" si="68"/>
        <v>21.818181818181841</v>
      </c>
      <c r="J962" s="74">
        <f>M961*0.1</f>
        <v>240</v>
      </c>
      <c r="K962" s="74">
        <f t="shared" si="66"/>
        <v>240</v>
      </c>
      <c r="L962" s="73" t="str">
        <f t="shared" si="67"/>
        <v/>
      </c>
      <c r="M962" s="74"/>
    </row>
    <row r="963" spans="2:14" s="46" customFormat="1" ht="15">
      <c r="B963" s="534">
        <f t="shared" si="65"/>
        <v>956</v>
      </c>
      <c r="C963" s="69" t="s">
        <v>2670</v>
      </c>
      <c r="D963" s="69" t="s">
        <v>2282</v>
      </c>
      <c r="E963" s="70" t="str">
        <f>VLOOKUP(F963,購入者リスト!B:F,4,FALSE)</f>
        <v>多肉 ミックスベリア 桜鬼 抜き苗 7種セット</v>
      </c>
      <c r="F963" s="69">
        <v>78</v>
      </c>
      <c r="G963" s="71" t="str">
        <f>VLOOKUP(F963,購入者リスト!B:M,12,FALSE)</f>
        <v>25/12/05</v>
      </c>
      <c r="H963" s="70" t="s">
        <v>27</v>
      </c>
      <c r="I963" s="73" t="str">
        <f t="shared" si="68"/>
        <v/>
      </c>
      <c r="J963" s="74"/>
      <c r="K963" s="74">
        <f t="shared" si="66"/>
        <v>0</v>
      </c>
      <c r="L963" s="73">
        <f t="shared" si="67"/>
        <v>218.18181818181847</v>
      </c>
      <c r="M963" s="74">
        <f>VLOOKUP(F963,購入者リスト!B:F,5,FALSE)</f>
        <v>2400</v>
      </c>
    </row>
    <row r="964" spans="2:14" s="46" customFormat="1" ht="15">
      <c r="B964" s="534">
        <f t="shared" si="65"/>
        <v>957</v>
      </c>
      <c r="C964" s="69" t="s">
        <v>2671</v>
      </c>
      <c r="D964" s="69" t="s">
        <v>2672</v>
      </c>
      <c r="E964" s="70" t="s">
        <v>2673</v>
      </c>
      <c r="F964" s="72"/>
      <c r="G964" s="71" t="str">
        <f>G963</f>
        <v>25/12/05</v>
      </c>
      <c r="H964" s="70" t="s">
        <v>27</v>
      </c>
      <c r="I964" s="73">
        <f t="shared" si="68"/>
        <v>21.818181818181841</v>
      </c>
      <c r="J964" s="74">
        <f>M963*0.1</f>
        <v>240</v>
      </c>
      <c r="K964" s="74">
        <f t="shared" si="66"/>
        <v>240</v>
      </c>
      <c r="L964" s="73" t="str">
        <f t="shared" si="67"/>
        <v/>
      </c>
      <c r="M964" s="74"/>
    </row>
    <row r="965" spans="2:14" s="46" customFormat="1" ht="15">
      <c r="B965" s="534">
        <f t="shared" si="65"/>
        <v>958</v>
      </c>
      <c r="C965" s="69" t="s">
        <v>2670</v>
      </c>
      <c r="D965" s="69" t="s">
        <v>2282</v>
      </c>
      <c r="E965" s="70" t="str">
        <f>VLOOKUP(F965,購入者リスト!B:F,4,FALSE)</f>
        <v>多肉 ミックスベリア 黒銀姫 抜き苗 7種セット</v>
      </c>
      <c r="F965" s="69">
        <v>75</v>
      </c>
      <c r="G965" s="71" t="str">
        <f>VLOOKUP(F965,購入者リスト!B:M,12,FALSE)</f>
        <v>25/12/05</v>
      </c>
      <c r="H965" s="70" t="s">
        <v>27</v>
      </c>
      <c r="I965" s="73" t="str">
        <f t="shared" si="68"/>
        <v/>
      </c>
      <c r="J965" s="74"/>
      <c r="K965" s="74">
        <f t="shared" si="66"/>
        <v>0</v>
      </c>
      <c r="L965" s="73">
        <f t="shared" si="67"/>
        <v>218.18181818181847</v>
      </c>
      <c r="M965" s="74">
        <f>VLOOKUP(F965,購入者リスト!B:F,5,FALSE)</f>
        <v>2400</v>
      </c>
    </row>
    <row r="966" spans="2:14" s="46" customFormat="1" ht="15">
      <c r="B966" s="534">
        <f t="shared" si="65"/>
        <v>959</v>
      </c>
      <c r="C966" s="69" t="s">
        <v>2671</v>
      </c>
      <c r="D966" s="69" t="s">
        <v>2672</v>
      </c>
      <c r="E966" s="70" t="s">
        <v>2673</v>
      </c>
      <c r="F966" s="72"/>
      <c r="G966" s="71" t="str">
        <f>G965</f>
        <v>25/12/05</v>
      </c>
      <c r="H966" s="70" t="s">
        <v>27</v>
      </c>
      <c r="I966" s="73">
        <f t="shared" si="68"/>
        <v>21.818181818181841</v>
      </c>
      <c r="J966" s="74">
        <f>M965*0.1</f>
        <v>240</v>
      </c>
      <c r="K966" s="74">
        <f t="shared" si="66"/>
        <v>240</v>
      </c>
      <c r="L966" s="73" t="str">
        <f t="shared" si="67"/>
        <v/>
      </c>
      <c r="M966" s="74"/>
    </row>
    <row r="967" spans="2:14" s="46" customFormat="1" ht="15">
      <c r="B967" s="534">
        <f t="shared" si="65"/>
        <v>960</v>
      </c>
      <c r="C967" s="69" t="s">
        <v>2670</v>
      </c>
      <c r="D967" s="69" t="s">
        <v>2282</v>
      </c>
      <c r="E967" s="70" t="str">
        <f>VLOOKUP(F967,購入者リスト!B:F,4,FALSE)</f>
        <v>多肉 ミックスベリア スノーミルフィーユ 抜き苗 7種セット A</v>
      </c>
      <c r="F967" s="69">
        <v>76</v>
      </c>
      <c r="G967" s="71" t="str">
        <f>VLOOKUP(F967,購入者リスト!B:M,12,FALSE)</f>
        <v>25/12/04</v>
      </c>
      <c r="H967" s="70" t="s">
        <v>27</v>
      </c>
      <c r="I967" s="73" t="str">
        <f t="shared" si="68"/>
        <v/>
      </c>
      <c r="J967" s="74"/>
      <c r="K967" s="74">
        <f t="shared" si="66"/>
        <v>0</v>
      </c>
      <c r="L967" s="73">
        <f t="shared" si="67"/>
        <v>218.18181818181847</v>
      </c>
      <c r="M967" s="74">
        <f>VLOOKUP(F967,購入者リスト!B:F,5,FALSE)</f>
        <v>2400</v>
      </c>
    </row>
    <row r="968" spans="2:14" s="46" customFormat="1" ht="15">
      <c r="B968" s="534">
        <f t="shared" si="65"/>
        <v>961</v>
      </c>
      <c r="C968" s="69" t="s">
        <v>2671</v>
      </c>
      <c r="D968" s="69" t="s">
        <v>2672</v>
      </c>
      <c r="E968" s="70" t="s">
        <v>2673</v>
      </c>
      <c r="F968" s="72"/>
      <c r="G968" s="71" t="str">
        <f>G967</f>
        <v>25/12/04</v>
      </c>
      <c r="H968" s="70" t="s">
        <v>27</v>
      </c>
      <c r="I968" s="73">
        <f t="shared" si="68"/>
        <v>21.818181818181841</v>
      </c>
      <c r="J968" s="74">
        <f>M967*0.1</f>
        <v>240</v>
      </c>
      <c r="K968" s="74">
        <f t="shared" si="66"/>
        <v>240</v>
      </c>
      <c r="L968" s="73" t="str">
        <f t="shared" si="67"/>
        <v/>
      </c>
      <c r="M968" s="74"/>
    </row>
    <row r="969" spans="2:14" s="46" customFormat="1" ht="15">
      <c r="B969" s="534">
        <f t="shared" si="65"/>
        <v>962</v>
      </c>
      <c r="C969" s="56" t="s">
        <v>2262</v>
      </c>
      <c r="D969" s="56" t="s">
        <v>2996</v>
      </c>
      <c r="E969" s="57" t="s">
        <v>2997</v>
      </c>
      <c r="F969" s="58"/>
      <c r="G969" s="59">
        <v>46000</v>
      </c>
      <c r="H969" s="57" t="s">
        <v>2307</v>
      </c>
      <c r="I969" s="62">
        <f t="shared" si="68"/>
        <v>495.45454545454595</v>
      </c>
      <c r="J969" s="63">
        <v>5450</v>
      </c>
      <c r="K969" s="63">
        <f t="shared" si="66"/>
        <v>0</v>
      </c>
      <c r="L969" s="62" t="str">
        <f t="shared" si="67"/>
        <v/>
      </c>
      <c r="M969" s="63"/>
      <c r="N969" s="66" t="s">
        <v>24</v>
      </c>
    </row>
    <row r="970" spans="2:14" s="46" customFormat="1" ht="15">
      <c r="B970" s="534">
        <f t="shared" si="65"/>
        <v>963</v>
      </c>
      <c r="C970" s="56" t="s">
        <v>2262</v>
      </c>
      <c r="D970" s="56" t="s">
        <v>2998</v>
      </c>
      <c r="E970" s="57" t="s">
        <v>2999</v>
      </c>
      <c r="F970" s="58"/>
      <c r="G970" s="59">
        <v>46000</v>
      </c>
      <c r="H970" s="57" t="s">
        <v>27</v>
      </c>
      <c r="I970" s="62">
        <f t="shared" si="68"/>
        <v>180.00000000000023</v>
      </c>
      <c r="J970" s="63">
        <v>1980</v>
      </c>
      <c r="K970" s="63">
        <f t="shared" si="66"/>
        <v>1980</v>
      </c>
      <c r="L970" s="62" t="str">
        <f t="shared" si="67"/>
        <v/>
      </c>
      <c r="M970" s="63"/>
    </row>
    <row r="971" spans="2:14" s="46" customFormat="1" ht="15">
      <c r="B971" s="534">
        <f t="shared" si="65"/>
        <v>964</v>
      </c>
      <c r="C971" s="56" t="s">
        <v>2262</v>
      </c>
      <c r="D971" s="56" t="s">
        <v>3000</v>
      </c>
      <c r="E971" s="57" t="s">
        <v>3001</v>
      </c>
      <c r="F971" s="58"/>
      <c r="G971" s="59">
        <v>46004</v>
      </c>
      <c r="H971" s="57" t="s">
        <v>129</v>
      </c>
      <c r="I971" s="62">
        <f t="shared" si="68"/>
        <v>12.363636363636374</v>
      </c>
      <c r="J971" s="63">
        <v>136</v>
      </c>
      <c r="K971" s="63">
        <f t="shared" si="66"/>
        <v>136</v>
      </c>
      <c r="L971" s="62" t="str">
        <f t="shared" si="67"/>
        <v/>
      </c>
      <c r="M971" s="63"/>
    </row>
    <row r="972" spans="2:14" s="46" customFormat="1" ht="15">
      <c r="B972" s="534">
        <f t="shared" si="65"/>
        <v>965</v>
      </c>
      <c r="C972" s="56" t="s">
        <v>2262</v>
      </c>
      <c r="D972" s="56" t="s">
        <v>2627</v>
      </c>
      <c r="E972" s="57" t="s">
        <v>2628</v>
      </c>
      <c r="F972" s="58"/>
      <c r="G972" s="59">
        <v>46004</v>
      </c>
      <c r="H972" s="57" t="s">
        <v>2631</v>
      </c>
      <c r="I972" s="62">
        <f t="shared" si="68"/>
        <v>69.727272727272748</v>
      </c>
      <c r="J972" s="63">
        <v>767</v>
      </c>
      <c r="K972" s="63">
        <f t="shared" si="66"/>
        <v>767</v>
      </c>
      <c r="L972" s="62" t="str">
        <f t="shared" si="67"/>
        <v/>
      </c>
      <c r="M972" s="63"/>
    </row>
    <row r="973" spans="2:14" s="46" customFormat="1" ht="15">
      <c r="B973" s="534">
        <f t="shared" si="65"/>
        <v>966</v>
      </c>
      <c r="C973" s="56" t="s">
        <v>2262</v>
      </c>
      <c r="D973" s="56" t="s">
        <v>3002</v>
      </c>
      <c r="E973" s="57" t="s">
        <v>3003</v>
      </c>
      <c r="F973" s="58"/>
      <c r="G973" s="59">
        <v>46005</v>
      </c>
      <c r="H973" s="57" t="s">
        <v>27</v>
      </c>
      <c r="I973" s="62">
        <f t="shared" si="68"/>
        <v>40.727272727272748</v>
      </c>
      <c r="J973" s="63">
        <v>448</v>
      </c>
      <c r="K973" s="63">
        <f t="shared" si="66"/>
        <v>448</v>
      </c>
      <c r="L973" s="62" t="str">
        <f t="shared" si="67"/>
        <v/>
      </c>
      <c r="M973" s="63"/>
    </row>
    <row r="974" spans="2:14" s="46" customFormat="1" ht="15">
      <c r="B974" s="534">
        <f t="shared" si="65"/>
        <v>967</v>
      </c>
      <c r="C974" s="56" t="s">
        <v>2262</v>
      </c>
      <c r="D974" s="56" t="s">
        <v>3004</v>
      </c>
      <c r="E974" s="57" t="s">
        <v>3005</v>
      </c>
      <c r="F974" s="58"/>
      <c r="G974" s="59">
        <v>46005</v>
      </c>
      <c r="H974" s="57" t="s">
        <v>27</v>
      </c>
      <c r="I974" s="62">
        <f t="shared" si="68"/>
        <v>49.454545454545496</v>
      </c>
      <c r="J974" s="63">
        <v>544</v>
      </c>
      <c r="K974" s="63">
        <f t="shared" si="66"/>
        <v>544</v>
      </c>
      <c r="L974" s="62" t="str">
        <f t="shared" si="67"/>
        <v/>
      </c>
      <c r="M974" s="63"/>
    </row>
    <row r="975" spans="2:14" s="46" customFormat="1" ht="15">
      <c r="B975" s="534">
        <f t="shared" si="65"/>
        <v>968</v>
      </c>
      <c r="C975" s="56" t="s">
        <v>2442</v>
      </c>
      <c r="D975" s="56" t="s">
        <v>2534</v>
      </c>
      <c r="E975" s="57" t="s">
        <v>2535</v>
      </c>
      <c r="F975" s="58" t="s">
        <v>3006</v>
      </c>
      <c r="G975" s="59">
        <v>46010</v>
      </c>
      <c r="H975" s="57" t="s">
        <v>2941</v>
      </c>
      <c r="I975" s="62">
        <f t="shared" si="68"/>
        <v>238.36363636363649</v>
      </c>
      <c r="J975" s="63">
        <v>2622</v>
      </c>
      <c r="K975" s="63">
        <f t="shared" si="66"/>
        <v>0</v>
      </c>
      <c r="L975" s="62" t="str">
        <f t="shared" si="67"/>
        <v/>
      </c>
      <c r="M975" s="63"/>
      <c r="N975" s="66" t="s">
        <v>24</v>
      </c>
    </row>
    <row r="976" spans="2:14" s="46" customFormat="1" ht="15">
      <c r="B976" s="534">
        <f t="shared" si="65"/>
        <v>969</v>
      </c>
      <c r="C976" s="56" t="s">
        <v>2442</v>
      </c>
      <c r="D976" s="56" t="s">
        <v>2443</v>
      </c>
      <c r="E976" s="57" t="s">
        <v>2444</v>
      </c>
      <c r="F976" s="58"/>
      <c r="G976" s="59">
        <v>46011</v>
      </c>
      <c r="H976" s="57" t="s">
        <v>2445</v>
      </c>
      <c r="I976" s="62">
        <f t="shared" si="68"/>
        <v>243.63636363636397</v>
      </c>
      <c r="J976" s="63">
        <v>2680</v>
      </c>
      <c r="K976" s="63">
        <f t="shared" si="66"/>
        <v>2680</v>
      </c>
      <c r="L976" s="62" t="str">
        <f t="shared" si="67"/>
        <v/>
      </c>
      <c r="M976" s="63"/>
    </row>
    <row r="977" spans="2:14" s="46" customFormat="1" ht="15">
      <c r="B977" s="534">
        <f t="shared" si="65"/>
        <v>970</v>
      </c>
      <c r="C977" s="56" t="s">
        <v>2281</v>
      </c>
      <c r="D977" s="56" t="s">
        <v>2282</v>
      </c>
      <c r="E977" s="57" t="s">
        <v>3007</v>
      </c>
      <c r="F977" s="75" t="s">
        <v>3008</v>
      </c>
      <c r="G977" s="59">
        <v>46011</v>
      </c>
      <c r="H977" s="57" t="s">
        <v>48</v>
      </c>
      <c r="I977" s="62">
        <f t="shared" si="68"/>
        <v>1092.2727272727279</v>
      </c>
      <c r="J977" s="63">
        <f>((2000-100)+500)*0.85+(2500*2)*0.95+(3000+2500)*0.95</f>
        <v>12015</v>
      </c>
      <c r="K977" s="63">
        <f t="shared" si="66"/>
        <v>12015</v>
      </c>
      <c r="L977" s="62" t="str">
        <f t="shared" si="67"/>
        <v/>
      </c>
      <c r="M977" s="63"/>
    </row>
    <row r="978" spans="2:14" s="46" customFormat="1" ht="15">
      <c r="B978" s="534">
        <f t="shared" si="65"/>
        <v>971</v>
      </c>
      <c r="C978" s="56" t="s">
        <v>2442</v>
      </c>
      <c r="D978" s="56" t="s">
        <v>2443</v>
      </c>
      <c r="E978" s="57" t="s">
        <v>3009</v>
      </c>
      <c r="F978" s="58"/>
      <c r="G978" s="59">
        <v>46011</v>
      </c>
      <c r="H978" s="57" t="s">
        <v>2445</v>
      </c>
      <c r="I978" s="62">
        <f t="shared" si="68"/>
        <v>258.18181818181847</v>
      </c>
      <c r="J978" s="63">
        <v>2840</v>
      </c>
      <c r="K978" s="63">
        <f t="shared" si="66"/>
        <v>2840</v>
      </c>
      <c r="L978" s="62" t="str">
        <f t="shared" si="67"/>
        <v/>
      </c>
      <c r="M978" s="63"/>
    </row>
    <row r="979" spans="2:14" s="46" customFormat="1" ht="15">
      <c r="B979" s="534">
        <f t="shared" si="65"/>
        <v>972</v>
      </c>
      <c r="C979" s="56" t="s">
        <v>2281</v>
      </c>
      <c r="D979" s="56" t="s">
        <v>2282</v>
      </c>
      <c r="E979" s="57" t="s">
        <v>814</v>
      </c>
      <c r="F979" s="75"/>
      <c r="G979" s="59">
        <v>46014</v>
      </c>
      <c r="H979" s="57" t="s">
        <v>27</v>
      </c>
      <c r="I979" s="62">
        <f t="shared" si="68"/>
        <v>254.54545454545496</v>
      </c>
      <c r="J979" s="63">
        <v>2800</v>
      </c>
      <c r="K979" s="63">
        <f t="shared" si="66"/>
        <v>2800</v>
      </c>
      <c r="L979" s="62" t="str">
        <f t="shared" si="67"/>
        <v/>
      </c>
      <c r="M979" s="63"/>
    </row>
    <row r="980" spans="2:14" s="46" customFormat="1" ht="15">
      <c r="B980" s="534">
        <f t="shared" si="65"/>
        <v>973</v>
      </c>
      <c r="C980" s="56" t="s">
        <v>2442</v>
      </c>
      <c r="D980" s="56" t="s">
        <v>2534</v>
      </c>
      <c r="E980" s="57" t="s">
        <v>2535</v>
      </c>
      <c r="F980" s="58" t="s">
        <v>3010</v>
      </c>
      <c r="G980" s="59">
        <v>46016</v>
      </c>
      <c r="H980" s="57" t="s">
        <v>3011</v>
      </c>
      <c r="I980" s="62">
        <f t="shared" si="68"/>
        <v>181.81818181818198</v>
      </c>
      <c r="J980" s="63">
        <v>2000</v>
      </c>
      <c r="K980" s="63">
        <f t="shared" si="66"/>
        <v>0</v>
      </c>
      <c r="L980" s="62" t="str">
        <f t="shared" si="67"/>
        <v/>
      </c>
      <c r="M980" s="63"/>
      <c r="N980" s="66" t="s">
        <v>24</v>
      </c>
    </row>
    <row r="981" spans="2:14" s="46" customFormat="1" ht="15">
      <c r="B981" s="534"/>
      <c r="C981" s="65" t="s">
        <v>3012</v>
      </c>
      <c r="D981" s="56"/>
      <c r="E981" s="57"/>
      <c r="F981" s="58"/>
      <c r="G981" s="59"/>
      <c r="H981" s="57"/>
      <c r="I981" s="62"/>
      <c r="J981" s="67">
        <f>SUM(J625:J980)</f>
        <v>415018</v>
      </c>
      <c r="K981" s="67">
        <f>SUM(K625:K980)</f>
        <v>332812</v>
      </c>
      <c r="L981" s="62"/>
      <c r="M981" s="68">
        <f>SUM(M625:M980)</f>
        <v>116300</v>
      </c>
    </row>
    <row r="982" spans="2:14" s="46" customFormat="1" ht="15">
      <c r="B982" s="534"/>
      <c r="C982" s="66" t="s">
        <v>3367</v>
      </c>
      <c r="D982" s="66" t="s">
        <v>3367</v>
      </c>
      <c r="E982" s="66" t="s">
        <v>3367</v>
      </c>
      <c r="F982" s="66" t="s">
        <v>3367</v>
      </c>
      <c r="G982" s="66" t="s">
        <v>3367</v>
      </c>
      <c r="H982" s="66" t="s">
        <v>3367</v>
      </c>
      <c r="I982" s="66" t="s">
        <v>3367</v>
      </c>
      <c r="J982" s="66" t="s">
        <v>3367</v>
      </c>
      <c r="K982" s="66" t="s">
        <v>3367</v>
      </c>
      <c r="L982" s="66" t="s">
        <v>3367</v>
      </c>
      <c r="M982" s="66" t="s">
        <v>3367</v>
      </c>
    </row>
    <row r="983" spans="2:14" s="46" customFormat="1" ht="15">
      <c r="B983" s="534">
        <f t="shared" ref="B983:B1061" si="69">ROW()-9</f>
        <v>974</v>
      </c>
      <c r="C983" s="56" t="s">
        <v>2442</v>
      </c>
      <c r="D983" s="56" t="s">
        <v>2534</v>
      </c>
      <c r="E983" s="57" t="s">
        <v>2535</v>
      </c>
      <c r="F983" s="58" t="s">
        <v>3013</v>
      </c>
      <c r="G983" s="59">
        <v>46026</v>
      </c>
      <c r="H983" s="57" t="s">
        <v>2941</v>
      </c>
      <c r="I983" s="62">
        <f t="shared" ref="I983:I1059" si="70">IF(J983&lt;&gt;"",J983-J983/1.1,"")</f>
        <v>211.81818181818198</v>
      </c>
      <c r="J983" s="63">
        <v>2330</v>
      </c>
      <c r="K983" s="63">
        <f t="shared" ref="K983:K1039" si="71">IF(N983="",J983,0)</f>
        <v>0</v>
      </c>
      <c r="L983" s="62" t="str">
        <f t="shared" ref="L983:L1059" si="72">IF(M983&lt;&gt;"",M983-M983/1.1,"")</f>
        <v/>
      </c>
      <c r="M983" s="63"/>
      <c r="N983" s="66" t="s">
        <v>24</v>
      </c>
    </row>
    <row r="984" spans="2:14" s="46" customFormat="1" ht="15">
      <c r="B984" s="534">
        <f t="shared" si="69"/>
        <v>975</v>
      </c>
      <c r="C984" s="56" t="s">
        <v>2442</v>
      </c>
      <c r="D984" s="56" t="s">
        <v>2534</v>
      </c>
      <c r="E984" s="57" t="s">
        <v>2535</v>
      </c>
      <c r="F984" s="58" t="s">
        <v>3014</v>
      </c>
      <c r="G984" s="59">
        <v>46040</v>
      </c>
      <c r="H984" s="57" t="s">
        <v>2941</v>
      </c>
      <c r="I984" s="62">
        <f t="shared" si="70"/>
        <v>235.63636363636397</v>
      </c>
      <c r="J984" s="63">
        <v>2592</v>
      </c>
      <c r="K984" s="63">
        <f t="shared" si="71"/>
        <v>0</v>
      </c>
      <c r="L984" s="62" t="str">
        <f t="shared" si="72"/>
        <v/>
      </c>
      <c r="M984" s="63"/>
      <c r="N984" s="66" t="s">
        <v>24</v>
      </c>
    </row>
    <row r="985" spans="2:14" s="46" customFormat="1" ht="15">
      <c r="B985" s="534">
        <f t="shared" si="69"/>
        <v>976</v>
      </c>
      <c r="C985" s="56" t="s">
        <v>2281</v>
      </c>
      <c r="D985" s="56" t="s">
        <v>2282</v>
      </c>
      <c r="E985" s="57" t="s">
        <v>153</v>
      </c>
      <c r="F985" s="64"/>
      <c r="G985" s="59">
        <v>46044</v>
      </c>
      <c r="H985" s="57" t="s">
        <v>2808</v>
      </c>
      <c r="I985" s="62">
        <f t="shared" si="70"/>
        <v>407.27272727272748</v>
      </c>
      <c r="J985" s="63">
        <v>4480</v>
      </c>
      <c r="K985" s="63">
        <f t="shared" si="71"/>
        <v>4480</v>
      </c>
      <c r="L985" s="62" t="str">
        <f t="shared" si="72"/>
        <v/>
      </c>
      <c r="M985" s="63"/>
    </row>
    <row r="986" spans="2:14" s="46" customFormat="1" ht="15">
      <c r="B986" s="534">
        <f t="shared" si="69"/>
        <v>977</v>
      </c>
      <c r="C986" s="56" t="s">
        <v>2442</v>
      </c>
      <c r="D986" s="56" t="s">
        <v>2534</v>
      </c>
      <c r="E986" s="57" t="s">
        <v>2535</v>
      </c>
      <c r="F986" s="58" t="s">
        <v>3015</v>
      </c>
      <c r="G986" s="59">
        <v>46047</v>
      </c>
      <c r="H986" s="57" t="s">
        <v>2941</v>
      </c>
      <c r="I986" s="62">
        <f t="shared" si="70"/>
        <v>272.72727272727298</v>
      </c>
      <c r="J986" s="63">
        <v>3000</v>
      </c>
      <c r="K986" s="63">
        <f t="shared" si="71"/>
        <v>0</v>
      </c>
      <c r="L986" s="62" t="str">
        <f t="shared" si="72"/>
        <v/>
      </c>
      <c r="M986" s="63"/>
      <c r="N986" s="66" t="s">
        <v>24</v>
      </c>
    </row>
    <row r="987" spans="2:14" s="46" customFormat="1" ht="15">
      <c r="B987" s="534">
        <f t="shared" si="69"/>
        <v>978</v>
      </c>
      <c r="C987" s="56" t="s">
        <v>2342</v>
      </c>
      <c r="D987" s="56" t="s">
        <v>2693</v>
      </c>
      <c r="E987" s="57" t="s">
        <v>2694</v>
      </c>
      <c r="F987" s="64">
        <v>192.5</v>
      </c>
      <c r="G987" s="59">
        <v>46054</v>
      </c>
      <c r="H987" s="57" t="s">
        <v>3016</v>
      </c>
      <c r="I987" s="62">
        <f t="shared" si="70"/>
        <v>19.090909090909093</v>
      </c>
      <c r="J987" s="63">
        <f>IF(F987&lt;=150,170,IF(F987&lt;=200,210,IF(F987&lt;=250,240,290)))</f>
        <v>210</v>
      </c>
      <c r="K987" s="63">
        <f t="shared" si="71"/>
        <v>210</v>
      </c>
      <c r="L987" s="62" t="str">
        <f t="shared" si="72"/>
        <v/>
      </c>
      <c r="M987" s="63"/>
    </row>
    <row r="988" spans="2:14" s="46" customFormat="1" ht="15">
      <c r="B988" s="534">
        <f t="shared" si="69"/>
        <v>979</v>
      </c>
      <c r="C988" s="56" t="s">
        <v>2342</v>
      </c>
      <c r="D988" s="56" t="s">
        <v>2693</v>
      </c>
      <c r="E988" s="57" t="s">
        <v>2694</v>
      </c>
      <c r="F988" s="64">
        <v>214</v>
      </c>
      <c r="G988" s="59">
        <v>46054</v>
      </c>
      <c r="H988" s="57" t="s">
        <v>3016</v>
      </c>
      <c r="I988" s="62">
        <f t="shared" si="70"/>
        <v>21.818181818181841</v>
      </c>
      <c r="J988" s="63">
        <v>240</v>
      </c>
      <c r="K988" s="63">
        <f t="shared" si="71"/>
        <v>240</v>
      </c>
      <c r="L988" s="62" t="str">
        <f t="shared" si="72"/>
        <v/>
      </c>
      <c r="M988" s="63"/>
    </row>
    <row r="989" spans="2:14" s="46" customFormat="1" ht="15">
      <c r="B989" s="534">
        <f t="shared" si="69"/>
        <v>980</v>
      </c>
      <c r="C989" s="56" t="s">
        <v>2342</v>
      </c>
      <c r="D989" s="56" t="s">
        <v>2693</v>
      </c>
      <c r="E989" s="57" t="s">
        <v>2694</v>
      </c>
      <c r="F989" s="64">
        <v>214</v>
      </c>
      <c r="G989" s="59">
        <v>46054</v>
      </c>
      <c r="H989" s="57" t="s">
        <v>3016</v>
      </c>
      <c r="I989" s="62">
        <f t="shared" si="70"/>
        <v>21.818181818181841</v>
      </c>
      <c r="J989" s="63">
        <v>240</v>
      </c>
      <c r="K989" s="63">
        <f t="shared" si="71"/>
        <v>240</v>
      </c>
      <c r="L989" s="62" t="str">
        <f t="shared" si="72"/>
        <v/>
      </c>
      <c r="M989" s="63"/>
    </row>
    <row r="990" spans="2:14" s="46" customFormat="1" ht="15">
      <c r="B990" s="534">
        <f t="shared" si="69"/>
        <v>981</v>
      </c>
      <c r="C990" s="56" t="s">
        <v>2342</v>
      </c>
      <c r="D990" s="56" t="s">
        <v>2693</v>
      </c>
      <c r="E990" s="57" t="s">
        <v>2694</v>
      </c>
      <c r="F990" s="64">
        <v>429.5</v>
      </c>
      <c r="G990" s="59">
        <v>46054</v>
      </c>
      <c r="H990" s="57" t="s">
        <v>3016</v>
      </c>
      <c r="I990" s="62">
        <f t="shared" si="70"/>
        <v>31.090909090909122</v>
      </c>
      <c r="J990" s="63">
        <v>342</v>
      </c>
      <c r="K990" s="63">
        <f t="shared" si="71"/>
        <v>342</v>
      </c>
      <c r="L990" s="62" t="str">
        <f t="shared" si="72"/>
        <v/>
      </c>
      <c r="M990" s="63"/>
    </row>
    <row r="991" spans="2:14" s="46" customFormat="1" ht="15">
      <c r="B991" s="534">
        <f t="shared" si="69"/>
        <v>982</v>
      </c>
      <c r="C991" s="69" t="s">
        <v>2670</v>
      </c>
      <c r="D991" s="69" t="s">
        <v>2282</v>
      </c>
      <c r="E991" s="70" t="str">
        <f>VLOOKUP(F991,購入者リスト!B:F,4,FALSE)</f>
        <v>桜鬼 赤鬼 ピーチック ミックスベリア 抜き苗 7種セット 多肉植物</v>
      </c>
      <c r="F991" s="69">
        <v>80</v>
      </c>
      <c r="G991" s="71" t="str">
        <f>VLOOKUP(F991,購入者リスト!B:M,12,FALSE)</f>
        <v>26/02/04</v>
      </c>
      <c r="H991" s="70" t="s">
        <v>27</v>
      </c>
      <c r="I991" s="73" t="str">
        <f t="shared" si="70"/>
        <v/>
      </c>
      <c r="J991" s="74"/>
      <c r="K991" s="74">
        <f t="shared" si="71"/>
        <v>0</v>
      </c>
      <c r="L991" s="73">
        <f t="shared" si="72"/>
        <v>218.18181818181847</v>
      </c>
      <c r="M991" s="74">
        <f>VLOOKUP(F991,購入者リスト!B:F,5,FALSE)</f>
        <v>2400</v>
      </c>
    </row>
    <row r="992" spans="2:14" s="46" customFormat="1" ht="15">
      <c r="B992" s="534">
        <f t="shared" si="69"/>
        <v>983</v>
      </c>
      <c r="C992" s="69" t="s">
        <v>2671</v>
      </c>
      <c r="D992" s="69" t="s">
        <v>2672</v>
      </c>
      <c r="E992" s="70" t="s">
        <v>2673</v>
      </c>
      <c r="F992" s="72"/>
      <c r="G992" s="71" t="str">
        <f>G991</f>
        <v>26/02/04</v>
      </c>
      <c r="H992" s="70" t="s">
        <v>27</v>
      </c>
      <c r="I992" s="73">
        <f t="shared" si="70"/>
        <v>21.818181818181841</v>
      </c>
      <c r="J992" s="74">
        <f>M991*0.1</f>
        <v>240</v>
      </c>
      <c r="K992" s="74">
        <f t="shared" si="71"/>
        <v>240</v>
      </c>
      <c r="L992" s="73" t="str">
        <f t="shared" si="72"/>
        <v/>
      </c>
      <c r="M992" s="74"/>
    </row>
    <row r="993" spans="1:14" s="46" customFormat="1" ht="15">
      <c r="B993" s="534">
        <f t="shared" si="69"/>
        <v>984</v>
      </c>
      <c r="C993" s="69" t="s">
        <v>2670</v>
      </c>
      <c r="D993" s="69" t="s">
        <v>2282</v>
      </c>
      <c r="E993" s="70" t="str">
        <f>VLOOKUP(F993,購入者リスト!B:F,4,FALSE)</f>
        <v>ちょこん ピーチック ミックスベリア 抜き苗 7種セット 多肉植物 A</v>
      </c>
      <c r="F993" s="69">
        <v>81</v>
      </c>
      <c r="G993" s="71" t="str">
        <f>VLOOKUP(F993,購入者リスト!B:M,12,FALSE)</f>
        <v>26/02/04</v>
      </c>
      <c r="H993" s="70" t="s">
        <v>27</v>
      </c>
      <c r="I993" s="73" t="str">
        <f t="shared" si="70"/>
        <v/>
      </c>
      <c r="J993" s="74"/>
      <c r="K993" s="74">
        <f t="shared" si="71"/>
        <v>0</v>
      </c>
      <c r="L993" s="73">
        <f t="shared" si="72"/>
        <v>218.18181818181847</v>
      </c>
      <c r="M993" s="74">
        <f>VLOOKUP(F993,購入者リスト!B:F,5,FALSE)</f>
        <v>2400</v>
      </c>
    </row>
    <row r="994" spans="1:14" s="46" customFormat="1" ht="15">
      <c r="B994" s="534">
        <f t="shared" si="69"/>
        <v>985</v>
      </c>
      <c r="C994" s="69" t="s">
        <v>2671</v>
      </c>
      <c r="D994" s="69" t="s">
        <v>2672</v>
      </c>
      <c r="E994" s="70" t="s">
        <v>2673</v>
      </c>
      <c r="F994" s="72"/>
      <c r="G994" s="71" t="str">
        <f>G993</f>
        <v>26/02/04</v>
      </c>
      <c r="H994" s="70" t="s">
        <v>27</v>
      </c>
      <c r="I994" s="73">
        <f t="shared" si="70"/>
        <v>21.818181818181841</v>
      </c>
      <c r="J994" s="74">
        <f>M993*0.1</f>
        <v>240</v>
      </c>
      <c r="K994" s="74">
        <f t="shared" si="71"/>
        <v>240</v>
      </c>
      <c r="L994" s="73" t="str">
        <f t="shared" si="72"/>
        <v/>
      </c>
      <c r="M994" s="74"/>
    </row>
    <row r="995" spans="1:14" s="46" customFormat="1" ht="15">
      <c r="B995" s="534">
        <f t="shared" si="69"/>
        <v>986</v>
      </c>
      <c r="C995" s="69" t="s">
        <v>2670</v>
      </c>
      <c r="D995" s="69" t="s">
        <v>2282</v>
      </c>
      <c r="E995" s="70" t="str">
        <f>VLOOKUP(F995,購入者リスト!B:F,4,FALSE)</f>
        <v>ちょこん ピーチック ミックスベリア 抜き苗 7種セット 多肉植物 B</v>
      </c>
      <c r="F995" s="69">
        <v>82</v>
      </c>
      <c r="G995" s="71" t="str">
        <f>VLOOKUP(F995,購入者リスト!B:M,12,FALSE)</f>
        <v>26/02/04</v>
      </c>
      <c r="H995" s="70" t="s">
        <v>27</v>
      </c>
      <c r="I995" s="73" t="str">
        <f t="shared" si="70"/>
        <v/>
      </c>
      <c r="J995" s="74"/>
      <c r="K995" s="74">
        <f t="shared" si="71"/>
        <v>0</v>
      </c>
      <c r="L995" s="73">
        <f t="shared" si="72"/>
        <v>218.18181818181847</v>
      </c>
      <c r="M995" s="74">
        <f>VLOOKUP(F995,購入者リスト!B:F,5,FALSE)</f>
        <v>2400</v>
      </c>
    </row>
    <row r="996" spans="1:14" s="46" customFormat="1" ht="15">
      <c r="B996" s="534">
        <f t="shared" si="69"/>
        <v>987</v>
      </c>
      <c r="C996" s="69" t="s">
        <v>2671</v>
      </c>
      <c r="D996" s="69" t="s">
        <v>2672</v>
      </c>
      <c r="E996" s="70" t="s">
        <v>2673</v>
      </c>
      <c r="F996" s="72"/>
      <c r="G996" s="71" t="str">
        <f>G995</f>
        <v>26/02/04</v>
      </c>
      <c r="H996" s="70" t="s">
        <v>27</v>
      </c>
      <c r="I996" s="73">
        <f t="shared" si="70"/>
        <v>21.818181818181841</v>
      </c>
      <c r="J996" s="74">
        <f>M995*0.1</f>
        <v>240</v>
      </c>
      <c r="K996" s="74">
        <f t="shared" si="71"/>
        <v>240</v>
      </c>
      <c r="L996" s="73" t="str">
        <f t="shared" si="72"/>
        <v/>
      </c>
      <c r="M996" s="74"/>
    </row>
    <row r="997" spans="1:14" ht="15">
      <c r="A997" s="46"/>
      <c r="B997" s="534">
        <f t="shared" si="69"/>
        <v>988</v>
      </c>
      <c r="C997" s="69" t="s">
        <v>2670</v>
      </c>
      <c r="D997" s="69" t="s">
        <v>2282</v>
      </c>
      <c r="E997" s="70" t="str">
        <f>VLOOKUP(F997,購入者リスト!B:F,4,FALSE)</f>
        <v>紫紺の矢 ピーチック ミックスベリア 抜き苗 7種セット 多肉植物</v>
      </c>
      <c r="F997" s="69">
        <v>83</v>
      </c>
      <c r="G997" s="71" t="str">
        <f>VLOOKUP(F997,購入者リスト!B:M,12,FALSE)</f>
        <v>26/02/04</v>
      </c>
      <c r="H997" s="70" t="s">
        <v>27</v>
      </c>
      <c r="I997" s="73" t="str">
        <f t="shared" si="70"/>
        <v/>
      </c>
      <c r="J997" s="74"/>
      <c r="K997" s="74">
        <f t="shared" si="71"/>
        <v>0</v>
      </c>
      <c r="L997" s="73">
        <f t="shared" si="72"/>
        <v>218.18181818181847</v>
      </c>
      <c r="M997" s="74">
        <f>VLOOKUP(F997,購入者リスト!B:F,5,FALSE)</f>
        <v>2400</v>
      </c>
      <c r="N997" s="46"/>
    </row>
    <row r="998" spans="1:14" ht="15">
      <c r="A998" s="46"/>
      <c r="B998" s="534">
        <f t="shared" si="69"/>
        <v>989</v>
      </c>
      <c r="C998" s="69" t="s">
        <v>2671</v>
      </c>
      <c r="D998" s="69" t="s">
        <v>2672</v>
      </c>
      <c r="E998" s="70" t="s">
        <v>2673</v>
      </c>
      <c r="F998" s="72"/>
      <c r="G998" s="71" t="str">
        <f>G997</f>
        <v>26/02/04</v>
      </c>
      <c r="H998" s="70" t="s">
        <v>27</v>
      </c>
      <c r="I998" s="73">
        <f t="shared" si="70"/>
        <v>21.818181818181841</v>
      </c>
      <c r="J998" s="74">
        <f>M997*0.1</f>
        <v>240</v>
      </c>
      <c r="K998" s="74">
        <f t="shared" si="71"/>
        <v>240</v>
      </c>
      <c r="L998" s="73" t="str">
        <f t="shared" si="72"/>
        <v/>
      </c>
      <c r="M998" s="74"/>
      <c r="N998" s="46"/>
    </row>
    <row r="999" spans="1:14" ht="15">
      <c r="A999" s="46"/>
      <c r="B999" s="534">
        <f t="shared" si="69"/>
        <v>990</v>
      </c>
      <c r="C999" s="69" t="s">
        <v>2670</v>
      </c>
      <c r="D999" s="69" t="s">
        <v>2282</v>
      </c>
      <c r="E999" s="70" t="str">
        <f>VLOOKUP(F999,購入者リスト!B:F,4,FALSE)</f>
        <v>モルゲンロート ももりん ミックスベリア 抜き苗 7種セット 多肉植物</v>
      </c>
      <c r="F999" s="69">
        <v>84</v>
      </c>
      <c r="G999" s="71" t="str">
        <f>VLOOKUP(F999,購入者リスト!B:M,12,FALSE)</f>
        <v>26/02/05</v>
      </c>
      <c r="H999" s="70" t="s">
        <v>27</v>
      </c>
      <c r="I999" s="73" t="str">
        <f t="shared" si="70"/>
        <v/>
      </c>
      <c r="J999" s="74"/>
      <c r="K999" s="74">
        <f t="shared" si="71"/>
        <v>0</v>
      </c>
      <c r="L999" s="73">
        <f t="shared" si="72"/>
        <v>218.18181818181847</v>
      </c>
      <c r="M999" s="74">
        <f>VLOOKUP(F999,購入者リスト!B:F,5,FALSE)</f>
        <v>2400</v>
      </c>
      <c r="N999" s="46"/>
    </row>
    <row r="1000" spans="1:14" ht="15">
      <c r="A1000" s="46"/>
      <c r="B1000" s="534">
        <f t="shared" si="69"/>
        <v>991</v>
      </c>
      <c r="C1000" s="69" t="s">
        <v>2671</v>
      </c>
      <c r="D1000" s="69" t="s">
        <v>2672</v>
      </c>
      <c r="E1000" s="70" t="s">
        <v>2673</v>
      </c>
      <c r="F1000" s="72"/>
      <c r="G1000" s="71" t="str">
        <f>G999</f>
        <v>26/02/05</v>
      </c>
      <c r="H1000" s="70" t="s">
        <v>27</v>
      </c>
      <c r="I1000" s="73">
        <f t="shared" si="70"/>
        <v>21.818181818181841</v>
      </c>
      <c r="J1000" s="74">
        <f>M999*0.1</f>
        <v>240</v>
      </c>
      <c r="K1000" s="74">
        <f t="shared" si="71"/>
        <v>240</v>
      </c>
      <c r="L1000" s="73" t="str">
        <f t="shared" si="72"/>
        <v/>
      </c>
      <c r="M1000" s="74"/>
      <c r="N1000" s="46"/>
    </row>
    <row r="1001" spans="1:14" ht="15">
      <c r="A1001" s="46"/>
      <c r="B1001" s="534">
        <f t="shared" si="69"/>
        <v>992</v>
      </c>
      <c r="C1001" s="56" t="s">
        <v>2442</v>
      </c>
      <c r="D1001" s="56" t="s">
        <v>2534</v>
      </c>
      <c r="E1001" s="57" t="s">
        <v>2535</v>
      </c>
      <c r="F1001" s="58" t="s">
        <v>3369</v>
      </c>
      <c r="G1001" s="59">
        <v>46060</v>
      </c>
      <c r="H1001" s="57" t="s">
        <v>2941</v>
      </c>
      <c r="I1001" s="62">
        <f t="shared" si="70"/>
        <v>256.36363636363649</v>
      </c>
      <c r="J1001" s="63">
        <v>2820</v>
      </c>
      <c r="K1001" s="63">
        <f t="shared" si="71"/>
        <v>0</v>
      </c>
      <c r="L1001" s="62" t="str">
        <f t="shared" si="72"/>
        <v/>
      </c>
      <c r="M1001" s="63"/>
      <c r="N1001" s="66" t="s">
        <v>24</v>
      </c>
    </row>
    <row r="1002" spans="1:14" ht="15">
      <c r="A1002" s="46"/>
      <c r="B1002" s="534">
        <f t="shared" si="69"/>
        <v>993</v>
      </c>
      <c r="C1002" s="56" t="s">
        <v>2273</v>
      </c>
      <c r="D1002" s="56" t="s">
        <v>2274</v>
      </c>
      <c r="E1002" s="57" t="s">
        <v>2735</v>
      </c>
      <c r="F1002" s="58"/>
      <c r="G1002" s="59">
        <v>46060</v>
      </c>
      <c r="H1002" s="57" t="s">
        <v>129</v>
      </c>
      <c r="I1002" s="62">
        <f t="shared" si="70"/>
        <v>158.00000000000023</v>
      </c>
      <c r="J1002" s="63">
        <v>1738</v>
      </c>
      <c r="K1002" s="63">
        <f t="shared" si="71"/>
        <v>1738</v>
      </c>
      <c r="L1002" s="62" t="str">
        <f t="shared" si="72"/>
        <v/>
      </c>
      <c r="M1002" s="63"/>
      <c r="N1002" s="46"/>
    </row>
    <row r="1003" spans="1:14" ht="15">
      <c r="A1003" s="46"/>
      <c r="B1003" s="534">
        <f t="shared" si="69"/>
        <v>994</v>
      </c>
      <c r="C1003" s="56" t="s">
        <v>2262</v>
      </c>
      <c r="D1003" s="56" t="s">
        <v>2276</v>
      </c>
      <c r="E1003" s="57" t="s">
        <v>2583</v>
      </c>
      <c r="F1003" s="58"/>
      <c r="G1003" s="59">
        <v>46060</v>
      </c>
      <c r="H1003" s="57" t="s">
        <v>129</v>
      </c>
      <c r="I1003" s="62">
        <f t="shared" si="70"/>
        <v>59.727272727272748</v>
      </c>
      <c r="J1003" s="63">
        <v>657</v>
      </c>
      <c r="K1003" s="63">
        <f t="shared" si="71"/>
        <v>657</v>
      </c>
      <c r="L1003" s="62" t="str">
        <f t="shared" si="72"/>
        <v/>
      </c>
      <c r="M1003" s="63"/>
      <c r="N1003" s="46"/>
    </row>
    <row r="1004" spans="1:14" ht="15">
      <c r="A1004" s="46"/>
      <c r="B1004" s="534">
        <f t="shared" si="69"/>
        <v>995</v>
      </c>
      <c r="C1004" s="56" t="s">
        <v>2262</v>
      </c>
      <c r="D1004" s="56" t="s">
        <v>3370</v>
      </c>
      <c r="E1004" s="57" t="s">
        <v>3371</v>
      </c>
      <c r="F1004" s="58"/>
      <c r="G1004" s="59">
        <v>46060</v>
      </c>
      <c r="H1004" s="57" t="s">
        <v>45</v>
      </c>
      <c r="I1004" s="62">
        <f t="shared" si="70"/>
        <v>10.000000000000014</v>
      </c>
      <c r="J1004" s="63">
        <v>110</v>
      </c>
      <c r="K1004" s="63">
        <f t="shared" si="71"/>
        <v>110</v>
      </c>
      <c r="L1004" s="62" t="str">
        <f t="shared" si="72"/>
        <v/>
      </c>
      <c r="M1004" s="63"/>
      <c r="N1004" s="46"/>
    </row>
    <row r="1005" spans="1:14" ht="15">
      <c r="A1005" s="46"/>
      <c r="B1005" s="534">
        <f t="shared" si="69"/>
        <v>996</v>
      </c>
      <c r="C1005" s="56" t="s">
        <v>2262</v>
      </c>
      <c r="D1005" s="57" t="s">
        <v>2822</v>
      </c>
      <c r="E1005" s="57" t="s">
        <v>2822</v>
      </c>
      <c r="F1005" s="58" t="s">
        <v>2271</v>
      </c>
      <c r="G1005" s="59">
        <v>46060</v>
      </c>
      <c r="H1005" s="57" t="s">
        <v>45</v>
      </c>
      <c r="I1005" s="62">
        <f t="shared" si="70"/>
        <v>20.000000000000028</v>
      </c>
      <c r="J1005" s="63">
        <v>220</v>
      </c>
      <c r="K1005" s="63">
        <f t="shared" si="71"/>
        <v>0</v>
      </c>
      <c r="L1005" s="62" t="str">
        <f t="shared" si="72"/>
        <v/>
      </c>
      <c r="M1005" s="63"/>
      <c r="N1005" s="66" t="s">
        <v>24</v>
      </c>
    </row>
    <row r="1006" spans="1:14" ht="15">
      <c r="A1006" s="46"/>
      <c r="B1006" s="534">
        <f t="shared" si="69"/>
        <v>997</v>
      </c>
      <c r="C1006" s="56" t="s">
        <v>2262</v>
      </c>
      <c r="D1006" s="56" t="s">
        <v>2388</v>
      </c>
      <c r="E1006" s="57" t="s">
        <v>3372</v>
      </c>
      <c r="F1006" s="58"/>
      <c r="G1006" s="59">
        <v>46060</v>
      </c>
      <c r="H1006" s="57" t="s">
        <v>45</v>
      </c>
      <c r="I1006" s="62">
        <f t="shared" si="70"/>
        <v>10.000000000000014</v>
      </c>
      <c r="J1006" s="63">
        <v>110</v>
      </c>
      <c r="K1006" s="63">
        <f t="shared" si="71"/>
        <v>110</v>
      </c>
      <c r="L1006" s="62" t="str">
        <f t="shared" si="72"/>
        <v/>
      </c>
      <c r="M1006" s="63"/>
      <c r="N1006" s="46"/>
    </row>
    <row r="1007" spans="1:14" ht="15">
      <c r="A1007" s="46"/>
      <c r="B1007" s="534">
        <f t="shared" si="69"/>
        <v>998</v>
      </c>
      <c r="C1007" s="56" t="s">
        <v>2262</v>
      </c>
      <c r="D1007" s="56" t="s">
        <v>2388</v>
      </c>
      <c r="E1007" s="57" t="s">
        <v>3373</v>
      </c>
      <c r="F1007" s="58"/>
      <c r="G1007" s="59">
        <v>46060</v>
      </c>
      <c r="H1007" s="57" t="s">
        <v>45</v>
      </c>
      <c r="I1007" s="62">
        <f t="shared" si="70"/>
        <v>10.000000000000014</v>
      </c>
      <c r="J1007" s="63">
        <v>110</v>
      </c>
      <c r="K1007" s="63">
        <f t="shared" si="71"/>
        <v>110</v>
      </c>
      <c r="L1007" s="62" t="str">
        <f t="shared" si="72"/>
        <v/>
      </c>
      <c r="M1007" s="63"/>
      <c r="N1007" s="46"/>
    </row>
    <row r="1008" spans="1:14" ht="15">
      <c r="A1008" s="46"/>
      <c r="B1008" s="534">
        <f t="shared" si="69"/>
        <v>999</v>
      </c>
      <c r="C1008" s="56" t="s">
        <v>2262</v>
      </c>
      <c r="D1008" s="56" t="s">
        <v>3002</v>
      </c>
      <c r="E1008" s="57" t="s">
        <v>3374</v>
      </c>
      <c r="F1008" s="58"/>
      <c r="G1008" s="59">
        <v>46061</v>
      </c>
      <c r="H1008" s="57" t="s">
        <v>2307</v>
      </c>
      <c r="I1008" s="62">
        <f t="shared" si="70"/>
        <v>90.81818181818187</v>
      </c>
      <c r="J1008" s="63">
        <v>999</v>
      </c>
      <c r="K1008" s="63">
        <f t="shared" si="71"/>
        <v>999</v>
      </c>
      <c r="L1008" s="62" t="str">
        <f t="shared" si="72"/>
        <v/>
      </c>
      <c r="M1008" s="63"/>
      <c r="N1008" s="46"/>
    </row>
    <row r="1009" spans="1:14" ht="15">
      <c r="A1009" s="46"/>
      <c r="B1009" s="534">
        <f t="shared" si="69"/>
        <v>1000</v>
      </c>
      <c r="C1009" s="56" t="s">
        <v>2262</v>
      </c>
      <c r="D1009" s="56" t="s">
        <v>3375</v>
      </c>
      <c r="E1009" s="57" t="s">
        <v>3366</v>
      </c>
      <c r="F1009" s="58" t="s">
        <v>2570</v>
      </c>
      <c r="G1009" s="59">
        <v>46074</v>
      </c>
      <c r="H1009" s="57" t="s">
        <v>129</v>
      </c>
      <c r="I1009" s="62">
        <f t="shared" si="70"/>
        <v>163.63636363636374</v>
      </c>
      <c r="J1009" s="63">
        <v>1800</v>
      </c>
      <c r="K1009" s="63">
        <f t="shared" si="71"/>
        <v>1800</v>
      </c>
      <c r="L1009" s="62" t="str">
        <f t="shared" si="72"/>
        <v/>
      </c>
      <c r="M1009" s="63"/>
      <c r="N1009" s="46"/>
    </row>
    <row r="1010" spans="1:14" ht="15">
      <c r="A1010" s="46"/>
      <c r="B1010" s="534">
        <f t="shared" si="69"/>
        <v>1001</v>
      </c>
      <c r="C1010" s="56" t="s">
        <v>2262</v>
      </c>
      <c r="D1010" s="56" t="s">
        <v>3376</v>
      </c>
      <c r="E1010" s="57" t="s">
        <v>3377</v>
      </c>
      <c r="F1010" s="58"/>
      <c r="G1010" s="59">
        <v>46074</v>
      </c>
      <c r="H1010" s="57" t="s">
        <v>129</v>
      </c>
      <c r="I1010" s="62">
        <f t="shared" si="70"/>
        <v>118</v>
      </c>
      <c r="J1010" s="63">
        <v>1298</v>
      </c>
      <c r="K1010" s="63">
        <f t="shared" si="71"/>
        <v>0</v>
      </c>
      <c r="L1010" s="62" t="str">
        <f t="shared" si="72"/>
        <v/>
      </c>
      <c r="M1010" s="63"/>
      <c r="N1010" s="66" t="s">
        <v>24</v>
      </c>
    </row>
    <row r="1011" spans="1:14" ht="15">
      <c r="A1011" s="46"/>
      <c r="B1011" s="534">
        <f t="shared" si="69"/>
        <v>1002</v>
      </c>
      <c r="C1011" s="56" t="s">
        <v>2442</v>
      </c>
      <c r="D1011" s="56" t="s">
        <v>2534</v>
      </c>
      <c r="E1011" s="57" t="s">
        <v>2535</v>
      </c>
      <c r="F1011" s="58" t="s">
        <v>3378</v>
      </c>
      <c r="G1011" s="59">
        <v>46076</v>
      </c>
      <c r="H1011" s="57" t="s">
        <v>2941</v>
      </c>
      <c r="I1011" s="62">
        <f t="shared" si="70"/>
        <v>260.09090909090946</v>
      </c>
      <c r="J1011" s="63">
        <v>2861</v>
      </c>
      <c r="K1011" s="63">
        <f t="shared" si="71"/>
        <v>0</v>
      </c>
      <c r="L1011" s="62" t="str">
        <f t="shared" si="72"/>
        <v/>
      </c>
      <c r="M1011" s="63"/>
      <c r="N1011" s="66" t="s">
        <v>24</v>
      </c>
    </row>
    <row r="1012" spans="1:14" ht="15">
      <c r="A1012" s="46"/>
      <c r="B1012" s="534">
        <f t="shared" si="69"/>
        <v>1003</v>
      </c>
      <c r="C1012" s="56" t="s">
        <v>2268</v>
      </c>
      <c r="D1012" s="56" t="s">
        <v>2269</v>
      </c>
      <c r="E1012" s="57" t="s">
        <v>2888</v>
      </c>
      <c r="F1012" s="58" t="s">
        <v>2299</v>
      </c>
      <c r="G1012" s="59">
        <v>46076</v>
      </c>
      <c r="H1012" s="57" t="s">
        <v>135</v>
      </c>
      <c r="I1012" s="62">
        <f t="shared" si="70"/>
        <v>115.4545454545455</v>
      </c>
      <c r="J1012" s="63">
        <v>1270</v>
      </c>
      <c r="K1012" s="63">
        <f t="shared" si="71"/>
        <v>1270</v>
      </c>
      <c r="L1012" s="62" t="str">
        <f t="shared" si="72"/>
        <v/>
      </c>
      <c r="M1012" s="63"/>
      <c r="N1012" s="46"/>
    </row>
    <row r="1013" spans="1:14" ht="15">
      <c r="A1013" s="46"/>
      <c r="B1013" s="534">
        <f t="shared" si="69"/>
        <v>1004</v>
      </c>
      <c r="C1013" s="56" t="s">
        <v>2262</v>
      </c>
      <c r="D1013" s="56" t="s">
        <v>2283</v>
      </c>
      <c r="E1013" s="57" t="s">
        <v>3379</v>
      </c>
      <c r="F1013" s="58" t="s">
        <v>2271</v>
      </c>
      <c r="G1013" s="59">
        <v>46076</v>
      </c>
      <c r="H1013" s="57" t="s">
        <v>45</v>
      </c>
      <c r="I1013" s="62">
        <f t="shared" si="70"/>
        <v>40.000000000000057</v>
      </c>
      <c r="J1013" s="63">
        <v>440</v>
      </c>
      <c r="K1013" s="63">
        <f t="shared" si="71"/>
        <v>440</v>
      </c>
      <c r="L1013" s="62" t="str">
        <f t="shared" si="72"/>
        <v/>
      </c>
      <c r="M1013" s="63"/>
      <c r="N1013" s="46"/>
    </row>
    <row r="1014" spans="1:14" ht="15">
      <c r="A1014" s="46"/>
      <c r="B1014" s="534">
        <f t="shared" si="69"/>
        <v>1005</v>
      </c>
      <c r="C1014" s="56" t="s">
        <v>2281</v>
      </c>
      <c r="D1014" s="56" t="s">
        <v>2282</v>
      </c>
      <c r="E1014" s="57" t="s">
        <v>158</v>
      </c>
      <c r="F1014" s="64"/>
      <c r="G1014" s="59">
        <v>46079</v>
      </c>
      <c r="H1014" s="57" t="s">
        <v>2808</v>
      </c>
      <c r="I1014" s="62">
        <f t="shared" si="70"/>
        <v>407.27272727272748</v>
      </c>
      <c r="J1014" s="63">
        <v>4480</v>
      </c>
      <c r="K1014" s="63">
        <f t="shared" si="71"/>
        <v>4480</v>
      </c>
      <c r="L1014" s="62" t="str">
        <f t="shared" si="72"/>
        <v/>
      </c>
      <c r="M1014" s="63"/>
      <c r="N1014" s="46"/>
    </row>
    <row r="1015" spans="1:14" ht="15">
      <c r="A1015" s="46"/>
      <c r="B1015" s="534">
        <f t="shared" si="69"/>
        <v>1006</v>
      </c>
      <c r="C1015" s="56" t="s">
        <v>2342</v>
      </c>
      <c r="D1015" s="56" t="s">
        <v>2693</v>
      </c>
      <c r="E1015" s="57" t="s">
        <v>2694</v>
      </c>
      <c r="F1015" s="64">
        <v>198</v>
      </c>
      <c r="G1015" s="59">
        <v>46081</v>
      </c>
      <c r="H1015" s="57" t="s">
        <v>3016</v>
      </c>
      <c r="I1015" s="62">
        <f t="shared" si="70"/>
        <v>19.090909090909093</v>
      </c>
      <c r="J1015" s="63">
        <f>IF(F1015&lt;=150,170,IF(F1015&lt;=200,210,IF(F1015&lt;=250,240,290)))</f>
        <v>210</v>
      </c>
      <c r="K1015" s="63">
        <f t="shared" si="71"/>
        <v>210</v>
      </c>
      <c r="L1015" s="62" t="str">
        <f t="shared" si="72"/>
        <v/>
      </c>
      <c r="M1015" s="63"/>
      <c r="N1015" s="46"/>
    </row>
    <row r="1016" spans="1:14" ht="15">
      <c r="A1016" s="46"/>
      <c r="B1016" s="534">
        <f t="shared" si="69"/>
        <v>1007</v>
      </c>
      <c r="C1016" s="56" t="s">
        <v>2342</v>
      </c>
      <c r="D1016" s="56" t="s">
        <v>2693</v>
      </c>
      <c r="E1016" s="57" t="s">
        <v>2694</v>
      </c>
      <c r="F1016" s="64">
        <v>195</v>
      </c>
      <c r="G1016" s="59">
        <v>46081</v>
      </c>
      <c r="H1016" s="57" t="s">
        <v>3016</v>
      </c>
      <c r="I1016" s="62">
        <f t="shared" si="70"/>
        <v>19.090909090909093</v>
      </c>
      <c r="J1016" s="63">
        <f>IF(F1016&lt;=150,170,IF(F1016&lt;=200,210,IF(F1016&lt;=250,240,290)))</f>
        <v>210</v>
      </c>
      <c r="K1016" s="63">
        <f t="shared" si="71"/>
        <v>210</v>
      </c>
      <c r="L1016" s="62" t="str">
        <f t="shared" si="72"/>
        <v/>
      </c>
      <c r="M1016" s="63"/>
      <c r="N1016" s="46"/>
    </row>
    <row r="1017" spans="1:14" ht="15">
      <c r="A1017" s="46"/>
      <c r="B1017" s="534">
        <f t="shared" si="69"/>
        <v>1008</v>
      </c>
      <c r="C1017" s="56" t="s">
        <v>2342</v>
      </c>
      <c r="D1017" s="56" t="s">
        <v>2693</v>
      </c>
      <c r="E1017" s="57" t="s">
        <v>2694</v>
      </c>
      <c r="F1017" s="64">
        <v>190</v>
      </c>
      <c r="G1017" s="59">
        <v>46081</v>
      </c>
      <c r="H1017" s="57" t="s">
        <v>3016</v>
      </c>
      <c r="I1017" s="62">
        <f t="shared" si="70"/>
        <v>19.090909090909093</v>
      </c>
      <c r="J1017" s="63">
        <f>IF(F1017&lt;=150,170,IF(F1017&lt;=200,210,IF(F1017&lt;=250,240,290)))</f>
        <v>210</v>
      </c>
      <c r="K1017" s="63">
        <f t="shared" si="71"/>
        <v>210</v>
      </c>
      <c r="L1017" s="62" t="str">
        <f t="shared" si="72"/>
        <v/>
      </c>
      <c r="M1017" s="63"/>
      <c r="N1017" s="46"/>
    </row>
    <row r="1018" spans="1:14" ht="15">
      <c r="A1018" s="46"/>
      <c r="B1018" s="534">
        <f t="shared" si="69"/>
        <v>1009</v>
      </c>
      <c r="C1018" s="56" t="s">
        <v>2342</v>
      </c>
      <c r="D1018" s="56" t="s">
        <v>2693</v>
      </c>
      <c r="E1018" s="57" t="s">
        <v>2694</v>
      </c>
      <c r="F1018" s="64">
        <v>211</v>
      </c>
      <c r="G1018" s="59">
        <v>46081</v>
      </c>
      <c r="H1018" s="57" t="s">
        <v>3016</v>
      </c>
      <c r="I1018" s="62">
        <f t="shared" si="70"/>
        <v>21.818181818181841</v>
      </c>
      <c r="J1018" s="63">
        <f>IF(F1018&lt;=150,170,IF(F1018&lt;=200,210,IF(F1018&lt;=250,240,290)))</f>
        <v>240</v>
      </c>
      <c r="K1018" s="63">
        <f t="shared" si="71"/>
        <v>240</v>
      </c>
      <c r="L1018" s="62" t="str">
        <f t="shared" si="72"/>
        <v/>
      </c>
      <c r="M1018" s="63"/>
      <c r="N1018" s="46"/>
    </row>
    <row r="1019" spans="1:14" ht="15">
      <c r="A1019" s="46"/>
      <c r="B1019" s="534">
        <f t="shared" si="69"/>
        <v>1010</v>
      </c>
      <c r="C1019" s="56" t="s">
        <v>2342</v>
      </c>
      <c r="D1019" s="56" t="s">
        <v>2693</v>
      </c>
      <c r="E1019" s="57" t="s">
        <v>2694</v>
      </c>
      <c r="F1019" s="64">
        <v>217</v>
      </c>
      <c r="G1019" s="59">
        <v>46081</v>
      </c>
      <c r="H1019" s="57" t="s">
        <v>3016</v>
      </c>
      <c r="I1019" s="62">
        <f t="shared" si="70"/>
        <v>21.818181818181841</v>
      </c>
      <c r="J1019" s="63">
        <f>IF(F1019&lt;=150,170,IF(F1019&lt;=200,210,IF(F1019&lt;=250,240,290)))</f>
        <v>240</v>
      </c>
      <c r="K1019" s="63">
        <f t="shared" si="71"/>
        <v>240</v>
      </c>
      <c r="L1019" s="62" t="str">
        <f t="shared" si="72"/>
        <v/>
      </c>
      <c r="M1019" s="63"/>
      <c r="N1019" s="46"/>
    </row>
    <row r="1020" spans="1:14" ht="15">
      <c r="A1020" s="46"/>
      <c r="B1020" s="534">
        <f t="shared" si="69"/>
        <v>1011</v>
      </c>
      <c r="C1020" s="69" t="s">
        <v>2670</v>
      </c>
      <c r="D1020" s="69" t="s">
        <v>2282</v>
      </c>
      <c r="E1020" s="70" t="str">
        <f>VLOOKUP(F1020,購入者リスト!B:F,4,FALSE)</f>
        <v>紫紺の矢 ちょこん ももりん ミックスベリア 抜き苗 7種セット 多肉植物</v>
      </c>
      <c r="F1020" s="69">
        <v>85</v>
      </c>
      <c r="G1020" s="71" t="str">
        <f>VLOOKUP(F1020,購入者リスト!B:M,12,FALSE)</f>
        <v>26/03/03</v>
      </c>
      <c r="H1020" s="70" t="s">
        <v>27</v>
      </c>
      <c r="I1020" s="73" t="str">
        <f t="shared" si="70"/>
        <v/>
      </c>
      <c r="J1020" s="74"/>
      <c r="K1020" s="74">
        <f t="shared" si="71"/>
        <v>0</v>
      </c>
      <c r="L1020" s="73">
        <f t="shared" si="72"/>
        <v>218.18181818181847</v>
      </c>
      <c r="M1020" s="74">
        <f>VLOOKUP(F1020,購入者リスト!B:F,5,FALSE)</f>
        <v>2400</v>
      </c>
      <c r="N1020" s="46"/>
    </row>
    <row r="1021" spans="1:14" ht="15">
      <c r="A1021" s="46"/>
      <c r="B1021" s="534">
        <f t="shared" si="69"/>
        <v>1012</v>
      </c>
      <c r="C1021" s="69" t="s">
        <v>2671</v>
      </c>
      <c r="D1021" s="69" t="s">
        <v>2672</v>
      </c>
      <c r="E1021" s="70" t="s">
        <v>2673</v>
      </c>
      <c r="F1021" s="72"/>
      <c r="G1021" s="71" t="str">
        <f>G1020</f>
        <v>26/03/03</v>
      </c>
      <c r="H1021" s="70" t="s">
        <v>27</v>
      </c>
      <c r="I1021" s="73">
        <f t="shared" si="70"/>
        <v>21.818181818181841</v>
      </c>
      <c r="J1021" s="74">
        <f>M1020*0.1</f>
        <v>240</v>
      </c>
      <c r="K1021" s="74">
        <f t="shared" si="71"/>
        <v>240</v>
      </c>
      <c r="L1021" s="73" t="str">
        <f t="shared" si="72"/>
        <v/>
      </c>
      <c r="M1021" s="74"/>
      <c r="N1021" s="46"/>
    </row>
    <row r="1022" spans="1:14" ht="15">
      <c r="A1022" s="46"/>
      <c r="B1022" s="534">
        <f t="shared" si="69"/>
        <v>1013</v>
      </c>
      <c r="C1022" s="69" t="s">
        <v>2670</v>
      </c>
      <c r="D1022" s="69" t="s">
        <v>2282</v>
      </c>
      <c r="E1022" s="70" t="str">
        <f>VLOOKUP(F1022,購入者リスト!B:F,4,FALSE)</f>
        <v>はじまりの花 ちょこん ももりん ミックスベリア 抜き苗 7種セット 多肉植物</v>
      </c>
      <c r="F1022" s="69">
        <v>86</v>
      </c>
      <c r="G1022" s="71" t="str">
        <f>VLOOKUP(F1022,購入者リスト!B:M,12,FALSE)</f>
        <v>26/03/03</v>
      </c>
      <c r="H1022" s="70" t="s">
        <v>27</v>
      </c>
      <c r="I1022" s="73" t="str">
        <f t="shared" si="70"/>
        <v/>
      </c>
      <c r="J1022" s="74"/>
      <c r="K1022" s="74">
        <f t="shared" si="71"/>
        <v>0</v>
      </c>
      <c r="L1022" s="73">
        <f t="shared" si="72"/>
        <v>218.18181818181847</v>
      </c>
      <c r="M1022" s="74">
        <f>VLOOKUP(F1022,購入者リスト!B:F,5,FALSE)</f>
        <v>2400</v>
      </c>
      <c r="N1022" s="46"/>
    </row>
    <row r="1023" spans="1:14" ht="15">
      <c r="A1023" s="46"/>
      <c r="B1023" s="534">
        <f t="shared" si="69"/>
        <v>1014</v>
      </c>
      <c r="C1023" s="69" t="s">
        <v>2671</v>
      </c>
      <c r="D1023" s="69" t="s">
        <v>2672</v>
      </c>
      <c r="E1023" s="70" t="s">
        <v>2673</v>
      </c>
      <c r="F1023" s="72"/>
      <c r="G1023" s="71" t="str">
        <f>G1022</f>
        <v>26/03/03</v>
      </c>
      <c r="H1023" s="70" t="s">
        <v>27</v>
      </c>
      <c r="I1023" s="73">
        <f t="shared" si="70"/>
        <v>21.818181818181841</v>
      </c>
      <c r="J1023" s="74">
        <f>M1022*0.1</f>
        <v>240</v>
      </c>
      <c r="K1023" s="74">
        <f t="shared" si="71"/>
        <v>240</v>
      </c>
      <c r="L1023" s="73" t="str">
        <f t="shared" si="72"/>
        <v/>
      </c>
      <c r="M1023" s="74"/>
      <c r="N1023" s="46"/>
    </row>
    <row r="1024" spans="1:14" ht="15">
      <c r="A1024" s="46"/>
      <c r="B1024" s="534">
        <f t="shared" si="69"/>
        <v>1015</v>
      </c>
      <c r="C1024" s="69" t="s">
        <v>2670</v>
      </c>
      <c r="D1024" s="69" t="s">
        <v>2282</v>
      </c>
      <c r="E1024" s="70" t="str">
        <f>VLOOKUP(F1024,購入者リスト!B:F,4,FALSE)</f>
        <v>ブルーバニラ ちょこん ももりん ミックスベリア 抜き苗 7種セット 多肉植物</v>
      </c>
      <c r="F1024" s="69">
        <v>88</v>
      </c>
      <c r="G1024" s="71" t="str">
        <f>VLOOKUP(F1024,購入者リスト!B:M,12,FALSE)</f>
        <v>26/03/03</v>
      </c>
      <c r="H1024" s="70" t="s">
        <v>27</v>
      </c>
      <c r="I1024" s="73" t="str">
        <f t="shared" si="70"/>
        <v/>
      </c>
      <c r="J1024" s="74"/>
      <c r="K1024" s="74">
        <f t="shared" si="71"/>
        <v>0</v>
      </c>
      <c r="L1024" s="73">
        <f t="shared" si="72"/>
        <v>218.18181818181847</v>
      </c>
      <c r="M1024" s="74">
        <f>VLOOKUP(F1024,購入者リスト!B:F,5,FALSE)</f>
        <v>2400</v>
      </c>
      <c r="N1024" s="46"/>
    </row>
    <row r="1025" spans="1:14" ht="15">
      <c r="A1025" s="46"/>
      <c r="B1025" s="534">
        <f t="shared" si="69"/>
        <v>1016</v>
      </c>
      <c r="C1025" s="69" t="s">
        <v>2671</v>
      </c>
      <c r="D1025" s="69" t="s">
        <v>2672</v>
      </c>
      <c r="E1025" s="70" t="s">
        <v>2673</v>
      </c>
      <c r="F1025" s="72"/>
      <c r="G1025" s="71" t="str">
        <f>G1024</f>
        <v>26/03/03</v>
      </c>
      <c r="H1025" s="70" t="s">
        <v>27</v>
      </c>
      <c r="I1025" s="73">
        <f t="shared" si="70"/>
        <v>21.818181818181841</v>
      </c>
      <c r="J1025" s="74">
        <f>M1024*0.1</f>
        <v>240</v>
      </c>
      <c r="K1025" s="74">
        <f t="shared" si="71"/>
        <v>240</v>
      </c>
      <c r="L1025" s="73" t="str">
        <f t="shared" si="72"/>
        <v/>
      </c>
      <c r="M1025" s="74"/>
      <c r="N1025" s="46"/>
    </row>
    <row r="1026" spans="1:14" ht="15">
      <c r="A1026" s="46"/>
      <c r="B1026" s="534">
        <f t="shared" si="69"/>
        <v>1017</v>
      </c>
      <c r="C1026" s="69" t="s">
        <v>2670</v>
      </c>
      <c r="D1026" s="69" t="s">
        <v>2282</v>
      </c>
      <c r="E1026" s="70" t="str">
        <f>VLOOKUP(F1026,購入者リスト!B:F,4,FALSE)</f>
        <v>スノーミルフィーユ ちょこん ももりん ミックスベリア 抜き苗 7種セット 多肉</v>
      </c>
      <c r="F1026" s="69">
        <v>87</v>
      </c>
      <c r="G1026" s="71" t="str">
        <f>VLOOKUP(F1026,購入者リスト!B:M,12,FALSE)</f>
        <v>26/03/04</v>
      </c>
      <c r="H1026" s="70" t="s">
        <v>27</v>
      </c>
      <c r="I1026" s="73" t="str">
        <f t="shared" si="70"/>
        <v/>
      </c>
      <c r="J1026" s="74"/>
      <c r="K1026" s="74">
        <f t="shared" si="71"/>
        <v>0</v>
      </c>
      <c r="L1026" s="73">
        <f t="shared" si="72"/>
        <v>218.18181818181847</v>
      </c>
      <c r="M1026" s="74">
        <f>VLOOKUP(F1026,購入者リスト!B:F,5,FALSE)</f>
        <v>2400</v>
      </c>
      <c r="N1026" s="46"/>
    </row>
    <row r="1027" spans="1:14" ht="15">
      <c r="A1027" s="46"/>
      <c r="B1027" s="534">
        <f t="shared" si="69"/>
        <v>1018</v>
      </c>
      <c r="C1027" s="69" t="s">
        <v>2671</v>
      </c>
      <c r="D1027" s="69" t="s">
        <v>2672</v>
      </c>
      <c r="E1027" s="70" t="s">
        <v>2673</v>
      </c>
      <c r="F1027" s="72"/>
      <c r="G1027" s="71" t="str">
        <f>G1026</f>
        <v>26/03/04</v>
      </c>
      <c r="H1027" s="70" t="s">
        <v>27</v>
      </c>
      <c r="I1027" s="73">
        <f t="shared" si="70"/>
        <v>21.818181818181841</v>
      </c>
      <c r="J1027" s="74">
        <f>M1026*0.1</f>
        <v>240</v>
      </c>
      <c r="K1027" s="74">
        <f t="shared" si="71"/>
        <v>240</v>
      </c>
      <c r="L1027" s="73" t="str">
        <f t="shared" si="72"/>
        <v/>
      </c>
      <c r="M1027" s="74"/>
      <c r="N1027" s="46"/>
    </row>
    <row r="1028" spans="1:14" ht="15">
      <c r="A1028" s="46"/>
      <c r="B1028" s="534">
        <f t="shared" si="69"/>
        <v>1019</v>
      </c>
      <c r="C1028" s="69" t="s">
        <v>2670</v>
      </c>
      <c r="D1028" s="69" t="s">
        <v>2282</v>
      </c>
      <c r="E1028" s="70" t="str">
        <f>VLOOKUP(F1028,購入者リスト!B:F,4,FALSE)</f>
        <v>芍薬牡丹 ちょこん ももりん ミックスベリア 抜き苗 7種セット 多肉植物</v>
      </c>
      <c r="F1028" s="69">
        <v>89</v>
      </c>
      <c r="G1028" s="71" t="str">
        <f>VLOOKUP(F1028,購入者リスト!B:M,12,FALSE)</f>
        <v>26/03/04</v>
      </c>
      <c r="H1028" s="70" t="s">
        <v>27</v>
      </c>
      <c r="I1028" s="73" t="str">
        <f t="shared" si="70"/>
        <v/>
      </c>
      <c r="J1028" s="74"/>
      <c r="K1028" s="74">
        <f t="shared" si="71"/>
        <v>0</v>
      </c>
      <c r="L1028" s="73">
        <f t="shared" si="72"/>
        <v>218.18181818181847</v>
      </c>
      <c r="M1028" s="74">
        <f>VLOOKUP(F1028,購入者リスト!B:F,5,FALSE)</f>
        <v>2400</v>
      </c>
      <c r="N1028" s="46"/>
    </row>
    <row r="1029" spans="1:14" ht="15">
      <c r="A1029" s="46"/>
      <c r="B1029" s="534">
        <f t="shared" si="69"/>
        <v>1020</v>
      </c>
      <c r="C1029" s="69" t="s">
        <v>2671</v>
      </c>
      <c r="D1029" s="69" t="s">
        <v>2672</v>
      </c>
      <c r="E1029" s="70" t="s">
        <v>2673</v>
      </c>
      <c r="F1029" s="72"/>
      <c r="G1029" s="71" t="str">
        <f>G1028</f>
        <v>26/03/04</v>
      </c>
      <c r="H1029" s="70" t="s">
        <v>27</v>
      </c>
      <c r="I1029" s="73">
        <f t="shared" si="70"/>
        <v>21.818181818181841</v>
      </c>
      <c r="J1029" s="74">
        <f>M1028*0.1</f>
        <v>240</v>
      </c>
      <c r="K1029" s="74">
        <f t="shared" si="71"/>
        <v>240</v>
      </c>
      <c r="L1029" s="73" t="str">
        <f t="shared" si="72"/>
        <v/>
      </c>
      <c r="M1029" s="74"/>
      <c r="N1029" s="46"/>
    </row>
    <row r="1030" spans="1:14" ht="15">
      <c r="A1030" s="46"/>
      <c r="B1030" s="534">
        <f t="shared" si="69"/>
        <v>1021</v>
      </c>
      <c r="C1030" s="56" t="s">
        <v>2262</v>
      </c>
      <c r="D1030" s="56" t="s">
        <v>2276</v>
      </c>
      <c r="E1030" s="57" t="s">
        <v>2447</v>
      </c>
      <c r="F1030" s="58" t="s">
        <v>2304</v>
      </c>
      <c r="G1030" s="59">
        <v>46089</v>
      </c>
      <c r="H1030" s="57" t="s">
        <v>598</v>
      </c>
      <c r="I1030" s="62">
        <f t="shared" si="70"/>
        <v>163.09090909090924</v>
      </c>
      <c r="J1030" s="63">
        <v>1794</v>
      </c>
      <c r="K1030" s="63">
        <f t="shared" si="71"/>
        <v>1794</v>
      </c>
      <c r="L1030" s="62" t="str">
        <f t="shared" si="72"/>
        <v/>
      </c>
      <c r="M1030" s="63"/>
      <c r="N1030" s="46"/>
    </row>
    <row r="1031" spans="1:14" ht="15">
      <c r="A1031" s="46"/>
      <c r="B1031" s="534">
        <f t="shared" si="69"/>
        <v>1022</v>
      </c>
      <c r="C1031" s="56" t="s">
        <v>2262</v>
      </c>
      <c r="D1031" s="56" t="s">
        <v>3375</v>
      </c>
      <c r="E1031" s="57" t="s">
        <v>3380</v>
      </c>
      <c r="F1031" s="58" t="s">
        <v>2304</v>
      </c>
      <c r="G1031" s="59">
        <v>46089</v>
      </c>
      <c r="H1031" s="57" t="s">
        <v>598</v>
      </c>
      <c r="I1031" s="62">
        <f t="shared" si="70"/>
        <v>26.727272727272748</v>
      </c>
      <c r="J1031" s="63">
        <v>294</v>
      </c>
      <c r="K1031" s="63">
        <f t="shared" si="71"/>
        <v>294</v>
      </c>
      <c r="L1031" s="62" t="str">
        <f t="shared" si="72"/>
        <v/>
      </c>
      <c r="M1031" s="63"/>
      <c r="N1031" s="46"/>
    </row>
    <row r="1032" spans="1:14" ht="15">
      <c r="A1032" s="46"/>
      <c r="B1032" s="534">
        <f t="shared" si="69"/>
        <v>1023</v>
      </c>
      <c r="C1032" s="56" t="s">
        <v>2262</v>
      </c>
      <c r="D1032" s="56" t="s">
        <v>2711</v>
      </c>
      <c r="E1032" s="57" t="s">
        <v>2783</v>
      </c>
      <c r="F1032" s="58" t="s">
        <v>2271</v>
      </c>
      <c r="G1032" s="59">
        <v>46089</v>
      </c>
      <c r="H1032" s="57" t="s">
        <v>598</v>
      </c>
      <c r="I1032" s="62">
        <f t="shared" si="70"/>
        <v>90.727272727272748</v>
      </c>
      <c r="J1032" s="63">
        <v>998</v>
      </c>
      <c r="K1032" s="63">
        <f t="shared" si="71"/>
        <v>998</v>
      </c>
      <c r="L1032" s="62" t="str">
        <f t="shared" si="72"/>
        <v/>
      </c>
      <c r="M1032" s="63"/>
      <c r="N1032" s="46"/>
    </row>
    <row r="1033" spans="1:14" ht="15">
      <c r="A1033" s="46"/>
      <c r="B1033" s="534">
        <f t="shared" si="69"/>
        <v>1024</v>
      </c>
      <c r="C1033" s="56" t="s">
        <v>2273</v>
      </c>
      <c r="D1033" s="56" t="s">
        <v>2274</v>
      </c>
      <c r="E1033" s="57" t="s">
        <v>2904</v>
      </c>
      <c r="F1033" s="58"/>
      <c r="G1033" s="59">
        <v>46089</v>
      </c>
      <c r="H1033" s="57" t="s">
        <v>598</v>
      </c>
      <c r="I1033" s="62">
        <f t="shared" si="70"/>
        <v>90.727272727272748</v>
      </c>
      <c r="J1033" s="63">
        <v>998</v>
      </c>
      <c r="K1033" s="63">
        <f t="shared" si="71"/>
        <v>998</v>
      </c>
      <c r="L1033" s="62" t="str">
        <f t="shared" si="72"/>
        <v/>
      </c>
      <c r="M1033" s="63"/>
      <c r="N1033" s="46"/>
    </row>
    <row r="1034" spans="1:14" ht="15">
      <c r="A1034" s="46"/>
      <c r="B1034" s="534">
        <f t="shared" si="69"/>
        <v>1025</v>
      </c>
      <c r="C1034" s="56" t="s">
        <v>2262</v>
      </c>
      <c r="D1034" s="56" t="s">
        <v>2869</v>
      </c>
      <c r="E1034" s="57" t="s">
        <v>3381</v>
      </c>
      <c r="F1034" s="58"/>
      <c r="G1034" s="59">
        <v>46089</v>
      </c>
      <c r="H1034" s="57" t="s">
        <v>598</v>
      </c>
      <c r="I1034" s="62">
        <f t="shared" si="70"/>
        <v>31.636363636363683</v>
      </c>
      <c r="J1034" s="63">
        <v>348</v>
      </c>
      <c r="K1034" s="63">
        <f t="shared" si="71"/>
        <v>348</v>
      </c>
      <c r="L1034" s="62" t="str">
        <f t="shared" si="72"/>
        <v/>
      </c>
      <c r="M1034" s="63"/>
      <c r="N1034" s="46"/>
    </row>
    <row r="1035" spans="1:14" ht="15">
      <c r="A1035" s="46"/>
      <c r="B1035" s="534">
        <f t="shared" si="69"/>
        <v>1026</v>
      </c>
      <c r="C1035" s="56" t="s">
        <v>2281</v>
      </c>
      <c r="D1035" s="56" t="s">
        <v>2282</v>
      </c>
      <c r="E1035" s="57" t="s">
        <v>3382</v>
      </c>
      <c r="F1035" s="64" t="s">
        <v>2271</v>
      </c>
      <c r="G1035" s="59">
        <v>46089</v>
      </c>
      <c r="H1035" s="57" t="s">
        <v>598</v>
      </c>
      <c r="I1035" s="62">
        <f t="shared" si="70"/>
        <v>54.181818181818244</v>
      </c>
      <c r="J1035" s="63">
        <v>596</v>
      </c>
      <c r="K1035" s="63">
        <f t="shared" si="71"/>
        <v>596</v>
      </c>
      <c r="L1035" s="62" t="str">
        <f t="shared" si="72"/>
        <v/>
      </c>
      <c r="M1035" s="63"/>
      <c r="N1035" s="46"/>
    </row>
    <row r="1036" spans="1:14" ht="15">
      <c r="A1036" s="46"/>
      <c r="B1036" s="534">
        <f t="shared" si="69"/>
        <v>1027</v>
      </c>
      <c r="C1036" s="56" t="s">
        <v>2262</v>
      </c>
      <c r="D1036" s="56" t="s">
        <v>2373</v>
      </c>
      <c r="E1036" s="57" t="s">
        <v>3383</v>
      </c>
      <c r="F1036" s="58"/>
      <c r="G1036" s="59">
        <v>46089</v>
      </c>
      <c r="H1036" s="57" t="s">
        <v>27</v>
      </c>
      <c r="I1036" s="62">
        <f t="shared" si="70"/>
        <v>45.363636363636374</v>
      </c>
      <c r="J1036" s="63">
        <v>499</v>
      </c>
      <c r="K1036" s="63">
        <f t="shared" si="71"/>
        <v>499</v>
      </c>
      <c r="L1036" s="62" t="str">
        <f t="shared" si="72"/>
        <v/>
      </c>
      <c r="M1036" s="63"/>
      <c r="N1036" s="46"/>
    </row>
    <row r="1037" spans="1:14" ht="15">
      <c r="A1037" s="46"/>
      <c r="B1037" s="534">
        <f t="shared" si="69"/>
        <v>1028</v>
      </c>
      <c r="C1037" s="56" t="s">
        <v>2262</v>
      </c>
      <c r="D1037" s="56" t="s">
        <v>3390</v>
      </c>
      <c r="E1037" s="57" t="s">
        <v>3391</v>
      </c>
      <c r="F1037" s="58" t="s">
        <v>2271</v>
      </c>
      <c r="G1037" s="59">
        <v>46095</v>
      </c>
      <c r="H1037" s="57" t="s">
        <v>3389</v>
      </c>
      <c r="I1037" s="62">
        <f t="shared" si="70"/>
        <v>20.000000000000028</v>
      </c>
      <c r="J1037" s="63">
        <v>220</v>
      </c>
      <c r="K1037" s="63">
        <f t="shared" si="71"/>
        <v>220</v>
      </c>
      <c r="L1037" s="62" t="str">
        <f t="shared" si="72"/>
        <v/>
      </c>
      <c r="M1037" s="63"/>
      <c r="N1037" s="46"/>
    </row>
    <row r="1038" spans="1:14" ht="15">
      <c r="A1038" s="46"/>
      <c r="B1038" s="534">
        <f t="shared" si="69"/>
        <v>1029</v>
      </c>
      <c r="C1038" s="56" t="s">
        <v>2262</v>
      </c>
      <c r="D1038" s="56" t="s">
        <v>3392</v>
      </c>
      <c r="E1038" s="57" t="s">
        <v>3393</v>
      </c>
      <c r="F1038" s="58"/>
      <c r="G1038" s="59">
        <v>46095</v>
      </c>
      <c r="H1038" s="57" t="s">
        <v>3389</v>
      </c>
      <c r="I1038" s="62">
        <f t="shared" si="70"/>
        <v>10.000000000000014</v>
      </c>
      <c r="J1038" s="63">
        <v>110</v>
      </c>
      <c r="K1038" s="63">
        <f t="shared" si="71"/>
        <v>0</v>
      </c>
      <c r="L1038" s="62" t="str">
        <f t="shared" si="72"/>
        <v/>
      </c>
      <c r="M1038" s="63"/>
      <c r="N1038" s="66" t="s">
        <v>24</v>
      </c>
    </row>
    <row r="1039" spans="1:14" ht="15">
      <c r="A1039" s="46"/>
      <c r="B1039" s="534">
        <f t="shared" si="69"/>
        <v>1030</v>
      </c>
      <c r="C1039" s="56" t="s">
        <v>2262</v>
      </c>
      <c r="D1039" s="56" t="s">
        <v>3394</v>
      </c>
      <c r="E1039" s="57" t="s">
        <v>3395</v>
      </c>
      <c r="F1039" s="58"/>
      <c r="G1039" s="59">
        <v>46095</v>
      </c>
      <c r="H1039" s="57" t="s">
        <v>3389</v>
      </c>
      <c r="I1039" s="62">
        <f t="shared" si="70"/>
        <v>10.000000000000014</v>
      </c>
      <c r="J1039" s="63">
        <v>110</v>
      </c>
      <c r="K1039" s="63">
        <f t="shared" si="71"/>
        <v>0</v>
      </c>
      <c r="L1039" s="62" t="str">
        <f t="shared" si="72"/>
        <v/>
      </c>
      <c r="M1039" s="63"/>
      <c r="N1039" s="66" t="s">
        <v>24</v>
      </c>
    </row>
    <row r="1040" spans="1:14" ht="15">
      <c r="A1040" s="46"/>
      <c r="B1040" s="534">
        <f t="shared" si="69"/>
        <v>1031</v>
      </c>
      <c r="C1040" s="56" t="s">
        <v>2262</v>
      </c>
      <c r="D1040" s="56" t="s">
        <v>3396</v>
      </c>
      <c r="E1040" s="57" t="s">
        <v>3397</v>
      </c>
      <c r="F1040" s="58"/>
      <c r="G1040" s="59">
        <v>46095</v>
      </c>
      <c r="H1040" s="57" t="s">
        <v>3389</v>
      </c>
      <c r="I1040" s="62">
        <f t="shared" ref="I1040" si="73">IF(J1040&lt;&gt;"",J1040-J1040/1.1,"")</f>
        <v>10.000000000000014</v>
      </c>
      <c r="J1040" s="63">
        <v>110</v>
      </c>
      <c r="K1040" s="63">
        <f t="shared" ref="K1040" si="74">IF(N1040="",J1040,0)</f>
        <v>110</v>
      </c>
      <c r="L1040" s="62" t="str">
        <f t="shared" ref="L1040" si="75">IF(M1040&lt;&gt;"",M1040-M1040/1.1,"")</f>
        <v/>
      </c>
      <c r="M1040" s="63"/>
      <c r="N1040" s="46"/>
    </row>
    <row r="1041" spans="1:14" ht="15">
      <c r="A1041" s="46"/>
      <c r="B1041" s="534">
        <f t="shared" si="69"/>
        <v>1032</v>
      </c>
      <c r="C1041" s="56" t="s">
        <v>2442</v>
      </c>
      <c r="D1041" s="56" t="s">
        <v>2534</v>
      </c>
      <c r="E1041" s="57" t="s">
        <v>2535</v>
      </c>
      <c r="F1041" s="58" t="s">
        <v>3388</v>
      </c>
      <c r="G1041" s="59">
        <v>46096</v>
      </c>
      <c r="H1041" s="57" t="s">
        <v>2941</v>
      </c>
      <c r="I1041" s="62">
        <f t="shared" ref="I1041:I1042" si="76">IF(J1041&lt;&gt;"",J1041-J1041/1.1,"")</f>
        <v>351.27272727272748</v>
      </c>
      <c r="J1041" s="63">
        <v>3864</v>
      </c>
      <c r="K1041" s="63">
        <f t="shared" ref="K1041:K1042" si="77">IF(N1041="",J1041,0)</f>
        <v>0</v>
      </c>
      <c r="L1041" s="62" t="str">
        <f t="shared" ref="L1041:L1042" si="78">IF(M1041&lt;&gt;"",M1041-M1041/1.1,"")</f>
        <v/>
      </c>
      <c r="M1041" s="63"/>
      <c r="N1041" s="66" t="s">
        <v>24</v>
      </c>
    </row>
    <row r="1042" spans="1:14" ht="15">
      <c r="A1042" s="46"/>
      <c r="B1042" s="534">
        <f t="shared" si="69"/>
        <v>1033</v>
      </c>
      <c r="C1042" s="56" t="s">
        <v>2262</v>
      </c>
      <c r="D1042" s="56" t="s">
        <v>2276</v>
      </c>
      <c r="E1042" s="57" t="s">
        <v>3398</v>
      </c>
      <c r="F1042" s="58"/>
      <c r="G1042" s="59">
        <v>46101</v>
      </c>
      <c r="H1042" s="57" t="s">
        <v>3399</v>
      </c>
      <c r="I1042" s="62">
        <f t="shared" si="76"/>
        <v>19.727272727272748</v>
      </c>
      <c r="J1042" s="63">
        <v>217</v>
      </c>
      <c r="K1042" s="63">
        <f t="shared" si="77"/>
        <v>217</v>
      </c>
      <c r="L1042" s="62" t="str">
        <f t="shared" si="78"/>
        <v/>
      </c>
      <c r="M1042" s="63"/>
      <c r="N1042" s="46"/>
    </row>
    <row r="1043" spans="1:14" ht="15">
      <c r="A1043" s="46"/>
      <c r="B1043" s="534">
        <f t="shared" si="69"/>
        <v>1034</v>
      </c>
      <c r="C1043" s="56" t="s">
        <v>2273</v>
      </c>
      <c r="D1043" s="56" t="s">
        <v>2614</v>
      </c>
      <c r="E1043" s="57" t="s">
        <v>3400</v>
      </c>
      <c r="F1043" s="58" t="s">
        <v>3401</v>
      </c>
      <c r="G1043" s="59">
        <v>46101</v>
      </c>
      <c r="H1043" s="57" t="s">
        <v>3399</v>
      </c>
      <c r="I1043" s="62">
        <f t="shared" ref="I1043:I1045" si="79">IF(J1043&lt;&gt;"",J1043-J1043/1.1,"")</f>
        <v>269.18181818181847</v>
      </c>
      <c r="J1043" s="63">
        <v>2961</v>
      </c>
      <c r="K1043" s="63">
        <f t="shared" ref="K1043:K1045" si="80">IF(N1043="",J1043,0)</f>
        <v>2961</v>
      </c>
      <c r="L1043" s="62" t="str">
        <f t="shared" ref="L1043:L1045" si="81">IF(M1043&lt;&gt;"",M1043-M1043/1.1,"")</f>
        <v/>
      </c>
      <c r="M1043" s="63"/>
      <c r="N1043" s="46"/>
    </row>
    <row r="1044" spans="1:14" ht="15">
      <c r="A1044" s="46"/>
      <c r="B1044" s="534">
        <f t="shared" si="69"/>
        <v>1035</v>
      </c>
      <c r="C1044" s="56" t="s">
        <v>2262</v>
      </c>
      <c r="D1044" s="56" t="s">
        <v>3375</v>
      </c>
      <c r="E1044" s="57" t="s">
        <v>3366</v>
      </c>
      <c r="F1044" s="58" t="s">
        <v>3403</v>
      </c>
      <c r="G1044" s="59">
        <v>46103</v>
      </c>
      <c r="H1044" s="57" t="s">
        <v>3402</v>
      </c>
      <c r="I1044" s="62">
        <f t="shared" si="79"/>
        <v>33.363636363636374</v>
      </c>
      <c r="J1044" s="63">
        <v>367</v>
      </c>
      <c r="K1044" s="63">
        <f t="shared" si="80"/>
        <v>367</v>
      </c>
      <c r="L1044" s="62" t="str">
        <f t="shared" si="81"/>
        <v/>
      </c>
      <c r="M1044" s="63"/>
      <c r="N1044" s="46"/>
    </row>
    <row r="1045" spans="1:14" ht="15">
      <c r="A1045" s="46"/>
      <c r="B1045" s="534">
        <f t="shared" si="69"/>
        <v>1036</v>
      </c>
      <c r="C1045" s="56" t="s">
        <v>2262</v>
      </c>
      <c r="D1045" s="56" t="s">
        <v>3375</v>
      </c>
      <c r="E1045" s="57" t="s">
        <v>3404</v>
      </c>
      <c r="F1045" s="58" t="s">
        <v>3403</v>
      </c>
      <c r="G1045" s="59">
        <v>46103</v>
      </c>
      <c r="H1045" s="57" t="s">
        <v>3402</v>
      </c>
      <c r="I1045" s="62">
        <f t="shared" si="79"/>
        <v>63.090909090909122</v>
      </c>
      <c r="J1045" s="63">
        <v>694</v>
      </c>
      <c r="K1045" s="63">
        <f t="shared" si="80"/>
        <v>694</v>
      </c>
      <c r="L1045" s="62" t="str">
        <f t="shared" si="81"/>
        <v/>
      </c>
      <c r="M1045" s="63"/>
      <c r="N1045" s="46"/>
    </row>
    <row r="1046" spans="1:14" ht="15">
      <c r="A1046" s="46"/>
      <c r="B1046" s="534">
        <f t="shared" si="69"/>
        <v>1037</v>
      </c>
      <c r="C1046" s="56" t="s">
        <v>2262</v>
      </c>
      <c r="D1046" s="56" t="s">
        <v>3375</v>
      </c>
      <c r="E1046" s="57" t="s">
        <v>3405</v>
      </c>
      <c r="F1046" s="58" t="s">
        <v>3403</v>
      </c>
      <c r="G1046" s="59">
        <v>46103</v>
      </c>
      <c r="H1046" s="57" t="s">
        <v>3402</v>
      </c>
      <c r="I1046" s="62">
        <f t="shared" ref="I1046" si="82">IF(J1046&lt;&gt;"",J1046-J1046/1.1,"")</f>
        <v>63.090909090909122</v>
      </c>
      <c r="J1046" s="63">
        <v>694</v>
      </c>
      <c r="K1046" s="63">
        <f t="shared" ref="K1046" si="83">IF(N1046="",J1046,0)</f>
        <v>694</v>
      </c>
      <c r="L1046" s="62" t="str">
        <f t="shared" ref="L1046" si="84">IF(M1046&lt;&gt;"",M1046-M1046/1.1,"")</f>
        <v/>
      </c>
      <c r="M1046" s="63"/>
      <c r="N1046" s="46"/>
    </row>
    <row r="1047" spans="1:14" ht="15">
      <c r="A1047" s="46"/>
      <c r="B1047" s="534">
        <f t="shared" si="69"/>
        <v>1038</v>
      </c>
      <c r="C1047" s="56" t="s">
        <v>2262</v>
      </c>
      <c r="D1047" s="56" t="s">
        <v>3406</v>
      </c>
      <c r="E1047" s="57" t="s">
        <v>3407</v>
      </c>
      <c r="F1047" s="58"/>
      <c r="G1047" s="59">
        <v>46103</v>
      </c>
      <c r="H1047" s="57" t="s">
        <v>3408</v>
      </c>
      <c r="I1047" s="62">
        <f t="shared" ref="I1047:I1048" si="85">IF(J1047&lt;&gt;"",J1047-J1047/1.1,"")</f>
        <v>153.63636363636374</v>
      </c>
      <c r="J1047" s="63">
        <v>1690</v>
      </c>
      <c r="K1047" s="63">
        <f t="shared" ref="K1047:K1048" si="86">IF(N1047="",J1047,0)</f>
        <v>0</v>
      </c>
      <c r="L1047" s="62" t="str">
        <f t="shared" ref="L1047:L1048" si="87">IF(M1047&lt;&gt;"",M1047-M1047/1.1,"")</f>
        <v/>
      </c>
      <c r="M1047" s="63"/>
      <c r="N1047" s="66" t="s">
        <v>24</v>
      </c>
    </row>
    <row r="1048" spans="1:14" ht="15">
      <c r="A1048" s="46"/>
      <c r="B1048" s="534">
        <f t="shared" si="69"/>
        <v>1039</v>
      </c>
      <c r="C1048" s="56" t="s">
        <v>2262</v>
      </c>
      <c r="D1048" s="56" t="s">
        <v>3410</v>
      </c>
      <c r="E1048" s="57" t="s">
        <v>3411</v>
      </c>
      <c r="F1048" s="58" t="s">
        <v>3412</v>
      </c>
      <c r="G1048" s="59">
        <v>46103</v>
      </c>
      <c r="H1048" s="57" t="s">
        <v>3409</v>
      </c>
      <c r="I1048" s="62">
        <f t="shared" si="85"/>
        <v>20.000000000000028</v>
      </c>
      <c r="J1048" s="63">
        <v>220</v>
      </c>
      <c r="K1048" s="63">
        <f t="shared" si="86"/>
        <v>220</v>
      </c>
      <c r="L1048" s="62" t="str">
        <f t="shared" si="87"/>
        <v/>
      </c>
      <c r="M1048" s="63"/>
      <c r="N1048" s="66"/>
    </row>
    <row r="1049" spans="1:14" ht="15">
      <c r="A1049" s="46"/>
      <c r="B1049" s="534">
        <f t="shared" si="69"/>
        <v>1040</v>
      </c>
      <c r="C1049" s="56" t="s">
        <v>2262</v>
      </c>
      <c r="D1049" s="56" t="s">
        <v>3413</v>
      </c>
      <c r="E1049" s="57" t="s">
        <v>3414</v>
      </c>
      <c r="F1049" s="58"/>
      <c r="G1049" s="59">
        <v>46103</v>
      </c>
      <c r="H1049" s="57" t="s">
        <v>3409</v>
      </c>
      <c r="I1049" s="62">
        <f t="shared" ref="I1049:I1053" si="88">IF(J1049&lt;&gt;"",J1049-J1049/1.1,"")</f>
        <v>10.000000000000014</v>
      </c>
      <c r="J1049" s="63">
        <v>110</v>
      </c>
      <c r="K1049" s="63">
        <f t="shared" ref="K1049:K1053" si="89">IF(N1049="",J1049,0)</f>
        <v>0</v>
      </c>
      <c r="L1049" s="62" t="str">
        <f t="shared" ref="L1049:L1053" si="90">IF(M1049&lt;&gt;"",M1049-M1049/1.1,"")</f>
        <v/>
      </c>
      <c r="M1049" s="63"/>
      <c r="N1049" s="66" t="s">
        <v>24</v>
      </c>
    </row>
    <row r="1050" spans="1:14" ht="15">
      <c r="A1050" s="46"/>
      <c r="B1050" s="534">
        <f t="shared" si="69"/>
        <v>1041</v>
      </c>
      <c r="C1050" s="56" t="s">
        <v>2262</v>
      </c>
      <c r="D1050" s="56" t="s">
        <v>2276</v>
      </c>
      <c r="E1050" s="57" t="s">
        <v>3416</v>
      </c>
      <c r="F1050" s="58"/>
      <c r="G1050" s="59">
        <v>46103</v>
      </c>
      <c r="H1050" s="57" t="s">
        <v>3415</v>
      </c>
      <c r="I1050" s="62">
        <f t="shared" si="88"/>
        <v>54.727272727272748</v>
      </c>
      <c r="J1050" s="63">
        <v>602</v>
      </c>
      <c r="K1050" s="63">
        <f t="shared" si="89"/>
        <v>602</v>
      </c>
      <c r="L1050" s="62" t="str">
        <f t="shared" si="90"/>
        <v/>
      </c>
      <c r="M1050" s="63"/>
      <c r="N1050" s="46"/>
    </row>
    <row r="1051" spans="1:14" ht="15">
      <c r="A1051" s="46"/>
      <c r="B1051" s="534">
        <f t="shared" si="69"/>
        <v>1042</v>
      </c>
      <c r="C1051" s="56" t="s">
        <v>2262</v>
      </c>
      <c r="D1051" s="56" t="s">
        <v>2276</v>
      </c>
      <c r="E1051" s="57" t="s">
        <v>3417</v>
      </c>
      <c r="F1051" s="58" t="s">
        <v>3412</v>
      </c>
      <c r="G1051" s="59">
        <v>46103</v>
      </c>
      <c r="H1051" s="57" t="s">
        <v>3415</v>
      </c>
      <c r="I1051" s="62">
        <f t="shared" ref="I1051" si="91">IF(J1051&lt;&gt;"",J1051-J1051/1.1,"")</f>
        <v>119.4545454545455</v>
      </c>
      <c r="J1051" s="63">
        <v>1314</v>
      </c>
      <c r="K1051" s="63">
        <f t="shared" ref="K1051" si="92">IF(N1051="",J1051,0)</f>
        <v>1314</v>
      </c>
      <c r="L1051" s="62" t="str">
        <f t="shared" ref="L1051" si="93">IF(M1051&lt;&gt;"",M1051-M1051/1.1,"")</f>
        <v/>
      </c>
      <c r="M1051" s="63"/>
      <c r="N1051" s="46"/>
    </row>
    <row r="1052" spans="1:14" ht="15">
      <c r="A1052" s="46"/>
      <c r="B1052" s="534">
        <f t="shared" si="69"/>
        <v>1043</v>
      </c>
      <c r="C1052" s="56" t="s">
        <v>2262</v>
      </c>
      <c r="D1052" s="56" t="s">
        <v>3418</v>
      </c>
      <c r="E1052" s="57" t="s">
        <v>3419</v>
      </c>
      <c r="F1052" s="58"/>
      <c r="G1052" s="59">
        <v>46103</v>
      </c>
      <c r="H1052" s="57" t="s">
        <v>3415</v>
      </c>
      <c r="I1052" s="62">
        <f t="shared" si="88"/>
        <v>9.0000000000000142</v>
      </c>
      <c r="J1052" s="63">
        <v>99</v>
      </c>
      <c r="K1052" s="63">
        <f t="shared" si="89"/>
        <v>99</v>
      </c>
      <c r="L1052" s="62" t="str">
        <f t="shared" si="90"/>
        <v/>
      </c>
      <c r="M1052" s="63"/>
      <c r="N1052" s="46"/>
    </row>
    <row r="1053" spans="1:14" ht="15">
      <c r="A1053" s="46"/>
      <c r="B1053" s="534">
        <f t="shared" si="69"/>
        <v>1044</v>
      </c>
      <c r="C1053" s="56" t="s">
        <v>2262</v>
      </c>
      <c r="D1053" s="56" t="s">
        <v>2276</v>
      </c>
      <c r="E1053" s="57" t="s">
        <v>3420</v>
      </c>
      <c r="F1053" s="58" t="s">
        <v>3412</v>
      </c>
      <c r="G1053" s="59">
        <v>46103</v>
      </c>
      <c r="H1053" s="57" t="s">
        <v>2307</v>
      </c>
      <c r="I1053" s="62">
        <f t="shared" si="88"/>
        <v>172.00000000000023</v>
      </c>
      <c r="J1053" s="63">
        <v>1892</v>
      </c>
      <c r="K1053" s="63">
        <f t="shared" si="89"/>
        <v>1892</v>
      </c>
      <c r="L1053" s="62" t="str">
        <f t="shared" si="90"/>
        <v/>
      </c>
      <c r="M1053" s="63"/>
      <c r="N1053" s="46"/>
    </row>
    <row r="1054" spans="1:14" ht="15">
      <c r="A1054" s="46"/>
      <c r="B1054" s="534">
        <f t="shared" si="69"/>
        <v>1045</v>
      </c>
      <c r="C1054" s="56" t="s">
        <v>2262</v>
      </c>
      <c r="D1054" s="56" t="s">
        <v>3421</v>
      </c>
      <c r="E1054" s="57" t="s">
        <v>3422</v>
      </c>
      <c r="F1054" s="58"/>
      <c r="G1054" s="59">
        <v>46103</v>
      </c>
      <c r="H1054" s="57" t="s">
        <v>2307</v>
      </c>
      <c r="I1054" s="62">
        <f t="shared" ref="I1054" si="94">IF(J1054&lt;&gt;"",J1054-J1054/1.1,"")</f>
        <v>65.272727272727366</v>
      </c>
      <c r="J1054" s="63">
        <v>718</v>
      </c>
      <c r="K1054" s="63">
        <f t="shared" ref="K1054" si="95">IF(N1054="",J1054,0)</f>
        <v>0</v>
      </c>
      <c r="L1054" s="62" t="str">
        <f t="shared" ref="L1054" si="96">IF(M1054&lt;&gt;"",M1054-M1054/1.1,"")</f>
        <v/>
      </c>
      <c r="M1054" s="63"/>
      <c r="N1054" s="66" t="s">
        <v>24</v>
      </c>
    </row>
    <row r="1055" spans="1:14" ht="15">
      <c r="A1055" s="46"/>
      <c r="B1055" s="534">
        <f t="shared" si="69"/>
        <v>1046</v>
      </c>
      <c r="C1055" s="56" t="s">
        <v>2262</v>
      </c>
      <c r="D1055" s="56" t="s">
        <v>3423</v>
      </c>
      <c r="E1055" s="57" t="s">
        <v>3424</v>
      </c>
      <c r="F1055" s="58"/>
      <c r="G1055" s="59">
        <v>46103</v>
      </c>
      <c r="H1055" s="57" t="s">
        <v>2307</v>
      </c>
      <c r="I1055" s="62">
        <f t="shared" ref="I1055:I1056" si="97">IF(J1055&lt;&gt;"",J1055-J1055/1.1,"")</f>
        <v>119</v>
      </c>
      <c r="J1055" s="63">
        <v>1309</v>
      </c>
      <c r="K1055" s="63">
        <f t="shared" ref="K1055:K1056" si="98">IF(N1055="",J1055,0)</f>
        <v>1309</v>
      </c>
      <c r="L1055" s="62" t="str">
        <f t="shared" ref="L1055:L1056" si="99">IF(M1055&lt;&gt;"",M1055-M1055/1.1,"")</f>
        <v/>
      </c>
      <c r="M1055" s="63"/>
      <c r="N1055" s="66"/>
    </row>
    <row r="1056" spans="1:14" ht="15">
      <c r="A1056" s="46"/>
      <c r="B1056" s="534">
        <f t="shared" si="69"/>
        <v>1047</v>
      </c>
      <c r="C1056" s="56" t="s">
        <v>2262</v>
      </c>
      <c r="D1056" s="56" t="s">
        <v>3425</v>
      </c>
      <c r="E1056" s="57" t="s">
        <v>3426</v>
      </c>
      <c r="F1056" s="58"/>
      <c r="G1056" s="59">
        <v>46103</v>
      </c>
      <c r="H1056" s="57" t="s">
        <v>2307</v>
      </c>
      <c r="I1056" s="62">
        <f t="shared" si="97"/>
        <v>343.63636363636397</v>
      </c>
      <c r="J1056" s="63">
        <v>3780</v>
      </c>
      <c r="K1056" s="63">
        <f t="shared" si="98"/>
        <v>0</v>
      </c>
      <c r="L1056" s="62" t="str">
        <f t="shared" si="99"/>
        <v/>
      </c>
      <c r="M1056" s="63"/>
      <c r="N1056" s="66" t="s">
        <v>24</v>
      </c>
    </row>
    <row r="1057" spans="1:14" ht="15">
      <c r="A1057" s="46"/>
      <c r="B1057" s="534">
        <f t="shared" si="69"/>
        <v>1048</v>
      </c>
      <c r="C1057" s="56" t="s">
        <v>2262</v>
      </c>
      <c r="D1057" s="56" t="s">
        <v>3427</v>
      </c>
      <c r="E1057" s="57" t="s">
        <v>3428</v>
      </c>
      <c r="F1057" s="58"/>
      <c r="G1057" s="59">
        <v>46103</v>
      </c>
      <c r="H1057" s="57" t="s">
        <v>2307</v>
      </c>
      <c r="I1057" s="62">
        <f t="shared" ref="I1057:I1058" si="100">IF(J1057&lt;&gt;"",J1057-J1057/1.1,"")</f>
        <v>129.27272727272748</v>
      </c>
      <c r="J1057" s="63">
        <v>1422</v>
      </c>
      <c r="K1057" s="63">
        <f t="shared" ref="K1057:K1058" si="101">IF(N1057="",J1057,0)</f>
        <v>1422</v>
      </c>
      <c r="L1057" s="62" t="str">
        <f t="shared" ref="L1057:L1058" si="102">IF(M1057&lt;&gt;"",M1057-M1057/1.1,"")</f>
        <v/>
      </c>
      <c r="M1057" s="63"/>
      <c r="N1057" s="66"/>
    </row>
    <row r="1058" spans="1:14" ht="15">
      <c r="A1058" s="46"/>
      <c r="B1058" s="534">
        <f t="shared" si="69"/>
        <v>1049</v>
      </c>
      <c r="C1058" s="56" t="s">
        <v>2281</v>
      </c>
      <c r="D1058" s="56" t="s">
        <v>2282</v>
      </c>
      <c r="E1058" s="57" t="s">
        <v>3432</v>
      </c>
      <c r="F1058" s="64"/>
      <c r="G1058" s="59">
        <v>46106</v>
      </c>
      <c r="H1058" s="57" t="s">
        <v>2808</v>
      </c>
      <c r="I1058" s="62">
        <f t="shared" si="100"/>
        <v>407.27272727272748</v>
      </c>
      <c r="J1058" s="63">
        <v>4480</v>
      </c>
      <c r="K1058" s="63">
        <f t="shared" si="101"/>
        <v>4480</v>
      </c>
      <c r="L1058" s="62" t="str">
        <f t="shared" si="102"/>
        <v/>
      </c>
      <c r="M1058" s="63"/>
      <c r="N1058" s="46"/>
    </row>
    <row r="1059" spans="1:14" ht="15">
      <c r="A1059" s="46"/>
      <c r="B1059" s="534">
        <f t="shared" si="69"/>
        <v>1050</v>
      </c>
      <c r="C1059" s="56"/>
      <c r="D1059" s="56"/>
      <c r="E1059" s="57"/>
      <c r="F1059" s="58"/>
      <c r="G1059" s="76"/>
      <c r="H1059" s="56"/>
      <c r="I1059" s="62" t="str">
        <f t="shared" si="70"/>
        <v/>
      </c>
      <c r="J1059" s="63"/>
      <c r="K1059" s="63"/>
      <c r="L1059" s="62" t="str">
        <f t="shared" si="72"/>
        <v/>
      </c>
      <c r="M1059" s="63"/>
      <c r="N1059" s="46"/>
    </row>
    <row r="1060" spans="1:14" ht="15">
      <c r="A1060" s="46"/>
      <c r="B1060" s="534">
        <f t="shared" si="69"/>
        <v>1051</v>
      </c>
      <c r="C1060" s="56"/>
      <c r="D1060" s="56"/>
      <c r="E1060" s="56"/>
      <c r="F1060" s="56"/>
      <c r="G1060" s="76"/>
      <c r="H1060" s="56"/>
      <c r="I1060" s="62"/>
      <c r="J1060" s="63"/>
      <c r="K1060" s="63"/>
      <c r="L1060" s="62"/>
      <c r="M1060" s="63"/>
      <c r="N1060" s="46"/>
    </row>
    <row r="1061" spans="1:14" ht="15">
      <c r="A1061" s="46"/>
      <c r="B1061" s="534">
        <f t="shared" si="69"/>
        <v>1052</v>
      </c>
      <c r="C1061" s="56"/>
      <c r="D1061" s="56"/>
      <c r="E1061" s="56"/>
      <c r="F1061" s="56"/>
      <c r="G1061" s="76"/>
      <c r="H1061" s="56"/>
      <c r="I1061" s="62" t="str">
        <f>IF(J1061&lt;&gt;"",J1061-J1061/1.1,"")</f>
        <v/>
      </c>
      <c r="J1061" s="63"/>
      <c r="K1061" s="63"/>
      <c r="L1061" s="62" t="str">
        <f>IF(M1061&lt;&gt;"",M1061-M1061/1.1,"")</f>
        <v/>
      </c>
      <c r="M1061" s="63"/>
      <c r="N1061" s="46"/>
    </row>
    <row r="1062" spans="1:14" ht="15">
      <c r="A1062" s="46"/>
      <c r="B1062" s="534"/>
      <c r="C1062" s="65" t="s">
        <v>3017</v>
      </c>
      <c r="D1062" s="56"/>
      <c r="E1062" s="57"/>
      <c r="F1062" s="58"/>
      <c r="G1062" s="59"/>
      <c r="H1062" s="57"/>
      <c r="I1062" s="62"/>
      <c r="J1062" s="67">
        <f>SUM(J983:J1061)</f>
        <v>68367</v>
      </c>
      <c r="K1062" s="67">
        <f>SUM(K983:K1061)</f>
        <v>42864</v>
      </c>
      <c r="L1062" s="62"/>
      <c r="M1062" s="68">
        <f>SUM(M983:M1061)</f>
        <v>24000</v>
      </c>
      <c r="N1062" s="46"/>
    </row>
    <row r="1063" spans="1:14" ht="15">
      <c r="A1063" s="46"/>
      <c r="B1063" s="534"/>
      <c r="C1063" s="66" t="s">
        <v>3367</v>
      </c>
      <c r="D1063" s="66" t="s">
        <v>3367</v>
      </c>
      <c r="E1063" s="66" t="s">
        <v>3367</v>
      </c>
      <c r="F1063" s="66" t="s">
        <v>3367</v>
      </c>
      <c r="G1063" s="66" t="s">
        <v>3367</v>
      </c>
      <c r="H1063" s="66" t="s">
        <v>3367</v>
      </c>
      <c r="I1063" s="66" t="s">
        <v>3367</v>
      </c>
      <c r="J1063" s="66" t="s">
        <v>3367</v>
      </c>
      <c r="K1063" s="66" t="s">
        <v>3367</v>
      </c>
      <c r="L1063" s="66" t="s">
        <v>3367</v>
      </c>
      <c r="M1063" s="66" t="s">
        <v>3367</v>
      </c>
      <c r="N1063" s="46"/>
    </row>
    <row r="1064" spans="1:14" ht="15">
      <c r="A1064" s="46"/>
      <c r="B1064" s="534"/>
      <c r="C1064" s="65" t="s">
        <v>3018</v>
      </c>
      <c r="D1064" s="56"/>
      <c r="E1064" s="57"/>
      <c r="F1064" s="58"/>
      <c r="G1064" s="59"/>
      <c r="H1064" s="57"/>
      <c r="I1064" s="62">
        <f>SUM(I4:I1061)</f>
        <v>97987.272727272677</v>
      </c>
      <c r="J1064" s="67">
        <f>J138+J623+J981+J1062</f>
        <v>1102600</v>
      </c>
      <c r="K1064" s="67">
        <f>K138+K623+K981+K1062</f>
        <v>941461</v>
      </c>
      <c r="L1064" s="62">
        <f>SUM(L4:L1061)</f>
        <v>17054.545454545463</v>
      </c>
      <c r="M1064" s="68">
        <f>M138+M623+M981+M1062</f>
        <v>187600</v>
      </c>
      <c r="N1064" s="46"/>
    </row>
  </sheetData>
  <autoFilter ref="C3:L1064" xr:uid="{00000000-0009-0000-0000-000006000000}"/>
  <phoneticPr fontId="59"/>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2:X303"/>
  <sheetViews>
    <sheetView workbookViewId="0">
      <pane ySplit="4" topLeftCell="A5" activePane="bottomLeft" state="frozen"/>
      <selection pane="bottomLeft"/>
    </sheetView>
  </sheetViews>
  <sheetFormatPr defaultColWidth="9" defaultRowHeight="16"/>
  <cols>
    <col min="1" max="1" width="3.1796875" customWidth="1"/>
    <col min="2" max="2" width="5.1796875" style="33" customWidth="1"/>
    <col min="3" max="3" width="38.6328125" style="1" customWidth="1"/>
  </cols>
  <sheetData>
    <row r="2" spans="2:24">
      <c r="F2" s="34"/>
    </row>
    <row r="3" spans="2:24">
      <c r="B3" s="35" t="s">
        <v>2044</v>
      </c>
      <c r="C3" s="36" t="s">
        <v>2045</v>
      </c>
      <c r="D3" s="36" t="s">
        <v>2047</v>
      </c>
      <c r="E3" s="36" t="s">
        <v>2048</v>
      </c>
      <c r="F3" s="34" t="s">
        <v>2049</v>
      </c>
      <c r="G3" s="36" t="s">
        <v>2050</v>
      </c>
      <c r="H3" s="36" t="s">
        <v>3019</v>
      </c>
      <c r="I3" s="36" t="s">
        <v>1689</v>
      </c>
      <c r="J3" s="36" t="s">
        <v>1690</v>
      </c>
      <c r="K3" s="40" t="s">
        <v>3020</v>
      </c>
      <c r="L3" s="1"/>
      <c r="M3" s="1"/>
      <c r="N3" s="1"/>
      <c r="O3" s="1"/>
      <c r="P3" s="1"/>
      <c r="Q3" s="1"/>
      <c r="R3" s="1"/>
      <c r="S3" s="1"/>
      <c r="T3" s="1"/>
      <c r="U3" s="1"/>
      <c r="V3" s="1"/>
      <c r="W3" s="1"/>
      <c r="X3" s="1"/>
    </row>
    <row r="4" spans="2:24">
      <c r="B4" s="35"/>
      <c r="C4" s="36"/>
      <c r="D4" s="36"/>
      <c r="E4" s="36"/>
      <c r="F4" s="34"/>
      <c r="G4" s="36"/>
      <c r="H4" s="1"/>
      <c r="I4" s="1"/>
      <c r="J4" s="1"/>
      <c r="K4" s="1"/>
      <c r="L4" s="1"/>
      <c r="M4" s="1"/>
      <c r="N4" s="1"/>
      <c r="O4" s="1"/>
      <c r="P4" s="1"/>
      <c r="Q4" s="1"/>
      <c r="R4" s="1"/>
      <c r="S4" s="1"/>
      <c r="T4" s="1"/>
      <c r="U4" s="1"/>
      <c r="V4" s="1"/>
      <c r="W4" s="1"/>
      <c r="X4" s="1"/>
    </row>
    <row r="5" spans="2:24" ht="15">
      <c r="C5" s="37" t="s">
        <v>3021</v>
      </c>
      <c r="D5" s="38">
        <v>10</v>
      </c>
      <c r="E5" s="38">
        <v>49925</v>
      </c>
      <c r="F5" s="38">
        <v>50098</v>
      </c>
      <c r="G5" s="38">
        <v>10516</v>
      </c>
      <c r="H5" s="39">
        <f t="shared" ref="H5:H68" si="0">IF(F5&lt;&gt;"",G5/F5,0)</f>
        <v>0.20990857918479799</v>
      </c>
      <c r="I5" s="41" t="s">
        <v>2087</v>
      </c>
      <c r="J5" s="41">
        <f t="shared" ref="J5:J68" si="1">IF(I5&lt;&gt;"",COUNTIF(I:I,I5),"")</f>
        <v>3</v>
      </c>
    </row>
    <row r="6" spans="2:24" ht="15">
      <c r="C6" s="37" t="s">
        <v>194</v>
      </c>
      <c r="D6" s="38">
        <v>10</v>
      </c>
      <c r="E6" s="38">
        <v>32058</v>
      </c>
      <c r="F6" s="38">
        <v>30944</v>
      </c>
      <c r="G6" s="38">
        <v>4681</v>
      </c>
      <c r="H6" s="39">
        <f t="shared" si="0"/>
        <v>0.15127326783867601</v>
      </c>
      <c r="I6" s="41" t="s">
        <v>2148</v>
      </c>
      <c r="J6" s="41">
        <f t="shared" si="1"/>
        <v>6</v>
      </c>
    </row>
    <row r="7" spans="2:24" ht="15">
      <c r="C7" s="37" t="s">
        <v>3022</v>
      </c>
      <c r="D7" s="38">
        <v>10</v>
      </c>
      <c r="E7" s="38">
        <v>21847</v>
      </c>
      <c r="F7" s="38">
        <v>21268</v>
      </c>
      <c r="G7" s="38">
        <v>4178</v>
      </c>
      <c r="H7" s="39">
        <f t="shared" si="0"/>
        <v>0.19644536392702699</v>
      </c>
      <c r="I7" s="41" t="s">
        <v>2096</v>
      </c>
      <c r="J7" s="41">
        <f t="shared" si="1"/>
        <v>1</v>
      </c>
    </row>
    <row r="8" spans="2:24" ht="15">
      <c r="C8" s="37" t="s">
        <v>3023</v>
      </c>
      <c r="D8" s="38">
        <v>10</v>
      </c>
      <c r="E8" s="38">
        <v>15937</v>
      </c>
      <c r="F8" s="38">
        <v>16262</v>
      </c>
      <c r="G8" s="38">
        <v>4173</v>
      </c>
      <c r="H8" s="39">
        <f t="shared" si="0"/>
        <v>0.25661050301316002</v>
      </c>
      <c r="I8" s="41" t="s">
        <v>2102</v>
      </c>
      <c r="J8" s="41">
        <f t="shared" si="1"/>
        <v>19</v>
      </c>
    </row>
    <row r="9" spans="2:24" ht="15">
      <c r="C9" s="37" t="s">
        <v>3024</v>
      </c>
      <c r="D9" s="38">
        <v>10</v>
      </c>
      <c r="E9" s="38">
        <v>25510</v>
      </c>
      <c r="F9" s="38">
        <v>25553</v>
      </c>
      <c r="G9" s="38">
        <v>3811</v>
      </c>
      <c r="H9" s="39">
        <f t="shared" si="0"/>
        <v>0.149141001056627</v>
      </c>
      <c r="I9" s="41" t="s">
        <v>2183</v>
      </c>
      <c r="J9" s="41">
        <f t="shared" si="1"/>
        <v>7</v>
      </c>
    </row>
    <row r="10" spans="2:24" ht="15">
      <c r="C10" s="37" t="s">
        <v>3025</v>
      </c>
      <c r="D10" s="38">
        <v>10</v>
      </c>
      <c r="E10" s="38">
        <v>10156</v>
      </c>
      <c r="F10" s="38">
        <v>9850</v>
      </c>
      <c r="G10" s="38">
        <v>3156</v>
      </c>
      <c r="H10" s="39">
        <f t="shared" si="0"/>
        <v>0.32040609137055798</v>
      </c>
      <c r="I10" s="41" t="s">
        <v>3026</v>
      </c>
      <c r="J10" s="41">
        <f t="shared" si="1"/>
        <v>3</v>
      </c>
    </row>
    <row r="11" spans="2:24" ht="15">
      <c r="C11" s="37" t="s">
        <v>3027</v>
      </c>
      <c r="D11" s="38">
        <v>10</v>
      </c>
      <c r="E11" s="38">
        <v>3779</v>
      </c>
      <c r="F11" s="38">
        <v>3779</v>
      </c>
      <c r="G11" s="38">
        <v>2845</v>
      </c>
      <c r="H11" s="39">
        <f t="shared" si="0"/>
        <v>0.75284466790156102</v>
      </c>
      <c r="I11" s="41" t="s">
        <v>2217</v>
      </c>
      <c r="J11" s="41">
        <f t="shared" si="1"/>
        <v>3</v>
      </c>
    </row>
    <row r="12" spans="2:24" ht="15">
      <c r="C12" s="37" t="s">
        <v>3028</v>
      </c>
      <c r="D12" s="38">
        <v>10</v>
      </c>
      <c r="E12" s="38">
        <v>15026</v>
      </c>
      <c r="F12" s="38">
        <v>15364</v>
      </c>
      <c r="G12" s="38">
        <v>2762</v>
      </c>
      <c r="H12" s="39">
        <f t="shared" si="0"/>
        <v>0.179770892996615</v>
      </c>
      <c r="I12" s="41" t="s">
        <v>2088</v>
      </c>
      <c r="J12" s="41">
        <f t="shared" si="1"/>
        <v>8</v>
      </c>
    </row>
    <row r="13" spans="2:24" ht="15">
      <c r="C13" s="37" t="s">
        <v>3029</v>
      </c>
      <c r="D13" s="38">
        <v>10</v>
      </c>
      <c r="E13" s="38">
        <v>8427</v>
      </c>
      <c r="F13" s="38">
        <v>5669</v>
      </c>
      <c r="G13" s="38">
        <v>2688</v>
      </c>
      <c r="H13" s="39">
        <f t="shared" si="0"/>
        <v>0.47415769977068301</v>
      </c>
      <c r="I13" s="41" t="s">
        <v>2085</v>
      </c>
      <c r="J13" s="41">
        <f t="shared" si="1"/>
        <v>5</v>
      </c>
    </row>
    <row r="14" spans="2:24" ht="15">
      <c r="C14" s="37" t="s">
        <v>3030</v>
      </c>
      <c r="D14" s="38">
        <v>10</v>
      </c>
      <c r="E14" s="38">
        <v>18752</v>
      </c>
      <c r="F14" s="38">
        <v>18802</v>
      </c>
      <c r="G14" s="38">
        <v>2629</v>
      </c>
      <c r="H14" s="39">
        <f t="shared" si="0"/>
        <v>0.13982555047335399</v>
      </c>
      <c r="I14" s="41" t="s">
        <v>2088</v>
      </c>
      <c r="J14" s="41">
        <f t="shared" si="1"/>
        <v>8</v>
      </c>
    </row>
    <row r="15" spans="2:24" ht="15">
      <c r="C15" s="37" t="s">
        <v>3031</v>
      </c>
      <c r="D15" s="38">
        <v>10</v>
      </c>
      <c r="E15" s="38">
        <v>9591</v>
      </c>
      <c r="F15" s="38">
        <v>8600</v>
      </c>
      <c r="G15" s="38">
        <v>2297</v>
      </c>
      <c r="H15" s="39">
        <f t="shared" si="0"/>
        <v>0.26709302325581402</v>
      </c>
      <c r="I15" s="41" t="s">
        <v>2109</v>
      </c>
      <c r="J15" s="41">
        <f t="shared" si="1"/>
        <v>18</v>
      </c>
    </row>
    <row r="16" spans="2:24" ht="15">
      <c r="C16" s="37" t="s">
        <v>3032</v>
      </c>
      <c r="D16" s="38">
        <v>10</v>
      </c>
      <c r="E16" s="38">
        <v>5843</v>
      </c>
      <c r="F16" s="38">
        <v>5038</v>
      </c>
      <c r="G16" s="38">
        <v>2265</v>
      </c>
      <c r="H16" s="39">
        <f t="shared" si="0"/>
        <v>0.449583167923779</v>
      </c>
      <c r="I16" s="41" t="s">
        <v>2183</v>
      </c>
      <c r="J16" s="41">
        <f t="shared" si="1"/>
        <v>7</v>
      </c>
    </row>
    <row r="17" spans="3:10" ht="15">
      <c r="C17" s="37" t="s">
        <v>3033</v>
      </c>
      <c r="D17" s="38">
        <v>10</v>
      </c>
      <c r="E17" s="38">
        <v>9087</v>
      </c>
      <c r="F17" s="38">
        <v>8372</v>
      </c>
      <c r="G17" s="38">
        <v>2248</v>
      </c>
      <c r="H17" s="39">
        <f t="shared" si="0"/>
        <v>0.26851409460105102</v>
      </c>
      <c r="I17" s="41" t="s">
        <v>2062</v>
      </c>
      <c r="J17" s="41">
        <f t="shared" si="1"/>
        <v>19</v>
      </c>
    </row>
    <row r="18" spans="3:10" ht="15">
      <c r="C18" s="37" t="s">
        <v>3034</v>
      </c>
      <c r="D18" s="38">
        <v>10</v>
      </c>
      <c r="E18" s="38">
        <v>8427</v>
      </c>
      <c r="F18" s="38">
        <v>8071</v>
      </c>
      <c r="G18" s="38">
        <v>2183</v>
      </c>
      <c r="H18" s="39">
        <f t="shared" si="0"/>
        <v>0.270474538471069</v>
      </c>
      <c r="I18" s="41" t="s">
        <v>2116</v>
      </c>
      <c r="J18" s="41">
        <f t="shared" si="1"/>
        <v>13</v>
      </c>
    </row>
    <row r="19" spans="3:10" ht="15">
      <c r="C19" s="37" t="s">
        <v>3035</v>
      </c>
      <c r="D19" s="38">
        <v>10</v>
      </c>
      <c r="E19" s="38">
        <v>14816</v>
      </c>
      <c r="F19" s="38">
        <v>13122</v>
      </c>
      <c r="G19" s="38">
        <v>2141</v>
      </c>
      <c r="H19" s="39">
        <f t="shared" si="0"/>
        <v>0.16316110349032201</v>
      </c>
      <c r="I19" s="41" t="s">
        <v>2053</v>
      </c>
      <c r="J19" s="41">
        <f t="shared" si="1"/>
        <v>9</v>
      </c>
    </row>
    <row r="20" spans="3:10" ht="15">
      <c r="C20" s="37" t="s">
        <v>3036</v>
      </c>
      <c r="D20" s="38">
        <v>9</v>
      </c>
      <c r="E20" s="38">
        <v>723</v>
      </c>
      <c r="F20" s="38">
        <v>644</v>
      </c>
      <c r="G20" s="38">
        <v>2131</v>
      </c>
      <c r="H20" s="39">
        <f t="shared" si="0"/>
        <v>3.3090062111801202</v>
      </c>
      <c r="I20" s="41" t="s">
        <v>2089</v>
      </c>
      <c r="J20" s="41">
        <f t="shared" si="1"/>
        <v>7</v>
      </c>
    </row>
    <row r="21" spans="3:10" ht="15">
      <c r="C21" s="37" t="s">
        <v>3037</v>
      </c>
      <c r="D21" s="38">
        <v>10</v>
      </c>
      <c r="E21" s="38">
        <v>6077</v>
      </c>
      <c r="F21" s="38">
        <v>6160</v>
      </c>
      <c r="G21" s="38">
        <v>2071</v>
      </c>
      <c r="H21" s="39">
        <f t="shared" si="0"/>
        <v>0.336201298701299</v>
      </c>
      <c r="I21" s="41" t="s">
        <v>2102</v>
      </c>
      <c r="J21" s="41">
        <f t="shared" si="1"/>
        <v>19</v>
      </c>
    </row>
    <row r="22" spans="3:10" ht="15">
      <c r="C22" s="37" t="s">
        <v>3038</v>
      </c>
      <c r="D22" s="38">
        <v>10</v>
      </c>
      <c r="E22" s="38">
        <v>4841</v>
      </c>
      <c r="F22" s="38">
        <v>3230</v>
      </c>
      <c r="G22" s="38">
        <v>2038</v>
      </c>
      <c r="H22" s="39">
        <f t="shared" si="0"/>
        <v>0.63095975232198098</v>
      </c>
      <c r="I22" s="41" t="s">
        <v>3039</v>
      </c>
      <c r="J22" s="41">
        <f t="shared" si="1"/>
        <v>2</v>
      </c>
    </row>
    <row r="23" spans="3:10" ht="15">
      <c r="C23" s="37" t="s">
        <v>3040</v>
      </c>
      <c r="D23" s="38">
        <v>10</v>
      </c>
      <c r="E23" s="38">
        <v>24642</v>
      </c>
      <c r="F23" s="38">
        <v>24660</v>
      </c>
      <c r="G23" s="38">
        <v>2002</v>
      </c>
      <c r="H23" s="39">
        <f t="shared" si="0"/>
        <v>8.1184103811841005E-2</v>
      </c>
      <c r="I23" s="41" t="s">
        <v>2116</v>
      </c>
      <c r="J23" s="41">
        <f t="shared" si="1"/>
        <v>13</v>
      </c>
    </row>
    <row r="24" spans="3:10" ht="15">
      <c r="C24" s="37" t="s">
        <v>3041</v>
      </c>
      <c r="D24" s="38">
        <v>10</v>
      </c>
      <c r="E24" s="38">
        <v>5421</v>
      </c>
      <c r="F24" s="38">
        <v>5272</v>
      </c>
      <c r="G24" s="38">
        <v>1968</v>
      </c>
      <c r="H24" s="39">
        <f t="shared" si="0"/>
        <v>0.37329286798179101</v>
      </c>
      <c r="I24" s="41" t="s">
        <v>2109</v>
      </c>
      <c r="J24" s="41">
        <f t="shared" si="1"/>
        <v>18</v>
      </c>
    </row>
    <row r="25" spans="3:10" ht="15">
      <c r="C25" s="37" t="s">
        <v>3042</v>
      </c>
      <c r="D25" s="38">
        <v>10</v>
      </c>
      <c r="E25" s="38">
        <v>6956</v>
      </c>
      <c r="F25" s="38">
        <v>6594</v>
      </c>
      <c r="G25" s="38">
        <v>1945</v>
      </c>
      <c r="H25" s="39">
        <f t="shared" si="0"/>
        <v>0.29496511980588402</v>
      </c>
      <c r="I25" s="41" t="s">
        <v>2102</v>
      </c>
      <c r="J25" s="41">
        <f t="shared" si="1"/>
        <v>19</v>
      </c>
    </row>
    <row r="26" spans="3:10" ht="15">
      <c r="C26" s="37" t="s">
        <v>2159</v>
      </c>
      <c r="D26" s="38">
        <v>10</v>
      </c>
      <c r="E26" s="38">
        <v>4517</v>
      </c>
      <c r="F26" s="38">
        <v>4158</v>
      </c>
      <c r="G26" s="38">
        <v>1883</v>
      </c>
      <c r="H26" s="39">
        <f t="shared" si="0"/>
        <v>0.45286195286195302</v>
      </c>
      <c r="I26" s="41" t="s">
        <v>2055</v>
      </c>
      <c r="J26" s="41">
        <f t="shared" si="1"/>
        <v>13</v>
      </c>
    </row>
    <row r="27" spans="3:10" ht="15">
      <c r="C27" s="37" t="s">
        <v>3043</v>
      </c>
      <c r="D27" s="38">
        <v>10</v>
      </c>
      <c r="E27" s="38">
        <v>3081</v>
      </c>
      <c r="F27" s="38">
        <v>2981</v>
      </c>
      <c r="G27" s="38">
        <v>1863</v>
      </c>
      <c r="H27" s="39">
        <f t="shared" si="0"/>
        <v>0.62495806776249596</v>
      </c>
      <c r="I27" s="41" t="s">
        <v>2069</v>
      </c>
      <c r="J27" s="41">
        <f t="shared" si="1"/>
        <v>2</v>
      </c>
    </row>
    <row r="28" spans="3:10" ht="15">
      <c r="C28" s="37" t="s">
        <v>114</v>
      </c>
      <c r="D28" s="38">
        <v>10</v>
      </c>
      <c r="E28" s="38">
        <v>6115</v>
      </c>
      <c r="F28" s="38">
        <v>5790</v>
      </c>
      <c r="G28" s="38">
        <v>1861</v>
      </c>
      <c r="H28" s="39">
        <f t="shared" si="0"/>
        <v>0.32141623488773702</v>
      </c>
      <c r="I28" s="41" t="s">
        <v>2087</v>
      </c>
      <c r="J28" s="41">
        <f t="shared" si="1"/>
        <v>3</v>
      </c>
    </row>
    <row r="29" spans="3:10" ht="15">
      <c r="C29" s="37" t="s">
        <v>3044</v>
      </c>
      <c r="D29" s="38">
        <v>10</v>
      </c>
      <c r="E29" s="38">
        <v>7792</v>
      </c>
      <c r="F29" s="38">
        <v>7652</v>
      </c>
      <c r="G29" s="38">
        <v>1846</v>
      </c>
      <c r="H29" s="39">
        <f t="shared" si="0"/>
        <v>0.24124411918452701</v>
      </c>
      <c r="I29" s="41" t="s">
        <v>2055</v>
      </c>
      <c r="J29" s="41">
        <f t="shared" si="1"/>
        <v>13</v>
      </c>
    </row>
    <row r="30" spans="3:10" ht="15">
      <c r="C30" s="37" t="s">
        <v>3045</v>
      </c>
      <c r="D30" s="38">
        <v>10</v>
      </c>
      <c r="E30" s="38">
        <v>13754</v>
      </c>
      <c r="F30" s="38">
        <v>13750</v>
      </c>
      <c r="G30" s="38">
        <v>1928</v>
      </c>
      <c r="H30" s="39">
        <f t="shared" si="0"/>
        <v>0.14021818181818199</v>
      </c>
      <c r="I30" s="41" t="s">
        <v>2133</v>
      </c>
      <c r="J30" s="41">
        <f t="shared" si="1"/>
        <v>5</v>
      </c>
    </row>
    <row r="31" spans="3:10" ht="15">
      <c r="C31" s="37" t="s">
        <v>3046</v>
      </c>
      <c r="D31" s="38">
        <v>10</v>
      </c>
      <c r="E31" s="38">
        <v>5397</v>
      </c>
      <c r="F31" s="38">
        <v>6052</v>
      </c>
      <c r="G31" s="38">
        <v>1747</v>
      </c>
      <c r="H31" s="39">
        <f t="shared" si="0"/>
        <v>0.28866490416391299</v>
      </c>
      <c r="I31" s="41" t="s">
        <v>2102</v>
      </c>
      <c r="J31" s="41">
        <f t="shared" si="1"/>
        <v>19</v>
      </c>
    </row>
    <row r="32" spans="3:10" ht="15">
      <c r="C32" s="37" t="s">
        <v>3047</v>
      </c>
      <c r="D32" s="38">
        <v>10</v>
      </c>
      <c r="E32" s="38">
        <v>3350</v>
      </c>
      <c r="F32" s="38">
        <v>3365</v>
      </c>
      <c r="G32" s="38">
        <v>1729</v>
      </c>
      <c r="H32" s="39">
        <f t="shared" si="0"/>
        <v>0.51381872213967295</v>
      </c>
      <c r="I32" s="41" t="s">
        <v>2102</v>
      </c>
      <c r="J32" s="41">
        <f t="shared" si="1"/>
        <v>19</v>
      </c>
    </row>
    <row r="33" spans="3:10" ht="15">
      <c r="C33" s="37" t="s">
        <v>3048</v>
      </c>
      <c r="D33" s="38">
        <v>10</v>
      </c>
      <c r="E33" s="38">
        <v>3704</v>
      </c>
      <c r="F33" s="38">
        <v>3658</v>
      </c>
      <c r="G33" s="38">
        <v>1710</v>
      </c>
      <c r="H33" s="39">
        <f t="shared" si="0"/>
        <v>0.46746856205576798</v>
      </c>
      <c r="I33" s="41" t="s">
        <v>3049</v>
      </c>
      <c r="J33" s="41">
        <f t="shared" si="1"/>
        <v>5</v>
      </c>
    </row>
    <row r="34" spans="3:10" ht="15">
      <c r="C34" s="37" t="s">
        <v>3050</v>
      </c>
      <c r="D34" s="38">
        <v>10</v>
      </c>
      <c r="E34" s="38">
        <v>2531</v>
      </c>
      <c r="F34" s="38">
        <v>2250</v>
      </c>
      <c r="G34" s="38">
        <v>1706</v>
      </c>
      <c r="H34" s="39">
        <f t="shared" si="0"/>
        <v>0.75822222222222202</v>
      </c>
      <c r="I34" s="41" t="s">
        <v>2079</v>
      </c>
      <c r="J34" s="41">
        <f t="shared" si="1"/>
        <v>2</v>
      </c>
    </row>
    <row r="35" spans="3:10" ht="15">
      <c r="C35" s="37" t="s">
        <v>3051</v>
      </c>
      <c r="D35" s="38">
        <v>10</v>
      </c>
      <c r="E35" s="38">
        <v>11619</v>
      </c>
      <c r="F35" s="38">
        <v>11675</v>
      </c>
      <c r="G35" s="38">
        <v>1678</v>
      </c>
      <c r="H35" s="39">
        <f t="shared" si="0"/>
        <v>0.14372591006423999</v>
      </c>
      <c r="I35" s="41" t="s">
        <v>2102</v>
      </c>
      <c r="J35" s="41">
        <f t="shared" si="1"/>
        <v>19</v>
      </c>
    </row>
    <row r="36" spans="3:10" ht="15">
      <c r="C36" s="37" t="s">
        <v>3052</v>
      </c>
      <c r="D36" s="38">
        <v>10</v>
      </c>
      <c r="E36" s="38">
        <v>2875</v>
      </c>
      <c r="F36" s="38">
        <v>2842</v>
      </c>
      <c r="G36" s="38">
        <v>1660</v>
      </c>
      <c r="H36" s="39">
        <f t="shared" si="0"/>
        <v>0.58409570724841697</v>
      </c>
      <c r="I36" s="41" t="s">
        <v>2109</v>
      </c>
      <c r="J36" s="41">
        <f t="shared" si="1"/>
        <v>18</v>
      </c>
    </row>
    <row r="37" spans="3:10" ht="15">
      <c r="C37" s="37" t="s">
        <v>3053</v>
      </c>
      <c r="D37" s="38">
        <v>10</v>
      </c>
      <c r="E37" s="38">
        <v>2517</v>
      </c>
      <c r="F37" s="38">
        <v>2555</v>
      </c>
      <c r="G37" s="38">
        <v>1601</v>
      </c>
      <c r="H37" s="39">
        <f t="shared" si="0"/>
        <v>0.626614481409002</v>
      </c>
      <c r="I37" s="41" t="s">
        <v>2183</v>
      </c>
      <c r="J37" s="41">
        <f t="shared" si="1"/>
        <v>7</v>
      </c>
    </row>
    <row r="38" spans="3:10" ht="15">
      <c r="C38" s="37" t="s">
        <v>3054</v>
      </c>
      <c r="D38" s="38">
        <v>10</v>
      </c>
      <c r="E38" s="38">
        <v>7229</v>
      </c>
      <c r="F38" s="38">
        <v>8835</v>
      </c>
      <c r="G38" s="38">
        <v>1570</v>
      </c>
      <c r="H38" s="39">
        <f t="shared" si="0"/>
        <v>0.17770232031692099</v>
      </c>
      <c r="I38" s="41" t="s">
        <v>2062</v>
      </c>
      <c r="J38" s="41">
        <f t="shared" si="1"/>
        <v>19</v>
      </c>
    </row>
    <row r="39" spans="3:10" ht="15">
      <c r="C39" s="37" t="s">
        <v>3055</v>
      </c>
      <c r="D39" s="38">
        <v>10</v>
      </c>
      <c r="E39" s="38">
        <v>4934</v>
      </c>
      <c r="F39" s="38">
        <v>4942</v>
      </c>
      <c r="G39" s="38">
        <v>1568</v>
      </c>
      <c r="H39" s="39">
        <f t="shared" si="0"/>
        <v>0.31728045325778997</v>
      </c>
      <c r="I39" s="41" t="s">
        <v>2116</v>
      </c>
      <c r="J39" s="41">
        <f t="shared" si="1"/>
        <v>13</v>
      </c>
    </row>
    <row r="40" spans="3:10" ht="15">
      <c r="C40" s="37" t="s">
        <v>3056</v>
      </c>
      <c r="D40" s="38">
        <v>10</v>
      </c>
      <c r="E40" s="38">
        <v>4652</v>
      </c>
      <c r="F40" s="38">
        <v>4157</v>
      </c>
      <c r="G40" s="38">
        <v>1542</v>
      </c>
      <c r="H40" s="39">
        <f t="shared" si="0"/>
        <v>0.370940582150589</v>
      </c>
      <c r="I40" s="41" t="s">
        <v>2060</v>
      </c>
      <c r="J40" s="41">
        <f t="shared" si="1"/>
        <v>12</v>
      </c>
    </row>
    <row r="41" spans="3:10" ht="15">
      <c r="C41" s="37" t="s">
        <v>3057</v>
      </c>
      <c r="D41" s="38">
        <v>10</v>
      </c>
      <c r="E41" s="38">
        <v>12112</v>
      </c>
      <c r="F41" s="38">
        <v>11481</v>
      </c>
      <c r="G41" s="38">
        <v>1515</v>
      </c>
      <c r="H41" s="39">
        <f t="shared" si="0"/>
        <v>0.131957146590018</v>
      </c>
      <c r="I41" s="41" t="s">
        <v>2109</v>
      </c>
      <c r="J41" s="41">
        <f t="shared" si="1"/>
        <v>18</v>
      </c>
    </row>
    <row r="42" spans="3:10" ht="15">
      <c r="C42" s="37" t="s">
        <v>3058</v>
      </c>
      <c r="D42" s="38">
        <v>10</v>
      </c>
      <c r="E42" s="38">
        <v>6361</v>
      </c>
      <c r="F42" s="38">
        <v>5422</v>
      </c>
      <c r="G42" s="38">
        <v>1438</v>
      </c>
      <c r="H42" s="39">
        <f t="shared" si="0"/>
        <v>0.26521578753227598</v>
      </c>
      <c r="I42" s="41" t="s">
        <v>2147</v>
      </c>
      <c r="J42" s="41">
        <f t="shared" si="1"/>
        <v>4</v>
      </c>
    </row>
    <row r="43" spans="3:10" ht="15">
      <c r="C43" s="37" t="s">
        <v>3059</v>
      </c>
      <c r="D43" s="38">
        <v>10</v>
      </c>
      <c r="E43" s="38">
        <v>4698</v>
      </c>
      <c r="F43" s="38">
        <v>4615</v>
      </c>
      <c r="G43" s="38">
        <v>1432</v>
      </c>
      <c r="H43" s="39">
        <f t="shared" si="0"/>
        <v>0.31029252437703098</v>
      </c>
      <c r="I43" s="41" t="s">
        <v>2167</v>
      </c>
      <c r="J43" s="41">
        <f t="shared" si="1"/>
        <v>1</v>
      </c>
    </row>
    <row r="44" spans="3:10" ht="15">
      <c r="C44" s="37" t="s">
        <v>3060</v>
      </c>
      <c r="D44" s="38">
        <v>10</v>
      </c>
      <c r="E44" s="38">
        <v>2616</v>
      </c>
      <c r="F44" s="38">
        <v>2598</v>
      </c>
      <c r="G44" s="38">
        <v>1365</v>
      </c>
      <c r="H44" s="39">
        <f t="shared" si="0"/>
        <v>0.52540415704387999</v>
      </c>
      <c r="I44" s="41" t="s">
        <v>2060</v>
      </c>
      <c r="J44" s="41">
        <f t="shared" si="1"/>
        <v>12</v>
      </c>
    </row>
    <row r="45" spans="3:10" ht="15">
      <c r="C45" s="37" t="s">
        <v>3061</v>
      </c>
      <c r="D45" s="38">
        <v>9</v>
      </c>
      <c r="E45" s="38">
        <v>901</v>
      </c>
      <c r="F45" s="38">
        <v>864</v>
      </c>
      <c r="G45" s="38">
        <v>1433</v>
      </c>
      <c r="H45" s="39">
        <f t="shared" si="0"/>
        <v>1.65856481481481</v>
      </c>
      <c r="I45" s="41" t="s">
        <v>2062</v>
      </c>
      <c r="J45" s="41">
        <f t="shared" si="1"/>
        <v>19</v>
      </c>
    </row>
    <row r="46" spans="3:10" ht="15">
      <c r="C46" s="37" t="s">
        <v>3062</v>
      </c>
      <c r="D46" s="38">
        <v>10</v>
      </c>
      <c r="E46" s="38">
        <v>5068</v>
      </c>
      <c r="F46" s="38">
        <v>5113</v>
      </c>
      <c r="G46" s="38">
        <v>1340</v>
      </c>
      <c r="H46" s="39">
        <f t="shared" si="0"/>
        <v>0.26207705847838803</v>
      </c>
      <c r="I46" s="41" t="s">
        <v>2060</v>
      </c>
      <c r="J46" s="41">
        <f t="shared" si="1"/>
        <v>12</v>
      </c>
    </row>
    <row r="47" spans="3:10" ht="15">
      <c r="C47" s="37" t="s">
        <v>3063</v>
      </c>
      <c r="D47" s="38">
        <v>10</v>
      </c>
      <c r="E47" s="38">
        <v>2643</v>
      </c>
      <c r="F47" s="38">
        <v>2474</v>
      </c>
      <c r="G47" s="38">
        <v>1335</v>
      </c>
      <c r="H47" s="39">
        <f t="shared" si="0"/>
        <v>0.53961196443007298</v>
      </c>
      <c r="I47" s="41" t="s">
        <v>2085</v>
      </c>
      <c r="J47" s="41">
        <f t="shared" si="1"/>
        <v>5</v>
      </c>
    </row>
    <row r="48" spans="3:10" ht="15">
      <c r="C48" s="37" t="s">
        <v>3064</v>
      </c>
      <c r="D48" s="38">
        <v>10</v>
      </c>
      <c r="E48" s="38">
        <v>4364</v>
      </c>
      <c r="F48" s="38">
        <v>3327</v>
      </c>
      <c r="G48" s="38">
        <v>1324</v>
      </c>
      <c r="H48" s="39">
        <f t="shared" si="0"/>
        <v>0.39795611662158098</v>
      </c>
      <c r="I48" s="41" t="s">
        <v>2060</v>
      </c>
      <c r="J48" s="41">
        <f t="shared" si="1"/>
        <v>12</v>
      </c>
    </row>
    <row r="49" spans="3:10" ht="15">
      <c r="C49" s="37" t="s">
        <v>3065</v>
      </c>
      <c r="D49" s="38">
        <v>10</v>
      </c>
      <c r="E49" s="38">
        <v>7032</v>
      </c>
      <c r="F49" s="38">
        <v>6687</v>
      </c>
      <c r="G49" s="38">
        <v>1315</v>
      </c>
      <c r="H49" s="39">
        <f t="shared" si="0"/>
        <v>0.19665021683864201</v>
      </c>
      <c r="I49" s="41" t="s">
        <v>2098</v>
      </c>
      <c r="J49" s="41">
        <f t="shared" si="1"/>
        <v>9</v>
      </c>
    </row>
    <row r="50" spans="3:10" ht="15">
      <c r="C50" s="37" t="s">
        <v>3066</v>
      </c>
      <c r="D50" s="38">
        <v>10</v>
      </c>
      <c r="E50" s="38">
        <v>6134</v>
      </c>
      <c r="F50" s="38">
        <v>6081</v>
      </c>
      <c r="G50" s="38">
        <v>1313</v>
      </c>
      <c r="H50" s="39">
        <f t="shared" si="0"/>
        <v>0.21591843446801501</v>
      </c>
      <c r="I50" s="41" t="s">
        <v>2062</v>
      </c>
      <c r="J50" s="41">
        <f t="shared" si="1"/>
        <v>19</v>
      </c>
    </row>
    <row r="51" spans="3:10" ht="15">
      <c r="C51" s="37" t="s">
        <v>3067</v>
      </c>
      <c r="D51" s="38">
        <v>10</v>
      </c>
      <c r="E51" s="38">
        <v>5673</v>
      </c>
      <c r="F51" s="38">
        <v>5887</v>
      </c>
      <c r="G51" s="38">
        <v>1272</v>
      </c>
      <c r="H51" s="39">
        <f t="shared" si="0"/>
        <v>0.21606930524885301</v>
      </c>
      <c r="I51" s="41" t="s">
        <v>2126</v>
      </c>
      <c r="J51" s="41">
        <f t="shared" si="1"/>
        <v>2</v>
      </c>
    </row>
    <row r="52" spans="3:10" ht="15">
      <c r="C52" s="37" t="s">
        <v>3068</v>
      </c>
      <c r="D52" s="38">
        <v>10</v>
      </c>
      <c r="E52" s="38">
        <v>6943</v>
      </c>
      <c r="F52" s="38">
        <v>7075</v>
      </c>
      <c r="G52" s="38">
        <v>1271</v>
      </c>
      <c r="H52" s="39">
        <f t="shared" si="0"/>
        <v>0.17964664310954101</v>
      </c>
      <c r="I52" s="41" t="s">
        <v>2116</v>
      </c>
      <c r="J52" s="41">
        <f t="shared" si="1"/>
        <v>13</v>
      </c>
    </row>
    <row r="53" spans="3:10" ht="15">
      <c r="C53" s="37" t="s">
        <v>3069</v>
      </c>
      <c r="D53" s="38">
        <v>10</v>
      </c>
      <c r="E53" s="38">
        <v>4830</v>
      </c>
      <c r="F53" s="38">
        <v>4815</v>
      </c>
      <c r="G53" s="38">
        <v>1248</v>
      </c>
      <c r="H53" s="39">
        <f t="shared" si="0"/>
        <v>0.25919003115264799</v>
      </c>
      <c r="I53" s="41" t="s">
        <v>2088</v>
      </c>
      <c r="J53" s="41">
        <f t="shared" si="1"/>
        <v>8</v>
      </c>
    </row>
    <row r="54" spans="3:10" ht="15">
      <c r="C54" s="37" t="s">
        <v>3070</v>
      </c>
      <c r="D54" s="38">
        <v>10</v>
      </c>
      <c r="E54" s="38">
        <v>3282</v>
      </c>
      <c r="F54" s="38">
        <v>3211</v>
      </c>
      <c r="G54" s="38">
        <v>1242</v>
      </c>
      <c r="H54" s="39">
        <f t="shared" si="0"/>
        <v>0.38679539084397402</v>
      </c>
      <c r="I54" s="41" t="s">
        <v>2053</v>
      </c>
      <c r="J54" s="41">
        <f t="shared" si="1"/>
        <v>9</v>
      </c>
    </row>
    <row r="55" spans="3:10" ht="15">
      <c r="C55" s="37" t="s">
        <v>3071</v>
      </c>
      <c r="D55" s="38">
        <v>10</v>
      </c>
      <c r="E55" s="38">
        <v>7173</v>
      </c>
      <c r="F55" s="38">
        <v>6970</v>
      </c>
      <c r="G55" s="38">
        <v>1237</v>
      </c>
      <c r="H55" s="39">
        <f t="shared" si="0"/>
        <v>0.17747489239598299</v>
      </c>
      <c r="I55" s="41" t="s">
        <v>2109</v>
      </c>
      <c r="J55" s="41">
        <f t="shared" si="1"/>
        <v>18</v>
      </c>
    </row>
    <row r="56" spans="3:10" ht="15">
      <c r="C56" s="37" t="s">
        <v>3072</v>
      </c>
      <c r="D56" s="38">
        <v>10</v>
      </c>
      <c r="E56" s="38">
        <v>4848</v>
      </c>
      <c r="F56" s="38">
        <v>4845</v>
      </c>
      <c r="G56" s="38">
        <v>1233</v>
      </c>
      <c r="H56" s="39">
        <f t="shared" si="0"/>
        <v>0.25448916408668698</v>
      </c>
      <c r="I56" s="41" t="s">
        <v>2053</v>
      </c>
      <c r="J56" s="41">
        <f t="shared" si="1"/>
        <v>9</v>
      </c>
    </row>
    <row r="57" spans="3:10" ht="15">
      <c r="C57" s="37" t="s">
        <v>3073</v>
      </c>
      <c r="D57" s="38">
        <v>10</v>
      </c>
      <c r="E57" s="38">
        <v>1800</v>
      </c>
      <c r="F57" s="38">
        <v>1748</v>
      </c>
      <c r="G57" s="38">
        <v>1232</v>
      </c>
      <c r="H57" s="39">
        <f t="shared" si="0"/>
        <v>0.70480549199084697</v>
      </c>
      <c r="I57" s="41" t="s">
        <v>2109</v>
      </c>
      <c r="J57" s="41">
        <f t="shared" si="1"/>
        <v>18</v>
      </c>
    </row>
    <row r="58" spans="3:10" ht="15">
      <c r="C58" s="37" t="s">
        <v>3074</v>
      </c>
      <c r="D58" s="38">
        <v>10</v>
      </c>
      <c r="E58" s="38">
        <v>2296</v>
      </c>
      <c r="F58" s="38">
        <v>2290</v>
      </c>
      <c r="G58" s="38">
        <v>1227</v>
      </c>
      <c r="H58" s="39">
        <f t="shared" si="0"/>
        <v>0.53580786026200899</v>
      </c>
      <c r="I58" s="41" t="s">
        <v>2140</v>
      </c>
      <c r="J58" s="41">
        <f t="shared" si="1"/>
        <v>6</v>
      </c>
    </row>
    <row r="59" spans="3:10" ht="15">
      <c r="C59" s="37" t="s">
        <v>3075</v>
      </c>
      <c r="D59" s="38">
        <v>10</v>
      </c>
      <c r="E59" s="38">
        <v>7649</v>
      </c>
      <c r="F59" s="38">
        <v>7653</v>
      </c>
      <c r="G59" s="38">
        <v>1224</v>
      </c>
      <c r="H59" s="39">
        <f t="shared" si="0"/>
        <v>0.159937279498236</v>
      </c>
      <c r="I59" s="41" t="s">
        <v>2116</v>
      </c>
      <c r="J59" s="41">
        <f t="shared" si="1"/>
        <v>13</v>
      </c>
    </row>
    <row r="60" spans="3:10" ht="15">
      <c r="C60" s="37" t="s">
        <v>3076</v>
      </c>
      <c r="D60" s="38">
        <v>10</v>
      </c>
      <c r="E60" s="38">
        <v>3045</v>
      </c>
      <c r="F60" s="38">
        <v>2714</v>
      </c>
      <c r="G60" s="38">
        <v>1216</v>
      </c>
      <c r="H60" s="39">
        <f t="shared" si="0"/>
        <v>0.448047162859248</v>
      </c>
      <c r="I60" s="41" t="s">
        <v>2133</v>
      </c>
      <c r="J60" s="41">
        <f t="shared" si="1"/>
        <v>5</v>
      </c>
    </row>
    <row r="61" spans="3:10" ht="15">
      <c r="C61" s="37" t="s">
        <v>3077</v>
      </c>
      <c r="D61" s="38">
        <v>10</v>
      </c>
      <c r="E61" s="38">
        <v>4359</v>
      </c>
      <c r="F61" s="38">
        <v>4111</v>
      </c>
      <c r="G61" s="38">
        <v>1214</v>
      </c>
      <c r="H61" s="39">
        <f t="shared" si="0"/>
        <v>0.29530527852104099</v>
      </c>
      <c r="I61" s="41" t="s">
        <v>3078</v>
      </c>
      <c r="J61" s="41">
        <f t="shared" si="1"/>
        <v>1</v>
      </c>
    </row>
    <row r="62" spans="3:10" ht="15">
      <c r="C62" s="37" t="s">
        <v>3079</v>
      </c>
      <c r="D62" s="38">
        <v>10</v>
      </c>
      <c r="E62" s="38">
        <v>1566</v>
      </c>
      <c r="F62" s="38">
        <v>1220</v>
      </c>
      <c r="G62" s="38">
        <v>1175</v>
      </c>
      <c r="H62" s="39">
        <f t="shared" si="0"/>
        <v>0.963114754098361</v>
      </c>
      <c r="I62" s="41" t="s">
        <v>2060</v>
      </c>
      <c r="J62" s="41">
        <f t="shared" si="1"/>
        <v>12</v>
      </c>
    </row>
    <row r="63" spans="3:10" ht="15">
      <c r="C63" s="37" t="s">
        <v>3080</v>
      </c>
      <c r="D63" s="38">
        <v>10</v>
      </c>
      <c r="E63" s="38">
        <v>10601</v>
      </c>
      <c r="F63" s="38">
        <v>9525</v>
      </c>
      <c r="G63" s="38">
        <v>1158</v>
      </c>
      <c r="H63" s="39">
        <f t="shared" si="0"/>
        <v>0.121574803149606</v>
      </c>
      <c r="I63" s="41" t="s">
        <v>2098</v>
      </c>
      <c r="J63" s="41">
        <f t="shared" si="1"/>
        <v>9</v>
      </c>
    </row>
    <row r="64" spans="3:10" ht="15">
      <c r="C64" s="37" t="s">
        <v>3081</v>
      </c>
      <c r="D64" s="38">
        <v>10</v>
      </c>
      <c r="E64" s="38">
        <v>2501</v>
      </c>
      <c r="F64" s="38">
        <v>2202</v>
      </c>
      <c r="G64" s="38">
        <v>1109</v>
      </c>
      <c r="H64" s="39">
        <f t="shared" si="0"/>
        <v>0.50363306085376902</v>
      </c>
      <c r="I64" s="41" t="s">
        <v>2055</v>
      </c>
      <c r="J64" s="41">
        <f t="shared" si="1"/>
        <v>13</v>
      </c>
    </row>
    <row r="65" spans="3:10" ht="15">
      <c r="C65" s="37" t="s">
        <v>3082</v>
      </c>
      <c r="D65" s="38">
        <v>10</v>
      </c>
      <c r="E65" s="38">
        <v>1669</v>
      </c>
      <c r="F65" s="38">
        <v>1256</v>
      </c>
      <c r="G65" s="38">
        <v>1105</v>
      </c>
      <c r="H65" s="39">
        <f t="shared" si="0"/>
        <v>0.87977707006369399</v>
      </c>
      <c r="I65" s="41" t="s">
        <v>2065</v>
      </c>
      <c r="J65" s="41">
        <f t="shared" si="1"/>
        <v>3</v>
      </c>
    </row>
    <row r="66" spans="3:10" ht="15">
      <c r="C66" s="37" t="s">
        <v>3083</v>
      </c>
      <c r="D66" s="38">
        <v>10</v>
      </c>
      <c r="E66" s="38">
        <v>8705</v>
      </c>
      <c r="F66" s="38">
        <v>9113</v>
      </c>
      <c r="G66" s="38">
        <v>1100</v>
      </c>
      <c r="H66" s="39">
        <f t="shared" si="0"/>
        <v>0.120706682760891</v>
      </c>
      <c r="I66" s="41" t="s">
        <v>2148</v>
      </c>
      <c r="J66" s="41">
        <f t="shared" si="1"/>
        <v>6</v>
      </c>
    </row>
    <row r="67" spans="3:10" ht="15">
      <c r="C67" s="37" t="s">
        <v>3084</v>
      </c>
      <c r="D67" s="38">
        <v>10</v>
      </c>
      <c r="E67" s="38">
        <v>3998</v>
      </c>
      <c r="F67" s="38">
        <v>3799</v>
      </c>
      <c r="G67" s="38">
        <v>1097</v>
      </c>
      <c r="H67" s="39">
        <f t="shared" si="0"/>
        <v>0.28876020005264502</v>
      </c>
      <c r="I67" s="41" t="s">
        <v>2102</v>
      </c>
      <c r="J67" s="41">
        <f t="shared" si="1"/>
        <v>19</v>
      </c>
    </row>
    <row r="68" spans="3:10" ht="15">
      <c r="C68" s="37" t="s">
        <v>3085</v>
      </c>
      <c r="D68" s="38">
        <v>10</v>
      </c>
      <c r="E68" s="38">
        <v>8796</v>
      </c>
      <c r="F68" s="38">
        <v>5832</v>
      </c>
      <c r="G68" s="38">
        <v>1079</v>
      </c>
      <c r="H68" s="39">
        <f t="shared" si="0"/>
        <v>0.18501371742112499</v>
      </c>
      <c r="I68" s="41" t="s">
        <v>2074</v>
      </c>
      <c r="J68" s="41">
        <f t="shared" si="1"/>
        <v>4</v>
      </c>
    </row>
    <row r="69" spans="3:10" ht="15">
      <c r="C69" s="37" t="s">
        <v>3086</v>
      </c>
      <c r="D69" s="38">
        <v>10</v>
      </c>
      <c r="E69" s="38">
        <v>2156</v>
      </c>
      <c r="F69" s="38">
        <v>1903</v>
      </c>
      <c r="G69" s="38">
        <v>1048</v>
      </c>
      <c r="H69" s="39">
        <f t="shared" ref="H69:H132" si="2">IF(F69&lt;&gt;"",G69/F69,0)</f>
        <v>0.55070940620073605</v>
      </c>
      <c r="I69" s="41" t="s">
        <v>2098</v>
      </c>
      <c r="J69" s="41">
        <f t="shared" ref="J69:J132" si="3">IF(I69&lt;&gt;"",COUNTIF(I:I,I69),"")</f>
        <v>9</v>
      </c>
    </row>
    <row r="70" spans="3:10" ht="15">
      <c r="C70" s="37" t="s">
        <v>3087</v>
      </c>
      <c r="D70" s="38">
        <v>10</v>
      </c>
      <c r="E70" s="38">
        <v>5747</v>
      </c>
      <c r="F70" s="38">
        <v>5835</v>
      </c>
      <c r="G70" s="38">
        <v>1137</v>
      </c>
      <c r="H70" s="39">
        <f t="shared" si="2"/>
        <v>0.19485861182519301</v>
      </c>
      <c r="I70" s="41" t="s">
        <v>2148</v>
      </c>
      <c r="J70" s="41">
        <f t="shared" si="3"/>
        <v>6</v>
      </c>
    </row>
    <row r="71" spans="3:10" ht="15">
      <c r="C71" s="37" t="s">
        <v>3088</v>
      </c>
      <c r="D71" s="38">
        <v>10</v>
      </c>
      <c r="E71" s="38">
        <v>1688</v>
      </c>
      <c r="F71" s="38">
        <v>1360</v>
      </c>
      <c r="G71" s="38">
        <v>1033</v>
      </c>
      <c r="H71" s="39">
        <f t="shared" si="2"/>
        <v>0.75955882352941195</v>
      </c>
      <c r="I71" s="41" t="s">
        <v>2109</v>
      </c>
      <c r="J71" s="41">
        <f t="shared" si="3"/>
        <v>18</v>
      </c>
    </row>
    <row r="72" spans="3:10" ht="15">
      <c r="C72" s="37" t="s">
        <v>3089</v>
      </c>
      <c r="D72" s="38">
        <v>10</v>
      </c>
      <c r="E72" s="38">
        <v>4576</v>
      </c>
      <c r="F72" s="38">
        <v>3091</v>
      </c>
      <c r="G72" s="38">
        <v>1028</v>
      </c>
      <c r="H72" s="39">
        <f t="shared" si="2"/>
        <v>0.33257845357489502</v>
      </c>
      <c r="I72" s="41" t="s">
        <v>2140</v>
      </c>
      <c r="J72" s="41">
        <f t="shared" si="3"/>
        <v>6</v>
      </c>
    </row>
    <row r="73" spans="3:10" ht="15">
      <c r="C73" s="37" t="s">
        <v>3090</v>
      </c>
      <c r="D73" s="38">
        <v>10</v>
      </c>
      <c r="E73" s="38">
        <v>2828</v>
      </c>
      <c r="F73" s="38">
        <v>2659</v>
      </c>
      <c r="G73" s="38">
        <v>1026</v>
      </c>
      <c r="H73" s="39">
        <f t="shared" si="2"/>
        <v>0.38585934561865398</v>
      </c>
      <c r="I73" s="41" t="s">
        <v>2074</v>
      </c>
      <c r="J73" s="41">
        <f t="shared" si="3"/>
        <v>4</v>
      </c>
    </row>
    <row r="74" spans="3:10" ht="15">
      <c r="C74" s="37" t="s">
        <v>3091</v>
      </c>
      <c r="D74" s="38">
        <v>10</v>
      </c>
      <c r="E74" s="38">
        <v>2890</v>
      </c>
      <c r="F74" s="38">
        <v>2881</v>
      </c>
      <c r="G74" s="38">
        <v>1025</v>
      </c>
      <c r="H74" s="39">
        <f t="shared" si="2"/>
        <v>0.35577924331829203</v>
      </c>
      <c r="I74" s="41" t="s">
        <v>2060</v>
      </c>
      <c r="J74" s="41">
        <f t="shared" si="3"/>
        <v>12</v>
      </c>
    </row>
    <row r="75" spans="3:10" ht="15">
      <c r="C75" s="37" t="s">
        <v>3092</v>
      </c>
      <c r="D75" s="38">
        <v>10</v>
      </c>
      <c r="E75" s="38">
        <v>3132</v>
      </c>
      <c r="F75" s="38">
        <v>3072</v>
      </c>
      <c r="G75" s="38">
        <v>1006</v>
      </c>
      <c r="H75" s="39">
        <f t="shared" si="2"/>
        <v>0.32747395833333298</v>
      </c>
      <c r="I75" s="41" t="s">
        <v>3093</v>
      </c>
      <c r="J75" s="41">
        <f t="shared" si="3"/>
        <v>3</v>
      </c>
    </row>
    <row r="76" spans="3:10" ht="15">
      <c r="C76" s="37" t="s">
        <v>3094</v>
      </c>
      <c r="D76" s="38">
        <v>10</v>
      </c>
      <c r="E76" s="38">
        <v>3483</v>
      </c>
      <c r="F76" s="38">
        <v>2523</v>
      </c>
      <c r="G76" s="38">
        <v>998</v>
      </c>
      <c r="H76" s="39">
        <f t="shared" si="2"/>
        <v>0.39556084026951999</v>
      </c>
      <c r="I76" s="41" t="s">
        <v>3095</v>
      </c>
      <c r="J76" s="41">
        <f t="shared" si="3"/>
        <v>2</v>
      </c>
    </row>
    <row r="77" spans="3:10" ht="15">
      <c r="C77" s="37" t="s">
        <v>3096</v>
      </c>
      <c r="D77" s="38">
        <v>10</v>
      </c>
      <c r="E77" s="38">
        <v>2013</v>
      </c>
      <c r="F77" s="38">
        <v>2019</v>
      </c>
      <c r="G77" s="38">
        <v>994</v>
      </c>
      <c r="H77" s="39">
        <f t="shared" si="2"/>
        <v>0.49232293214462602</v>
      </c>
      <c r="I77" s="41" t="s">
        <v>2102</v>
      </c>
      <c r="J77" s="41">
        <f t="shared" si="3"/>
        <v>19</v>
      </c>
    </row>
    <row r="78" spans="3:10" ht="15">
      <c r="C78" s="37" t="s">
        <v>3097</v>
      </c>
      <c r="D78" s="38">
        <v>10</v>
      </c>
      <c r="E78" s="38">
        <v>2422</v>
      </c>
      <c r="F78" s="38">
        <v>2494</v>
      </c>
      <c r="G78" s="38">
        <v>993</v>
      </c>
      <c r="H78" s="39">
        <f t="shared" si="2"/>
        <v>0.39815557337610302</v>
      </c>
      <c r="I78" s="41" t="s">
        <v>2065</v>
      </c>
      <c r="J78" s="41">
        <f t="shared" si="3"/>
        <v>3</v>
      </c>
    </row>
    <row r="79" spans="3:10" ht="15">
      <c r="C79" s="37" t="s">
        <v>3098</v>
      </c>
      <c r="D79" s="38">
        <v>10</v>
      </c>
      <c r="E79" s="38">
        <v>4055</v>
      </c>
      <c r="F79" s="38">
        <v>3425</v>
      </c>
      <c r="G79" s="38">
        <v>985</v>
      </c>
      <c r="H79" s="39">
        <f t="shared" si="2"/>
        <v>0.28759124087591198</v>
      </c>
      <c r="I79" s="41" t="s">
        <v>2055</v>
      </c>
      <c r="J79" s="41">
        <f t="shared" si="3"/>
        <v>13</v>
      </c>
    </row>
    <row r="80" spans="3:10" ht="15">
      <c r="C80" s="37" t="s">
        <v>3099</v>
      </c>
      <c r="D80" s="38">
        <v>10</v>
      </c>
      <c r="E80" s="38">
        <v>2253</v>
      </c>
      <c r="F80" s="38">
        <v>2275</v>
      </c>
      <c r="G80" s="38">
        <v>971</v>
      </c>
      <c r="H80" s="39">
        <f t="shared" si="2"/>
        <v>0.42681318681318697</v>
      </c>
      <c r="I80" s="41" t="s">
        <v>2088</v>
      </c>
      <c r="J80" s="41">
        <f t="shared" si="3"/>
        <v>8</v>
      </c>
    </row>
    <row r="81" spans="3:10" ht="15">
      <c r="C81" s="42" t="s">
        <v>2129</v>
      </c>
      <c r="D81" s="38">
        <v>10</v>
      </c>
      <c r="E81" s="38">
        <v>4216</v>
      </c>
      <c r="F81" s="38">
        <v>2730</v>
      </c>
      <c r="G81" s="38">
        <v>971</v>
      </c>
      <c r="H81" s="39">
        <f t="shared" si="2"/>
        <v>0.35567765567765602</v>
      </c>
      <c r="I81" s="41" t="s">
        <v>2090</v>
      </c>
      <c r="J81" s="41">
        <f t="shared" si="3"/>
        <v>3</v>
      </c>
    </row>
    <row r="82" spans="3:10" ht="15">
      <c r="C82" s="37" t="s">
        <v>731</v>
      </c>
      <c r="D82" s="38">
        <v>10</v>
      </c>
      <c r="E82" s="38">
        <v>5430</v>
      </c>
      <c r="F82" s="38">
        <v>5978</v>
      </c>
      <c r="G82" s="38">
        <v>957</v>
      </c>
      <c r="H82" s="39">
        <f t="shared" si="2"/>
        <v>0.16008698561391799</v>
      </c>
      <c r="I82" s="41" t="s">
        <v>2109</v>
      </c>
      <c r="J82" s="41">
        <f t="shared" si="3"/>
        <v>18</v>
      </c>
    </row>
    <row r="83" spans="3:10" ht="15">
      <c r="C83" s="37" t="s">
        <v>3100</v>
      </c>
      <c r="D83" s="38">
        <v>10</v>
      </c>
      <c r="E83" s="38">
        <v>2202</v>
      </c>
      <c r="F83" s="38">
        <v>2023</v>
      </c>
      <c r="G83" s="38">
        <v>950</v>
      </c>
      <c r="H83" s="39">
        <f t="shared" si="2"/>
        <v>0.469599604547701</v>
      </c>
      <c r="I83" s="41" t="s">
        <v>2109</v>
      </c>
      <c r="J83" s="41">
        <f t="shared" si="3"/>
        <v>18</v>
      </c>
    </row>
    <row r="84" spans="3:10" ht="15">
      <c r="C84" s="37" t="s">
        <v>3101</v>
      </c>
      <c r="D84" s="38">
        <v>10</v>
      </c>
      <c r="E84" s="38">
        <v>2339</v>
      </c>
      <c r="F84" s="38">
        <v>2294</v>
      </c>
      <c r="G84" s="38">
        <v>950</v>
      </c>
      <c r="H84" s="39">
        <f t="shared" si="2"/>
        <v>0.41412380122057502</v>
      </c>
      <c r="I84" s="41" t="s">
        <v>2089</v>
      </c>
      <c r="J84" s="41">
        <f t="shared" si="3"/>
        <v>7</v>
      </c>
    </row>
    <row r="85" spans="3:10" ht="15">
      <c r="C85" s="37" t="s">
        <v>3102</v>
      </c>
      <c r="D85" s="38">
        <v>10</v>
      </c>
      <c r="E85" s="38">
        <v>1702</v>
      </c>
      <c r="F85" s="38">
        <v>1570</v>
      </c>
      <c r="G85" s="38">
        <v>946</v>
      </c>
      <c r="H85" s="39">
        <f t="shared" si="2"/>
        <v>0.60254777070063703</v>
      </c>
      <c r="I85" s="41" t="s">
        <v>2109</v>
      </c>
      <c r="J85" s="41">
        <f t="shared" si="3"/>
        <v>18</v>
      </c>
    </row>
    <row r="86" spans="3:10" ht="15">
      <c r="C86" s="37" t="s">
        <v>3103</v>
      </c>
      <c r="D86" s="38">
        <v>10</v>
      </c>
      <c r="E86" s="38">
        <v>2012</v>
      </c>
      <c r="F86" s="38">
        <v>1844</v>
      </c>
      <c r="G86" s="38">
        <v>935</v>
      </c>
      <c r="H86" s="39">
        <f t="shared" si="2"/>
        <v>0.50704989154013003</v>
      </c>
      <c r="I86" s="41" t="s">
        <v>2116</v>
      </c>
      <c r="J86" s="41">
        <f t="shared" si="3"/>
        <v>13</v>
      </c>
    </row>
    <row r="87" spans="3:10" ht="15">
      <c r="C87" s="37" t="s">
        <v>3104</v>
      </c>
      <c r="D87" s="38">
        <v>10</v>
      </c>
      <c r="E87" s="38">
        <v>2800</v>
      </c>
      <c r="F87" s="38">
        <v>2762</v>
      </c>
      <c r="G87" s="38">
        <v>935</v>
      </c>
      <c r="H87" s="39">
        <f t="shared" si="2"/>
        <v>0.338522809558291</v>
      </c>
      <c r="I87" s="41" t="s">
        <v>2053</v>
      </c>
      <c r="J87" s="41">
        <f t="shared" si="3"/>
        <v>9</v>
      </c>
    </row>
    <row r="88" spans="3:10" ht="15">
      <c r="C88" s="37" t="s">
        <v>3105</v>
      </c>
      <c r="D88" s="38">
        <v>10</v>
      </c>
      <c r="E88" s="38">
        <v>1739</v>
      </c>
      <c r="F88" s="38">
        <v>1843</v>
      </c>
      <c r="G88" s="38">
        <v>927</v>
      </c>
      <c r="H88" s="39">
        <f t="shared" si="2"/>
        <v>0.50298426478567504</v>
      </c>
      <c r="I88" s="41" t="s">
        <v>2098</v>
      </c>
      <c r="J88" s="41">
        <f t="shared" si="3"/>
        <v>9</v>
      </c>
    </row>
    <row r="89" spans="3:10" ht="15">
      <c r="C89" s="37" t="s">
        <v>3106</v>
      </c>
      <c r="D89" s="38">
        <v>10</v>
      </c>
      <c r="E89" s="38">
        <v>2468</v>
      </c>
      <c r="F89" s="38">
        <v>2497</v>
      </c>
      <c r="G89" s="38">
        <v>925</v>
      </c>
      <c r="H89" s="39">
        <f t="shared" si="2"/>
        <v>0.37044453344012801</v>
      </c>
      <c r="I89" s="41" t="s">
        <v>2085</v>
      </c>
      <c r="J89" s="41">
        <f t="shared" si="3"/>
        <v>5</v>
      </c>
    </row>
    <row r="90" spans="3:10" ht="15">
      <c r="C90" s="37" t="s">
        <v>3107</v>
      </c>
      <c r="D90" s="38">
        <v>10</v>
      </c>
      <c r="E90" s="38">
        <v>2849</v>
      </c>
      <c r="F90" s="38">
        <v>2544</v>
      </c>
      <c r="G90" s="38">
        <v>912</v>
      </c>
      <c r="H90" s="39">
        <f t="shared" si="2"/>
        <v>0.35849056603773599</v>
      </c>
      <c r="I90" s="41" t="s">
        <v>2087</v>
      </c>
      <c r="J90" s="41">
        <f t="shared" si="3"/>
        <v>3</v>
      </c>
    </row>
    <row r="91" spans="3:10" ht="15">
      <c r="C91" s="37" t="s">
        <v>3108</v>
      </c>
      <c r="D91" s="38">
        <v>10</v>
      </c>
      <c r="E91" s="38">
        <v>6305</v>
      </c>
      <c r="F91" s="38">
        <v>5473</v>
      </c>
      <c r="G91" s="38">
        <v>893</v>
      </c>
      <c r="H91" s="39">
        <f t="shared" si="2"/>
        <v>0.16316462634752399</v>
      </c>
      <c r="I91" s="41" t="s">
        <v>2109</v>
      </c>
      <c r="J91" s="41">
        <f t="shared" si="3"/>
        <v>18</v>
      </c>
    </row>
    <row r="92" spans="3:10" ht="15">
      <c r="C92" s="37" t="s">
        <v>3109</v>
      </c>
      <c r="D92" s="38">
        <v>10</v>
      </c>
      <c r="E92" s="38">
        <v>2301</v>
      </c>
      <c r="F92" s="38">
        <v>1907</v>
      </c>
      <c r="G92" s="38">
        <v>889</v>
      </c>
      <c r="H92" s="39">
        <f t="shared" si="2"/>
        <v>0.46617724174095398</v>
      </c>
      <c r="I92" s="41" t="s">
        <v>2140</v>
      </c>
      <c r="J92" s="41">
        <f t="shared" si="3"/>
        <v>6</v>
      </c>
    </row>
    <row r="93" spans="3:10" ht="15">
      <c r="C93" s="37" t="s">
        <v>3110</v>
      </c>
      <c r="D93" s="38">
        <v>10</v>
      </c>
      <c r="E93" s="38">
        <v>2124</v>
      </c>
      <c r="F93" s="38">
        <v>2239</v>
      </c>
      <c r="G93" s="38">
        <v>865</v>
      </c>
      <c r="H93" s="39">
        <f t="shared" si="2"/>
        <v>0.38633318445734699</v>
      </c>
      <c r="I93" s="41" t="s">
        <v>2062</v>
      </c>
      <c r="J93" s="41">
        <f t="shared" si="3"/>
        <v>19</v>
      </c>
    </row>
    <row r="94" spans="3:10" ht="15">
      <c r="C94" s="37" t="s">
        <v>3111</v>
      </c>
      <c r="D94" s="38">
        <v>9</v>
      </c>
      <c r="E94" s="38">
        <v>1020</v>
      </c>
      <c r="F94" s="38">
        <v>823</v>
      </c>
      <c r="G94" s="38">
        <v>860</v>
      </c>
      <c r="H94" s="39">
        <f t="shared" si="2"/>
        <v>1.044957472661</v>
      </c>
      <c r="I94" s="41" t="s">
        <v>2089</v>
      </c>
      <c r="J94" s="41">
        <f t="shared" si="3"/>
        <v>7</v>
      </c>
    </row>
    <row r="95" spans="3:10" ht="15">
      <c r="C95" s="37" t="s">
        <v>3112</v>
      </c>
      <c r="D95" s="38">
        <v>10</v>
      </c>
      <c r="E95" s="38">
        <v>6724</v>
      </c>
      <c r="F95" s="38">
        <v>6431</v>
      </c>
      <c r="G95" s="38">
        <v>848</v>
      </c>
      <c r="H95" s="39">
        <f t="shared" si="2"/>
        <v>0.13186129684341499</v>
      </c>
      <c r="I95" s="41" t="s">
        <v>2062</v>
      </c>
      <c r="J95" s="41">
        <f t="shared" si="3"/>
        <v>19</v>
      </c>
    </row>
    <row r="96" spans="3:10" ht="15">
      <c r="C96" s="37" t="s">
        <v>3113</v>
      </c>
      <c r="D96" s="38">
        <v>10</v>
      </c>
      <c r="E96" s="38">
        <v>1433</v>
      </c>
      <c r="F96" s="38">
        <v>1258</v>
      </c>
      <c r="G96" s="38">
        <v>846</v>
      </c>
      <c r="H96" s="39">
        <f t="shared" si="2"/>
        <v>0.67249602543720199</v>
      </c>
      <c r="I96" s="41" t="s">
        <v>2060</v>
      </c>
      <c r="J96" s="41">
        <f t="shared" si="3"/>
        <v>12</v>
      </c>
    </row>
    <row r="97" spans="3:10" ht="15">
      <c r="C97" s="37" t="s">
        <v>3114</v>
      </c>
      <c r="D97" s="38">
        <v>10</v>
      </c>
      <c r="E97" s="38">
        <v>2086</v>
      </c>
      <c r="F97" s="38">
        <v>1373</v>
      </c>
      <c r="G97" s="38">
        <v>836</v>
      </c>
      <c r="H97" s="39">
        <f t="shared" si="2"/>
        <v>0.60888565185724697</v>
      </c>
      <c r="I97" s="41" t="s">
        <v>2062</v>
      </c>
      <c r="J97" s="41">
        <f t="shared" si="3"/>
        <v>19</v>
      </c>
    </row>
    <row r="98" spans="3:10" ht="15">
      <c r="C98" s="37" t="s">
        <v>3115</v>
      </c>
      <c r="D98" s="38">
        <v>10</v>
      </c>
      <c r="E98" s="38">
        <v>394</v>
      </c>
      <c r="F98" s="38">
        <v>328</v>
      </c>
      <c r="G98" s="38">
        <v>830</v>
      </c>
      <c r="H98" s="39">
        <f t="shared" si="2"/>
        <v>2.5304878048780499</v>
      </c>
      <c r="I98" s="41" t="s">
        <v>2089</v>
      </c>
      <c r="J98" s="41">
        <f t="shared" si="3"/>
        <v>7</v>
      </c>
    </row>
    <row r="99" spans="3:10" ht="15">
      <c r="C99" s="37" t="s">
        <v>3116</v>
      </c>
      <c r="D99" s="38">
        <v>10</v>
      </c>
      <c r="E99" s="38">
        <v>3395</v>
      </c>
      <c r="F99" s="38">
        <v>2087</v>
      </c>
      <c r="G99" s="38">
        <v>828</v>
      </c>
      <c r="H99" s="39">
        <f t="shared" si="2"/>
        <v>0.39674173454719702</v>
      </c>
      <c r="I99" s="41" t="s">
        <v>2062</v>
      </c>
      <c r="J99" s="41">
        <f t="shared" si="3"/>
        <v>19</v>
      </c>
    </row>
    <row r="100" spans="3:10" ht="15">
      <c r="C100" s="37" t="s">
        <v>3117</v>
      </c>
      <c r="D100" s="38">
        <v>10</v>
      </c>
      <c r="E100" s="38">
        <v>2613</v>
      </c>
      <c r="F100" s="38">
        <v>2526</v>
      </c>
      <c r="G100" s="38">
        <v>828</v>
      </c>
      <c r="H100" s="39">
        <f t="shared" si="2"/>
        <v>0.327790973871734</v>
      </c>
      <c r="I100" s="41" t="s">
        <v>2089</v>
      </c>
      <c r="J100" s="41">
        <f t="shared" si="3"/>
        <v>7</v>
      </c>
    </row>
    <row r="101" spans="3:10" ht="15">
      <c r="C101" s="37" t="s">
        <v>3118</v>
      </c>
      <c r="D101" s="38">
        <v>10</v>
      </c>
      <c r="E101" s="38">
        <v>2543</v>
      </c>
      <c r="F101" s="38">
        <v>2410</v>
      </c>
      <c r="G101" s="38">
        <v>816</v>
      </c>
      <c r="H101" s="39">
        <f t="shared" si="2"/>
        <v>0.338589211618257</v>
      </c>
      <c r="I101" s="41" t="s">
        <v>2147</v>
      </c>
      <c r="J101" s="41">
        <f t="shared" si="3"/>
        <v>4</v>
      </c>
    </row>
    <row r="102" spans="3:10" ht="15">
      <c r="C102" s="37" t="s">
        <v>3119</v>
      </c>
      <c r="D102" s="38">
        <v>10</v>
      </c>
      <c r="E102" s="38">
        <v>1795</v>
      </c>
      <c r="F102" s="38">
        <v>1484</v>
      </c>
      <c r="G102" s="38">
        <v>815</v>
      </c>
      <c r="H102" s="39">
        <f t="shared" si="2"/>
        <v>0.549191374663073</v>
      </c>
      <c r="I102" s="41" t="s">
        <v>2065</v>
      </c>
      <c r="J102" s="41">
        <f t="shared" si="3"/>
        <v>3</v>
      </c>
    </row>
    <row r="103" spans="3:10" ht="15">
      <c r="C103" s="37" t="s">
        <v>3120</v>
      </c>
      <c r="D103" s="38">
        <v>10</v>
      </c>
      <c r="E103" s="38">
        <v>3111</v>
      </c>
      <c r="F103" s="38">
        <v>3146</v>
      </c>
      <c r="G103" s="38">
        <v>811</v>
      </c>
      <c r="H103" s="39">
        <f t="shared" si="2"/>
        <v>0.25778766687857602</v>
      </c>
      <c r="I103" s="41" t="s">
        <v>2062</v>
      </c>
      <c r="J103" s="41">
        <f t="shared" si="3"/>
        <v>19</v>
      </c>
    </row>
    <row r="104" spans="3:10" ht="15">
      <c r="C104" s="37" t="s">
        <v>3121</v>
      </c>
      <c r="D104" s="38">
        <v>10</v>
      </c>
      <c r="E104" s="38">
        <v>2306</v>
      </c>
      <c r="F104" s="38">
        <v>2348</v>
      </c>
      <c r="G104" s="38">
        <v>803</v>
      </c>
      <c r="H104" s="39">
        <f t="shared" si="2"/>
        <v>0.34199318568994902</v>
      </c>
      <c r="I104" s="41" t="s">
        <v>2102</v>
      </c>
      <c r="J104" s="41">
        <f t="shared" si="3"/>
        <v>19</v>
      </c>
    </row>
    <row r="105" spans="3:10" ht="15">
      <c r="C105" s="37" t="s">
        <v>3122</v>
      </c>
      <c r="D105" s="38">
        <v>10</v>
      </c>
      <c r="E105" s="38">
        <v>1940</v>
      </c>
      <c r="F105" s="38">
        <v>1880</v>
      </c>
      <c r="G105" s="38">
        <v>802</v>
      </c>
      <c r="H105" s="39">
        <f t="shared" si="2"/>
        <v>0.42659574468085099</v>
      </c>
      <c r="I105" s="41" t="s">
        <v>3095</v>
      </c>
      <c r="J105" s="41">
        <f t="shared" si="3"/>
        <v>2</v>
      </c>
    </row>
    <row r="106" spans="3:10" ht="15">
      <c r="C106" s="37" t="s">
        <v>3123</v>
      </c>
      <c r="D106" s="38">
        <v>9</v>
      </c>
      <c r="E106" s="38">
        <v>1346</v>
      </c>
      <c r="F106" s="38">
        <v>907</v>
      </c>
      <c r="G106" s="38">
        <v>801</v>
      </c>
      <c r="H106" s="39">
        <f t="shared" si="2"/>
        <v>0.88313120176405702</v>
      </c>
      <c r="I106" s="41" t="s">
        <v>2183</v>
      </c>
      <c r="J106" s="41">
        <f t="shared" si="3"/>
        <v>7</v>
      </c>
    </row>
    <row r="107" spans="3:10" ht="15">
      <c r="C107" s="37" t="s">
        <v>3124</v>
      </c>
      <c r="D107" s="38">
        <v>10</v>
      </c>
      <c r="E107" s="38">
        <v>2675</v>
      </c>
      <c r="F107" s="38">
        <v>2724</v>
      </c>
      <c r="G107" s="38">
        <v>793</v>
      </c>
      <c r="H107" s="39">
        <f t="shared" si="2"/>
        <v>0.291116005873715</v>
      </c>
      <c r="I107" s="41" t="s">
        <v>2102</v>
      </c>
      <c r="J107" s="41">
        <f t="shared" si="3"/>
        <v>19</v>
      </c>
    </row>
    <row r="108" spans="3:10" ht="15">
      <c r="C108" s="37" t="s">
        <v>3125</v>
      </c>
      <c r="D108" s="38">
        <v>10</v>
      </c>
      <c r="E108" s="38">
        <v>1505</v>
      </c>
      <c r="F108" s="38">
        <v>1317</v>
      </c>
      <c r="G108" s="38">
        <v>789</v>
      </c>
      <c r="H108" s="39">
        <f t="shared" si="2"/>
        <v>0.599088838268793</v>
      </c>
      <c r="I108" s="41" t="s">
        <v>2109</v>
      </c>
      <c r="J108" s="41">
        <f t="shared" si="3"/>
        <v>18</v>
      </c>
    </row>
    <row r="109" spans="3:10" ht="15">
      <c r="C109" s="37" t="s">
        <v>3126</v>
      </c>
      <c r="D109" s="38">
        <v>10</v>
      </c>
      <c r="E109" s="38">
        <v>2746</v>
      </c>
      <c r="F109" s="38">
        <v>2474</v>
      </c>
      <c r="G109" s="38">
        <v>788</v>
      </c>
      <c r="H109" s="39">
        <f t="shared" si="2"/>
        <v>0.31851253031527899</v>
      </c>
      <c r="I109" s="41" t="s">
        <v>2055</v>
      </c>
      <c r="J109" s="41">
        <f t="shared" si="3"/>
        <v>13</v>
      </c>
    </row>
    <row r="110" spans="3:10" ht="15">
      <c r="C110" s="37" t="s">
        <v>99</v>
      </c>
      <c r="D110" s="38">
        <v>10</v>
      </c>
      <c r="E110" s="38">
        <v>1334</v>
      </c>
      <c r="F110" s="38">
        <v>1232</v>
      </c>
      <c r="G110" s="38">
        <v>785</v>
      </c>
      <c r="H110" s="39">
        <f t="shared" si="2"/>
        <v>0.63717532467532501</v>
      </c>
      <c r="I110" s="41" t="s">
        <v>2111</v>
      </c>
      <c r="J110" s="41">
        <f t="shared" si="3"/>
        <v>8</v>
      </c>
    </row>
    <row r="111" spans="3:10" ht="15">
      <c r="C111" s="37" t="s">
        <v>3127</v>
      </c>
      <c r="D111" s="38">
        <v>10</v>
      </c>
      <c r="E111" s="38">
        <v>2283</v>
      </c>
      <c r="F111" s="38">
        <v>1409</v>
      </c>
      <c r="G111" s="38">
        <v>773</v>
      </c>
      <c r="H111" s="39">
        <f t="shared" si="2"/>
        <v>0.54861603974450002</v>
      </c>
      <c r="I111" s="41" t="s">
        <v>2140</v>
      </c>
      <c r="J111" s="41">
        <f t="shared" si="3"/>
        <v>6</v>
      </c>
    </row>
    <row r="112" spans="3:10" ht="15">
      <c r="C112" s="37" t="s">
        <v>3128</v>
      </c>
      <c r="D112" s="38">
        <v>10</v>
      </c>
      <c r="E112" s="38">
        <v>2315</v>
      </c>
      <c r="F112" s="38">
        <v>2188</v>
      </c>
      <c r="G112" s="38">
        <v>771</v>
      </c>
      <c r="H112" s="39">
        <f t="shared" si="2"/>
        <v>0.35237659963436901</v>
      </c>
      <c r="I112" s="41" t="s">
        <v>2053</v>
      </c>
      <c r="J112" s="41">
        <f t="shared" si="3"/>
        <v>9</v>
      </c>
    </row>
    <row r="113" spans="3:11" ht="15">
      <c r="C113" s="37" t="s">
        <v>3129</v>
      </c>
      <c r="D113" s="38">
        <v>10</v>
      </c>
      <c r="E113" s="38">
        <v>1841</v>
      </c>
      <c r="F113" s="38">
        <v>1857</v>
      </c>
      <c r="G113" s="38">
        <v>753</v>
      </c>
      <c r="H113" s="39">
        <f t="shared" si="2"/>
        <v>0.40549273021001597</v>
      </c>
      <c r="I113" s="41" t="s">
        <v>2062</v>
      </c>
      <c r="J113" s="41">
        <f t="shared" si="3"/>
        <v>19</v>
      </c>
    </row>
    <row r="114" spans="3:11" ht="15">
      <c r="C114" s="37" t="s">
        <v>3130</v>
      </c>
      <c r="D114" s="38">
        <v>10</v>
      </c>
      <c r="E114" s="38">
        <v>3028</v>
      </c>
      <c r="F114" s="38">
        <v>2839</v>
      </c>
      <c r="G114" s="38">
        <v>752</v>
      </c>
      <c r="H114" s="39">
        <f t="shared" si="2"/>
        <v>0.26488200070447299</v>
      </c>
      <c r="I114" s="41" t="s">
        <v>2116</v>
      </c>
      <c r="J114" s="41">
        <f t="shared" si="3"/>
        <v>13</v>
      </c>
    </row>
    <row r="115" spans="3:11" ht="15">
      <c r="C115" s="42" t="s">
        <v>2005</v>
      </c>
      <c r="D115" s="38">
        <v>10</v>
      </c>
      <c r="E115" s="38">
        <v>4098</v>
      </c>
      <c r="F115" s="38">
        <v>3668</v>
      </c>
      <c r="G115" s="38">
        <v>751</v>
      </c>
      <c r="H115" s="39">
        <f t="shared" si="2"/>
        <v>0.20474372955289</v>
      </c>
      <c r="I115" s="41" t="s">
        <v>2148</v>
      </c>
      <c r="J115" s="41">
        <f t="shared" si="3"/>
        <v>6</v>
      </c>
    </row>
    <row r="116" spans="3:11" ht="15">
      <c r="C116" s="37" t="s">
        <v>3131</v>
      </c>
      <c r="D116" s="38">
        <v>10</v>
      </c>
      <c r="E116" s="38">
        <v>2134</v>
      </c>
      <c r="F116" s="38">
        <v>1513</v>
      </c>
      <c r="G116" s="38">
        <v>745</v>
      </c>
      <c r="H116" s="39">
        <f t="shared" si="2"/>
        <v>0.49239920687376099</v>
      </c>
      <c r="I116" s="41" t="s">
        <v>2111</v>
      </c>
      <c r="J116" s="41">
        <f t="shared" si="3"/>
        <v>8</v>
      </c>
    </row>
    <row r="117" spans="3:11" ht="15">
      <c r="C117" s="37" t="s">
        <v>3132</v>
      </c>
      <c r="D117" s="38">
        <v>10</v>
      </c>
      <c r="E117" s="38">
        <v>8947</v>
      </c>
      <c r="F117" s="38">
        <v>9132</v>
      </c>
      <c r="G117" s="38">
        <v>743</v>
      </c>
      <c r="H117" s="39">
        <f t="shared" si="2"/>
        <v>8.1362242663162498E-2</v>
      </c>
      <c r="I117" s="41" t="s">
        <v>2098</v>
      </c>
      <c r="J117" s="41">
        <f t="shared" si="3"/>
        <v>9</v>
      </c>
    </row>
    <row r="118" spans="3:11" ht="15">
      <c r="C118" s="37" t="s">
        <v>3133</v>
      </c>
      <c r="D118" s="38">
        <v>10</v>
      </c>
      <c r="E118" s="38">
        <v>2372</v>
      </c>
      <c r="F118" s="38">
        <v>2244</v>
      </c>
      <c r="G118" s="38">
        <v>717</v>
      </c>
      <c r="H118" s="39">
        <f t="shared" si="2"/>
        <v>0.31951871657754</v>
      </c>
      <c r="I118" s="41" t="s">
        <v>2138</v>
      </c>
      <c r="J118" s="41">
        <f t="shared" si="3"/>
        <v>2</v>
      </c>
      <c r="K118" s="43" t="s">
        <v>3134</v>
      </c>
    </row>
    <row r="119" spans="3:11" ht="15">
      <c r="C119" s="37" t="s">
        <v>3135</v>
      </c>
      <c r="D119" s="38">
        <v>10</v>
      </c>
      <c r="E119" s="38">
        <v>2268</v>
      </c>
      <c r="F119" s="38">
        <v>2051</v>
      </c>
      <c r="G119" s="38">
        <v>713</v>
      </c>
      <c r="H119" s="39">
        <f t="shared" si="2"/>
        <v>0.34763529985372998</v>
      </c>
      <c r="I119" s="41" t="s">
        <v>2109</v>
      </c>
      <c r="J119" s="41">
        <f t="shared" si="3"/>
        <v>18</v>
      </c>
    </row>
    <row r="120" spans="3:11" ht="15">
      <c r="C120" s="37" t="s">
        <v>3136</v>
      </c>
      <c r="D120" s="38">
        <v>10</v>
      </c>
      <c r="E120" s="38">
        <v>1432</v>
      </c>
      <c r="F120" s="38">
        <v>1135</v>
      </c>
      <c r="G120" s="38">
        <v>695</v>
      </c>
      <c r="H120" s="39">
        <f t="shared" si="2"/>
        <v>0.61233480176211497</v>
      </c>
      <c r="I120" s="41" t="s">
        <v>2111</v>
      </c>
      <c r="J120" s="41">
        <f t="shared" si="3"/>
        <v>8</v>
      </c>
    </row>
    <row r="121" spans="3:11" ht="15">
      <c r="C121" s="37" t="s">
        <v>3137</v>
      </c>
      <c r="D121" s="38">
        <v>10</v>
      </c>
      <c r="E121" s="38">
        <v>2624</v>
      </c>
      <c r="F121" s="38">
        <v>1989</v>
      </c>
      <c r="G121" s="38">
        <v>693</v>
      </c>
      <c r="H121" s="39">
        <f t="shared" si="2"/>
        <v>0.34841628959276</v>
      </c>
      <c r="I121" s="41" t="s">
        <v>2098</v>
      </c>
      <c r="J121" s="41">
        <f t="shared" si="3"/>
        <v>9</v>
      </c>
    </row>
    <row r="122" spans="3:11" ht="15">
      <c r="C122" s="37" t="s">
        <v>3138</v>
      </c>
      <c r="D122" s="38">
        <v>10</v>
      </c>
      <c r="E122" s="38">
        <v>1860</v>
      </c>
      <c r="F122" s="38">
        <v>1779</v>
      </c>
      <c r="G122" s="38">
        <v>692</v>
      </c>
      <c r="H122" s="39">
        <f t="shared" si="2"/>
        <v>0.38898257448004497</v>
      </c>
      <c r="I122" s="41" t="s">
        <v>2116</v>
      </c>
      <c r="J122" s="41">
        <f t="shared" si="3"/>
        <v>13</v>
      </c>
    </row>
    <row r="123" spans="3:11" ht="15">
      <c r="C123" s="37" t="s">
        <v>3139</v>
      </c>
      <c r="D123" s="38">
        <v>10</v>
      </c>
      <c r="E123" s="38">
        <v>2075</v>
      </c>
      <c r="F123" s="38">
        <v>1631</v>
      </c>
      <c r="G123" s="38">
        <v>682</v>
      </c>
      <c r="H123" s="39">
        <f t="shared" si="2"/>
        <v>0.41814837522991999</v>
      </c>
      <c r="I123" s="41" t="s">
        <v>2147</v>
      </c>
      <c r="J123" s="41">
        <f t="shared" si="3"/>
        <v>4</v>
      </c>
    </row>
    <row r="124" spans="3:11" ht="15">
      <c r="C124" s="37" t="s">
        <v>3140</v>
      </c>
      <c r="D124" s="38">
        <v>9</v>
      </c>
      <c r="E124" s="38">
        <v>736</v>
      </c>
      <c r="F124" s="38">
        <v>684</v>
      </c>
      <c r="G124" s="38">
        <v>674</v>
      </c>
      <c r="H124" s="39">
        <f t="shared" si="2"/>
        <v>0.98538011695906402</v>
      </c>
      <c r="I124" s="41" t="s">
        <v>2183</v>
      </c>
      <c r="J124" s="41">
        <f t="shared" si="3"/>
        <v>7</v>
      </c>
    </row>
    <row r="125" spans="3:11" ht="15">
      <c r="C125" s="37" t="s">
        <v>3141</v>
      </c>
      <c r="D125" s="38">
        <v>10</v>
      </c>
      <c r="E125" s="38">
        <v>2838</v>
      </c>
      <c r="F125" s="38">
        <v>2820</v>
      </c>
      <c r="G125" s="38">
        <v>673</v>
      </c>
      <c r="H125" s="39">
        <f t="shared" si="2"/>
        <v>0.238652482269504</v>
      </c>
      <c r="I125" s="41" t="s">
        <v>2145</v>
      </c>
      <c r="J125" s="41">
        <f t="shared" si="3"/>
        <v>2</v>
      </c>
    </row>
    <row r="126" spans="3:11" ht="15">
      <c r="C126" s="37" t="s">
        <v>3142</v>
      </c>
      <c r="D126" s="38">
        <v>10</v>
      </c>
      <c r="E126" s="38">
        <v>2192</v>
      </c>
      <c r="F126" s="38">
        <v>2044</v>
      </c>
      <c r="G126" s="38">
        <v>667</v>
      </c>
      <c r="H126" s="39">
        <f t="shared" si="2"/>
        <v>0.32632093933463802</v>
      </c>
      <c r="I126" s="41" t="s">
        <v>2126</v>
      </c>
      <c r="J126" s="41">
        <f t="shared" si="3"/>
        <v>2</v>
      </c>
    </row>
    <row r="127" spans="3:11" ht="15">
      <c r="C127" s="37" t="s">
        <v>3143</v>
      </c>
      <c r="D127" s="38">
        <v>10</v>
      </c>
      <c r="E127" s="38">
        <v>2059</v>
      </c>
      <c r="F127" s="38">
        <v>1721</v>
      </c>
      <c r="G127" s="38">
        <v>663</v>
      </c>
      <c r="H127" s="39">
        <f t="shared" si="2"/>
        <v>0.38524113887274802</v>
      </c>
      <c r="I127" s="41" t="s">
        <v>3039</v>
      </c>
      <c r="J127" s="41">
        <f t="shared" si="3"/>
        <v>2</v>
      </c>
    </row>
    <row r="128" spans="3:11" ht="15">
      <c r="C128" s="37" t="s">
        <v>3144</v>
      </c>
      <c r="D128" s="38">
        <v>8</v>
      </c>
      <c r="E128" s="38">
        <v>834</v>
      </c>
      <c r="F128" s="38">
        <v>454</v>
      </c>
      <c r="G128" s="38">
        <v>654</v>
      </c>
      <c r="H128" s="39">
        <f t="shared" si="2"/>
        <v>1.44052863436123</v>
      </c>
      <c r="I128" s="41" t="s">
        <v>3049</v>
      </c>
      <c r="J128" s="41">
        <f t="shared" si="3"/>
        <v>5</v>
      </c>
    </row>
    <row r="129" spans="3:10" ht="15">
      <c r="C129" s="37" t="s">
        <v>3145</v>
      </c>
      <c r="D129" s="38">
        <v>10</v>
      </c>
      <c r="E129" s="38">
        <v>8251</v>
      </c>
      <c r="F129" s="38">
        <v>8203</v>
      </c>
      <c r="G129" s="38">
        <v>651</v>
      </c>
      <c r="H129" s="39">
        <f t="shared" si="2"/>
        <v>7.9361209313665707E-2</v>
      </c>
      <c r="I129" s="41" t="s">
        <v>2133</v>
      </c>
      <c r="J129" s="41">
        <f t="shared" si="3"/>
        <v>5</v>
      </c>
    </row>
    <row r="130" spans="3:10" ht="15">
      <c r="C130" s="37" t="s">
        <v>3146</v>
      </c>
      <c r="D130" s="38">
        <v>10</v>
      </c>
      <c r="E130" s="38">
        <v>2248</v>
      </c>
      <c r="F130" s="38">
        <v>1910</v>
      </c>
      <c r="G130" s="38">
        <v>645</v>
      </c>
      <c r="H130" s="39">
        <f t="shared" si="2"/>
        <v>0.33769633507853403</v>
      </c>
      <c r="I130" s="41" t="s">
        <v>2148</v>
      </c>
      <c r="J130" s="41">
        <f t="shared" si="3"/>
        <v>6</v>
      </c>
    </row>
    <row r="131" spans="3:10" ht="15">
      <c r="C131" s="37" t="s">
        <v>3147</v>
      </c>
      <c r="D131" s="38">
        <v>10</v>
      </c>
      <c r="E131" s="38">
        <v>1609</v>
      </c>
      <c r="F131" s="38">
        <v>1635</v>
      </c>
      <c r="G131" s="38">
        <v>643</v>
      </c>
      <c r="H131" s="39">
        <f t="shared" si="2"/>
        <v>0.39327217125382302</v>
      </c>
      <c r="I131" s="41" t="s">
        <v>2111</v>
      </c>
      <c r="J131" s="41">
        <f t="shared" si="3"/>
        <v>8</v>
      </c>
    </row>
    <row r="132" spans="3:10" ht="15">
      <c r="C132" s="37" t="s">
        <v>3148</v>
      </c>
      <c r="D132" s="38">
        <v>10</v>
      </c>
      <c r="E132" s="38">
        <v>1561</v>
      </c>
      <c r="F132" s="38">
        <v>1238</v>
      </c>
      <c r="G132" s="38">
        <v>641</v>
      </c>
      <c r="H132" s="39">
        <f t="shared" si="2"/>
        <v>0.51777059773828804</v>
      </c>
      <c r="I132" s="41" t="s">
        <v>2062</v>
      </c>
      <c r="J132" s="41">
        <f t="shared" si="3"/>
        <v>19</v>
      </c>
    </row>
    <row r="133" spans="3:10" ht="15">
      <c r="C133" s="37" t="s">
        <v>3149</v>
      </c>
      <c r="D133" s="38">
        <v>9</v>
      </c>
      <c r="E133" s="38">
        <v>956</v>
      </c>
      <c r="F133" s="38">
        <v>887</v>
      </c>
      <c r="G133" s="38">
        <v>638</v>
      </c>
      <c r="H133" s="39">
        <f t="shared" ref="H133:H196" si="4">IF(F133&lt;&gt;"",G133/F133,0)</f>
        <v>0.71927846674182605</v>
      </c>
      <c r="I133" s="41" t="s">
        <v>2062</v>
      </c>
      <c r="J133" s="41">
        <f t="shared" ref="J133:J196" si="5">IF(I133&lt;&gt;"",COUNTIF(I:I,I133),"")</f>
        <v>19</v>
      </c>
    </row>
    <row r="134" spans="3:10" ht="15">
      <c r="C134" s="37" t="s">
        <v>3150</v>
      </c>
      <c r="D134" s="38">
        <v>10</v>
      </c>
      <c r="E134" s="38">
        <v>5031</v>
      </c>
      <c r="F134" s="38">
        <v>4607</v>
      </c>
      <c r="G134" s="38">
        <v>633</v>
      </c>
      <c r="H134" s="39">
        <f t="shared" si="4"/>
        <v>0.137399609290211</v>
      </c>
      <c r="I134" s="41" t="s">
        <v>2116</v>
      </c>
      <c r="J134" s="41">
        <f t="shared" si="5"/>
        <v>13</v>
      </c>
    </row>
    <row r="135" spans="3:10" ht="15">
      <c r="C135" s="37" t="s">
        <v>3151</v>
      </c>
      <c r="D135" s="38">
        <v>10</v>
      </c>
      <c r="E135" s="38">
        <v>1343</v>
      </c>
      <c r="F135" s="38">
        <v>1241</v>
      </c>
      <c r="G135" s="38">
        <v>629</v>
      </c>
      <c r="H135" s="39">
        <f t="shared" si="4"/>
        <v>0.50684931506849296</v>
      </c>
      <c r="I135" s="41" t="s">
        <v>2102</v>
      </c>
      <c r="J135" s="41">
        <f t="shared" si="5"/>
        <v>19</v>
      </c>
    </row>
    <row r="136" spans="3:10" ht="15">
      <c r="C136" s="37" t="s">
        <v>3152</v>
      </c>
      <c r="D136" s="38">
        <v>10</v>
      </c>
      <c r="E136" s="38">
        <v>4523</v>
      </c>
      <c r="F136" s="38">
        <v>3781</v>
      </c>
      <c r="G136" s="38">
        <v>629</v>
      </c>
      <c r="H136" s="39">
        <f t="shared" si="4"/>
        <v>0.166358106321079</v>
      </c>
      <c r="I136" s="41" t="s">
        <v>2088</v>
      </c>
      <c r="J136" s="41">
        <f t="shared" si="5"/>
        <v>8</v>
      </c>
    </row>
    <row r="137" spans="3:10" ht="15">
      <c r="C137" s="37" t="s">
        <v>3153</v>
      </c>
      <c r="D137" s="38">
        <v>8</v>
      </c>
      <c r="E137" s="38">
        <v>387</v>
      </c>
      <c r="F137" s="38">
        <v>362</v>
      </c>
      <c r="G137" s="38">
        <v>727</v>
      </c>
      <c r="H137" s="39">
        <f t="shared" si="4"/>
        <v>2.00828729281768</v>
      </c>
      <c r="I137" s="41" t="s">
        <v>3093</v>
      </c>
      <c r="J137" s="41">
        <f t="shared" si="5"/>
        <v>3</v>
      </c>
    </row>
    <row r="138" spans="3:10" ht="15">
      <c r="C138" s="37" t="s">
        <v>3154</v>
      </c>
      <c r="D138" s="38">
        <v>9</v>
      </c>
      <c r="E138" s="38">
        <v>815</v>
      </c>
      <c r="F138" s="38">
        <v>711</v>
      </c>
      <c r="G138" s="38">
        <v>687</v>
      </c>
      <c r="H138" s="39">
        <f t="shared" si="4"/>
        <v>0.96624472573839704</v>
      </c>
      <c r="I138" s="41" t="s">
        <v>2062</v>
      </c>
      <c r="J138" s="41">
        <f t="shared" si="5"/>
        <v>19</v>
      </c>
    </row>
    <row r="139" spans="3:10" ht="15">
      <c r="C139" s="37" t="s">
        <v>3155</v>
      </c>
      <c r="D139" s="38">
        <v>10</v>
      </c>
      <c r="E139" s="38">
        <v>1715</v>
      </c>
      <c r="F139" s="38">
        <v>1689</v>
      </c>
      <c r="G139" s="38">
        <v>618</v>
      </c>
      <c r="H139" s="39">
        <f t="shared" si="4"/>
        <v>0.36589698046181202</v>
      </c>
      <c r="I139" s="41" t="s">
        <v>2148</v>
      </c>
      <c r="J139" s="41">
        <f t="shared" si="5"/>
        <v>6</v>
      </c>
    </row>
    <row r="140" spans="3:10" ht="15">
      <c r="C140" s="37" t="s">
        <v>3156</v>
      </c>
      <c r="D140" s="38">
        <v>10</v>
      </c>
      <c r="E140" s="38">
        <v>1497</v>
      </c>
      <c r="F140" s="38">
        <v>1457</v>
      </c>
      <c r="G140" s="38">
        <v>615</v>
      </c>
      <c r="H140" s="39">
        <f t="shared" si="4"/>
        <v>0.42210020590253899</v>
      </c>
      <c r="I140" s="41" t="s">
        <v>2085</v>
      </c>
      <c r="J140" s="41">
        <f t="shared" si="5"/>
        <v>5</v>
      </c>
    </row>
    <row r="141" spans="3:10" ht="15">
      <c r="C141" s="37" t="s">
        <v>3157</v>
      </c>
      <c r="D141" s="38">
        <v>10</v>
      </c>
      <c r="E141" s="38">
        <v>1773</v>
      </c>
      <c r="F141" s="38">
        <v>1449</v>
      </c>
      <c r="G141" s="38">
        <v>609</v>
      </c>
      <c r="H141" s="39">
        <f t="shared" si="4"/>
        <v>0.42028985507246402</v>
      </c>
      <c r="I141" s="41" t="s">
        <v>2111</v>
      </c>
      <c r="J141" s="41">
        <f t="shared" si="5"/>
        <v>8</v>
      </c>
    </row>
    <row r="142" spans="3:10" ht="15">
      <c r="C142" s="37" t="s">
        <v>3158</v>
      </c>
      <c r="D142" s="38">
        <v>10</v>
      </c>
      <c r="E142" s="38">
        <v>5320</v>
      </c>
      <c r="F142" s="38">
        <v>3815</v>
      </c>
      <c r="G142" s="38">
        <v>606</v>
      </c>
      <c r="H142" s="39">
        <f t="shared" si="4"/>
        <v>0.158846657929227</v>
      </c>
      <c r="I142" s="41" t="s">
        <v>2102</v>
      </c>
      <c r="J142" s="41">
        <f t="shared" si="5"/>
        <v>19</v>
      </c>
    </row>
    <row r="143" spans="3:10" ht="15">
      <c r="C143" s="42" t="s">
        <v>3159</v>
      </c>
      <c r="D143" s="38">
        <v>9</v>
      </c>
      <c r="E143" s="38">
        <v>1299</v>
      </c>
      <c r="F143" s="38">
        <v>989</v>
      </c>
      <c r="G143" s="38">
        <v>604</v>
      </c>
      <c r="H143" s="39">
        <f t="shared" si="4"/>
        <v>0.61071789686552103</v>
      </c>
      <c r="I143" s="41" t="s">
        <v>2090</v>
      </c>
      <c r="J143" s="41">
        <f t="shared" si="5"/>
        <v>3</v>
      </c>
    </row>
    <row r="144" spans="3:10" ht="15">
      <c r="C144" s="37" t="s">
        <v>3160</v>
      </c>
      <c r="D144" s="38">
        <v>9</v>
      </c>
      <c r="E144" s="38">
        <v>1420</v>
      </c>
      <c r="F144" s="38">
        <v>816</v>
      </c>
      <c r="G144" s="38">
        <v>599</v>
      </c>
      <c r="H144" s="39">
        <f t="shared" si="4"/>
        <v>0.73406862745098</v>
      </c>
      <c r="I144" s="41" t="s">
        <v>2147</v>
      </c>
      <c r="J144" s="41">
        <f t="shared" si="5"/>
        <v>4</v>
      </c>
    </row>
    <row r="145" spans="3:10" ht="15">
      <c r="C145" s="37" t="s">
        <v>3161</v>
      </c>
      <c r="D145" s="38">
        <v>10</v>
      </c>
      <c r="E145" s="38">
        <v>1727</v>
      </c>
      <c r="F145" s="38">
        <v>1668</v>
      </c>
      <c r="G145" s="38">
        <v>598</v>
      </c>
      <c r="H145" s="39">
        <f t="shared" si="4"/>
        <v>0.35851318944844102</v>
      </c>
      <c r="I145" s="41" t="s">
        <v>2109</v>
      </c>
      <c r="J145" s="41">
        <f t="shared" si="5"/>
        <v>18</v>
      </c>
    </row>
    <row r="146" spans="3:10" ht="15">
      <c r="C146" s="37" t="s">
        <v>3162</v>
      </c>
      <c r="D146" s="38">
        <v>9</v>
      </c>
      <c r="E146" s="38">
        <v>2923</v>
      </c>
      <c r="F146" s="38">
        <v>507</v>
      </c>
      <c r="G146" s="38">
        <v>587</v>
      </c>
      <c r="H146" s="39">
        <f t="shared" si="4"/>
        <v>1.1577909270216999</v>
      </c>
      <c r="I146" s="41" t="s">
        <v>2102</v>
      </c>
      <c r="J146" s="41">
        <f t="shared" si="5"/>
        <v>19</v>
      </c>
    </row>
    <row r="147" spans="3:10" ht="15">
      <c r="C147" s="37" t="s">
        <v>3163</v>
      </c>
      <c r="D147" s="38">
        <v>9</v>
      </c>
      <c r="E147" s="38">
        <v>932</v>
      </c>
      <c r="F147" s="38">
        <v>838</v>
      </c>
      <c r="G147" s="38">
        <v>584</v>
      </c>
      <c r="H147" s="39">
        <f t="shared" si="4"/>
        <v>0.69689737470167101</v>
      </c>
      <c r="I147" s="41" t="s">
        <v>2055</v>
      </c>
      <c r="J147" s="41">
        <f t="shared" si="5"/>
        <v>13</v>
      </c>
    </row>
    <row r="148" spans="3:10" ht="15">
      <c r="C148" s="37" t="s">
        <v>3164</v>
      </c>
      <c r="D148" s="38">
        <v>8</v>
      </c>
      <c r="E148" s="38">
        <v>345</v>
      </c>
      <c r="F148" s="38">
        <v>305</v>
      </c>
      <c r="G148" s="38">
        <v>577</v>
      </c>
      <c r="H148" s="39">
        <f t="shared" si="4"/>
        <v>1.8918032786885199</v>
      </c>
      <c r="I148" s="41" t="s">
        <v>2133</v>
      </c>
      <c r="J148" s="41">
        <f t="shared" si="5"/>
        <v>5</v>
      </c>
    </row>
    <row r="149" spans="3:10" ht="15">
      <c r="C149" s="37" t="s">
        <v>2166</v>
      </c>
      <c r="D149" s="38">
        <v>10</v>
      </c>
      <c r="E149" s="38">
        <v>1967</v>
      </c>
      <c r="F149" s="38">
        <v>1820</v>
      </c>
      <c r="G149" s="38">
        <v>576</v>
      </c>
      <c r="H149" s="39">
        <f t="shared" si="4"/>
        <v>0.31648351648351603</v>
      </c>
      <c r="I149" s="41" t="s">
        <v>2102</v>
      </c>
      <c r="J149" s="41">
        <f t="shared" si="5"/>
        <v>19</v>
      </c>
    </row>
    <row r="150" spans="3:10" ht="15">
      <c r="C150" s="37" t="s">
        <v>3165</v>
      </c>
      <c r="D150" s="38">
        <v>9</v>
      </c>
      <c r="E150" s="38">
        <v>1870</v>
      </c>
      <c r="F150" s="38">
        <v>951</v>
      </c>
      <c r="G150" s="38">
        <v>572</v>
      </c>
      <c r="H150" s="39">
        <f t="shared" si="4"/>
        <v>0.60147213459516302</v>
      </c>
      <c r="I150" s="41" t="s">
        <v>2079</v>
      </c>
      <c r="J150" s="41">
        <f t="shared" si="5"/>
        <v>2</v>
      </c>
    </row>
    <row r="151" spans="3:10" ht="15">
      <c r="C151" s="37" t="s">
        <v>3166</v>
      </c>
      <c r="D151" s="38">
        <v>9</v>
      </c>
      <c r="E151" s="38">
        <v>1126</v>
      </c>
      <c r="F151" s="38">
        <v>742</v>
      </c>
      <c r="G151" s="38">
        <v>569</v>
      </c>
      <c r="H151" s="39">
        <f t="shared" si="4"/>
        <v>0.76684636118598404</v>
      </c>
      <c r="I151" s="41" t="s">
        <v>2116</v>
      </c>
      <c r="J151" s="41">
        <f t="shared" si="5"/>
        <v>13</v>
      </c>
    </row>
    <row r="152" spans="3:10" ht="15">
      <c r="C152" s="37" t="s">
        <v>3167</v>
      </c>
      <c r="D152" s="38">
        <v>10</v>
      </c>
      <c r="E152" s="38">
        <v>1927</v>
      </c>
      <c r="F152" s="38">
        <v>1887</v>
      </c>
      <c r="G152" s="38">
        <v>569</v>
      </c>
      <c r="H152" s="39">
        <f t="shared" si="4"/>
        <v>0.30153683094859601</v>
      </c>
      <c r="I152" s="41" t="s">
        <v>2085</v>
      </c>
      <c r="J152" s="41">
        <f t="shared" si="5"/>
        <v>5</v>
      </c>
    </row>
    <row r="153" spans="3:10" ht="15">
      <c r="C153" s="37" t="s">
        <v>3168</v>
      </c>
      <c r="D153" s="38">
        <v>10</v>
      </c>
      <c r="E153" s="38">
        <v>2149</v>
      </c>
      <c r="F153" s="38">
        <v>1619</v>
      </c>
      <c r="G153" s="38">
        <v>567</v>
      </c>
      <c r="H153" s="39">
        <f t="shared" si="4"/>
        <v>0.35021618282890699</v>
      </c>
      <c r="I153" s="41" t="s">
        <v>2183</v>
      </c>
      <c r="J153" s="41">
        <f t="shared" si="5"/>
        <v>7</v>
      </c>
    </row>
    <row r="154" spans="3:10" ht="15">
      <c r="C154" s="37" t="s">
        <v>3169</v>
      </c>
      <c r="D154" s="38">
        <v>10</v>
      </c>
      <c r="E154" s="38">
        <v>2081</v>
      </c>
      <c r="F154" s="38">
        <v>1708</v>
      </c>
      <c r="G154" s="38">
        <v>566</v>
      </c>
      <c r="H154" s="39">
        <f t="shared" si="4"/>
        <v>0.33138173302107699</v>
      </c>
      <c r="I154" s="41" t="s">
        <v>2062</v>
      </c>
      <c r="J154" s="41">
        <f t="shared" si="5"/>
        <v>19</v>
      </c>
    </row>
    <row r="155" spans="3:10" ht="15">
      <c r="C155" s="37" t="s">
        <v>3170</v>
      </c>
      <c r="D155" s="38">
        <v>9</v>
      </c>
      <c r="E155" s="38">
        <v>865</v>
      </c>
      <c r="F155" s="38">
        <v>689</v>
      </c>
      <c r="G155" s="38">
        <v>559</v>
      </c>
      <c r="H155" s="39">
        <f t="shared" si="4"/>
        <v>0.81132075471698095</v>
      </c>
      <c r="I155" s="41" t="s">
        <v>2217</v>
      </c>
      <c r="J155" s="41">
        <f t="shared" si="5"/>
        <v>3</v>
      </c>
    </row>
    <row r="156" spans="3:10" ht="15">
      <c r="C156" s="37" t="s">
        <v>3171</v>
      </c>
      <c r="D156" s="38">
        <v>10</v>
      </c>
      <c r="E156" s="38">
        <v>1180</v>
      </c>
      <c r="F156" s="38">
        <v>1123</v>
      </c>
      <c r="G156" s="38">
        <v>559</v>
      </c>
      <c r="H156" s="39">
        <f t="shared" si="4"/>
        <v>0.49777382012466598</v>
      </c>
      <c r="I156" s="41" t="s">
        <v>2217</v>
      </c>
      <c r="J156" s="41">
        <f t="shared" si="5"/>
        <v>3</v>
      </c>
    </row>
    <row r="157" spans="3:10" ht="15">
      <c r="C157" s="37" t="s">
        <v>3172</v>
      </c>
      <c r="D157" s="38">
        <v>10</v>
      </c>
      <c r="E157" s="38">
        <v>1516</v>
      </c>
      <c r="F157" s="38">
        <v>1442</v>
      </c>
      <c r="G157" s="38">
        <v>555</v>
      </c>
      <c r="H157" s="39">
        <f t="shared" si="4"/>
        <v>0.384882108183079</v>
      </c>
      <c r="I157" s="41" t="s">
        <v>2055</v>
      </c>
      <c r="J157" s="41">
        <f t="shared" si="5"/>
        <v>13</v>
      </c>
    </row>
    <row r="158" spans="3:10" ht="15">
      <c r="C158" s="37" t="s">
        <v>3173</v>
      </c>
      <c r="D158" s="38">
        <v>10</v>
      </c>
      <c r="E158" s="38">
        <v>1711</v>
      </c>
      <c r="F158" s="38">
        <v>1180</v>
      </c>
      <c r="G158" s="38">
        <v>546</v>
      </c>
      <c r="H158" s="39">
        <f t="shared" si="4"/>
        <v>0.46271186440678003</v>
      </c>
      <c r="I158" s="41" t="s">
        <v>3049</v>
      </c>
      <c r="J158" s="41">
        <f t="shared" si="5"/>
        <v>5</v>
      </c>
    </row>
    <row r="159" spans="3:10" ht="15">
      <c r="C159" s="37" t="s">
        <v>3174</v>
      </c>
      <c r="D159" s="38">
        <v>10</v>
      </c>
      <c r="E159" s="38">
        <v>2922</v>
      </c>
      <c r="F159" s="38">
        <v>2663</v>
      </c>
      <c r="G159" s="38">
        <v>544</v>
      </c>
      <c r="H159" s="39">
        <f t="shared" si="4"/>
        <v>0.20428088621855101</v>
      </c>
      <c r="I159" s="41" t="s">
        <v>2102</v>
      </c>
      <c r="J159" s="41">
        <f t="shared" si="5"/>
        <v>19</v>
      </c>
    </row>
    <row r="160" spans="3:10" ht="15">
      <c r="C160" s="37" t="s">
        <v>3175</v>
      </c>
      <c r="D160" s="38">
        <v>10</v>
      </c>
      <c r="E160" s="38">
        <v>2041</v>
      </c>
      <c r="F160" s="38">
        <v>1209</v>
      </c>
      <c r="G160" s="38">
        <v>543</v>
      </c>
      <c r="H160" s="39">
        <f t="shared" si="4"/>
        <v>0.44913151364764298</v>
      </c>
      <c r="I160" s="41" t="s">
        <v>2109</v>
      </c>
      <c r="J160" s="41">
        <f t="shared" si="5"/>
        <v>18</v>
      </c>
    </row>
    <row r="161" spans="3:10" ht="15">
      <c r="C161" s="37" t="s">
        <v>3176</v>
      </c>
      <c r="D161" s="38">
        <v>10</v>
      </c>
      <c r="E161" s="38">
        <v>2386</v>
      </c>
      <c r="F161" s="38">
        <v>2289</v>
      </c>
      <c r="G161" s="38">
        <v>535</v>
      </c>
      <c r="H161" s="39">
        <f t="shared" si="4"/>
        <v>0.23372651813018799</v>
      </c>
      <c r="I161" s="41" t="s">
        <v>2207</v>
      </c>
      <c r="J161" s="41">
        <f t="shared" si="5"/>
        <v>1</v>
      </c>
    </row>
    <row r="162" spans="3:10" ht="15">
      <c r="C162" s="37" t="s">
        <v>3177</v>
      </c>
      <c r="D162" s="38">
        <v>10</v>
      </c>
      <c r="E162" s="38">
        <v>2114</v>
      </c>
      <c r="F162" s="38">
        <v>1865</v>
      </c>
      <c r="G162" s="38">
        <v>533</v>
      </c>
      <c r="H162" s="39">
        <f t="shared" si="4"/>
        <v>0.28579088471849901</v>
      </c>
      <c r="I162" s="41" t="s">
        <v>2088</v>
      </c>
      <c r="J162" s="41">
        <f t="shared" si="5"/>
        <v>8</v>
      </c>
    </row>
    <row r="163" spans="3:10" ht="15">
      <c r="C163" s="37" t="s">
        <v>3178</v>
      </c>
      <c r="D163" s="38">
        <v>10</v>
      </c>
      <c r="E163" s="38">
        <v>3197</v>
      </c>
      <c r="F163" s="38">
        <v>2591</v>
      </c>
      <c r="G163" s="38">
        <v>531</v>
      </c>
      <c r="H163" s="39">
        <f t="shared" si="4"/>
        <v>0.20494017753763</v>
      </c>
      <c r="I163" s="41" t="s">
        <v>2062</v>
      </c>
      <c r="J163" s="41">
        <f t="shared" si="5"/>
        <v>19</v>
      </c>
    </row>
    <row r="164" spans="3:10" ht="15">
      <c r="C164" s="37" t="s">
        <v>3179</v>
      </c>
      <c r="D164" s="38">
        <v>10</v>
      </c>
      <c r="E164" s="38">
        <v>2196</v>
      </c>
      <c r="F164" s="38">
        <v>2084</v>
      </c>
      <c r="G164" s="38">
        <v>527</v>
      </c>
      <c r="H164" s="39">
        <f t="shared" si="4"/>
        <v>0.25287907869481802</v>
      </c>
      <c r="I164" s="41" t="s">
        <v>2060</v>
      </c>
      <c r="J164" s="41">
        <f t="shared" si="5"/>
        <v>12</v>
      </c>
    </row>
    <row r="165" spans="3:10" ht="15">
      <c r="C165" s="37" t="s">
        <v>3180</v>
      </c>
      <c r="D165" s="38">
        <v>10</v>
      </c>
      <c r="E165" s="38">
        <v>1724</v>
      </c>
      <c r="F165" s="38">
        <v>1682</v>
      </c>
      <c r="G165" s="38">
        <v>526</v>
      </c>
      <c r="H165" s="39">
        <f t="shared" si="4"/>
        <v>0.31272294887039198</v>
      </c>
      <c r="I165" s="41" t="s">
        <v>2062</v>
      </c>
      <c r="J165" s="41">
        <f t="shared" si="5"/>
        <v>19</v>
      </c>
    </row>
    <row r="166" spans="3:10" ht="15">
      <c r="C166" s="37" t="s">
        <v>3181</v>
      </c>
      <c r="D166" s="38">
        <v>9</v>
      </c>
      <c r="E166" s="38">
        <v>879</v>
      </c>
      <c r="F166" s="38">
        <v>852</v>
      </c>
      <c r="G166" s="38">
        <v>523</v>
      </c>
      <c r="H166" s="39">
        <f t="shared" si="4"/>
        <v>0.613849765258216</v>
      </c>
      <c r="I166" s="41" t="s">
        <v>2060</v>
      </c>
      <c r="J166" s="41">
        <f t="shared" si="5"/>
        <v>12</v>
      </c>
    </row>
    <row r="167" spans="3:10" ht="15">
      <c r="C167" s="37" t="s">
        <v>3182</v>
      </c>
      <c r="D167" s="38">
        <v>10</v>
      </c>
      <c r="E167" s="38">
        <v>1178</v>
      </c>
      <c r="F167" s="38">
        <v>1061</v>
      </c>
      <c r="G167" s="38">
        <v>509</v>
      </c>
      <c r="H167" s="39">
        <f t="shared" si="4"/>
        <v>0.47973609802073502</v>
      </c>
      <c r="I167" s="41" t="s">
        <v>2062</v>
      </c>
      <c r="J167" s="41">
        <f t="shared" si="5"/>
        <v>19</v>
      </c>
    </row>
    <row r="168" spans="3:10" ht="15">
      <c r="C168" s="37" t="s">
        <v>3183</v>
      </c>
      <c r="D168" s="38">
        <v>10</v>
      </c>
      <c r="E168" s="38">
        <v>2460</v>
      </c>
      <c r="F168" s="38">
        <v>2310</v>
      </c>
      <c r="G168" s="38">
        <v>506</v>
      </c>
      <c r="H168" s="39">
        <f t="shared" si="4"/>
        <v>0.21904761904761899</v>
      </c>
      <c r="I168" s="41" t="s">
        <v>2089</v>
      </c>
      <c r="J168" s="41">
        <f t="shared" si="5"/>
        <v>7</v>
      </c>
    </row>
    <row r="169" spans="3:10" ht="15">
      <c r="C169" s="37" t="s">
        <v>3184</v>
      </c>
      <c r="D169" s="38">
        <v>9</v>
      </c>
      <c r="E169" s="38">
        <v>712</v>
      </c>
      <c r="F169" s="38">
        <v>584</v>
      </c>
      <c r="G169" s="38">
        <v>499</v>
      </c>
      <c r="H169" s="39">
        <f t="shared" si="4"/>
        <v>0.85445205479452102</v>
      </c>
      <c r="I169" s="41" t="s">
        <v>2116</v>
      </c>
      <c r="J169" s="41">
        <f t="shared" si="5"/>
        <v>13</v>
      </c>
    </row>
    <row r="170" spans="3:10" ht="15">
      <c r="C170" s="37" t="s">
        <v>120</v>
      </c>
      <c r="D170" s="38">
        <v>10</v>
      </c>
      <c r="E170" s="38">
        <v>2663</v>
      </c>
      <c r="F170" s="38">
        <v>1011</v>
      </c>
      <c r="G170" s="38">
        <v>492</v>
      </c>
      <c r="H170" s="39">
        <f t="shared" si="4"/>
        <v>0.48664688427299702</v>
      </c>
      <c r="I170" s="41" t="s">
        <v>2074</v>
      </c>
      <c r="J170" s="41">
        <f t="shared" si="5"/>
        <v>4</v>
      </c>
    </row>
    <row r="171" spans="3:10" ht="15">
      <c r="C171" s="37" t="s">
        <v>3185</v>
      </c>
      <c r="D171" s="38">
        <v>10</v>
      </c>
      <c r="E171" s="38">
        <v>1350</v>
      </c>
      <c r="F171" s="38">
        <v>1169</v>
      </c>
      <c r="G171" s="38">
        <v>488</v>
      </c>
      <c r="H171" s="39">
        <f t="shared" si="4"/>
        <v>0.41745081266039402</v>
      </c>
      <c r="I171" s="41" t="s">
        <v>2102</v>
      </c>
      <c r="J171" s="41">
        <f t="shared" si="5"/>
        <v>19</v>
      </c>
    </row>
    <row r="172" spans="3:10" ht="15">
      <c r="C172" s="37" t="s">
        <v>3186</v>
      </c>
      <c r="D172" s="38">
        <v>10</v>
      </c>
      <c r="E172" s="38">
        <v>1453</v>
      </c>
      <c r="F172" s="38">
        <v>1578</v>
      </c>
      <c r="G172" s="38">
        <v>487</v>
      </c>
      <c r="H172" s="39">
        <f t="shared" si="4"/>
        <v>0.30861850443599498</v>
      </c>
      <c r="I172" s="41" t="s">
        <v>2055</v>
      </c>
      <c r="J172" s="41">
        <f t="shared" si="5"/>
        <v>13</v>
      </c>
    </row>
    <row r="173" spans="3:10" ht="15">
      <c r="C173" s="37" t="s">
        <v>3187</v>
      </c>
      <c r="D173" s="38">
        <v>10</v>
      </c>
      <c r="E173" s="38">
        <v>1282</v>
      </c>
      <c r="F173" s="38">
        <v>1077</v>
      </c>
      <c r="G173" s="38">
        <v>475</v>
      </c>
      <c r="H173" s="39">
        <f t="shared" si="4"/>
        <v>0.441039925719591</v>
      </c>
      <c r="I173" s="41" t="s">
        <v>2109</v>
      </c>
      <c r="J173" s="41">
        <f t="shared" si="5"/>
        <v>18</v>
      </c>
    </row>
    <row r="174" spans="3:10" ht="15">
      <c r="C174" s="37" t="s">
        <v>3188</v>
      </c>
      <c r="D174" s="38">
        <v>10</v>
      </c>
      <c r="E174" s="38">
        <v>1846</v>
      </c>
      <c r="F174" s="38">
        <v>1187</v>
      </c>
      <c r="G174" s="38">
        <v>474</v>
      </c>
      <c r="H174" s="39">
        <f t="shared" si="4"/>
        <v>0.39932603201347899</v>
      </c>
      <c r="I174" s="41" t="s">
        <v>2116</v>
      </c>
      <c r="J174" s="41">
        <f t="shared" si="5"/>
        <v>13</v>
      </c>
    </row>
    <row r="175" spans="3:10" ht="15">
      <c r="C175" s="37" t="s">
        <v>3189</v>
      </c>
      <c r="D175" s="38">
        <v>8</v>
      </c>
      <c r="E175" s="38">
        <v>713</v>
      </c>
      <c r="F175" s="38">
        <v>395</v>
      </c>
      <c r="G175" s="38">
        <v>471</v>
      </c>
      <c r="H175" s="39">
        <f t="shared" si="4"/>
        <v>1.19240506329114</v>
      </c>
      <c r="I175" s="41" t="s">
        <v>2060</v>
      </c>
      <c r="J175" s="41">
        <f t="shared" si="5"/>
        <v>12</v>
      </c>
    </row>
    <row r="176" spans="3:10" ht="15">
      <c r="C176" s="37" t="s">
        <v>3190</v>
      </c>
      <c r="D176" s="38">
        <v>10</v>
      </c>
      <c r="E176" s="38">
        <v>2024</v>
      </c>
      <c r="F176" s="38">
        <v>1844</v>
      </c>
      <c r="G176" s="38">
        <v>467</v>
      </c>
      <c r="H176" s="39">
        <f t="shared" si="4"/>
        <v>0.25325379609544502</v>
      </c>
      <c r="I176" s="41" t="s">
        <v>2055</v>
      </c>
      <c r="J176" s="41">
        <f t="shared" si="5"/>
        <v>13</v>
      </c>
    </row>
    <row r="177" spans="3:10" ht="15">
      <c r="C177" s="37" t="s">
        <v>3191</v>
      </c>
      <c r="D177" s="38">
        <v>10</v>
      </c>
      <c r="E177" s="38">
        <v>1167</v>
      </c>
      <c r="F177" s="38">
        <v>1176</v>
      </c>
      <c r="G177" s="38">
        <v>460</v>
      </c>
      <c r="H177" s="39">
        <f t="shared" si="4"/>
        <v>0.391156462585034</v>
      </c>
      <c r="I177" s="41" t="s">
        <v>2055</v>
      </c>
      <c r="J177" s="41">
        <f t="shared" si="5"/>
        <v>13</v>
      </c>
    </row>
    <row r="178" spans="3:10" ht="15">
      <c r="C178" s="37" t="s">
        <v>3192</v>
      </c>
      <c r="D178" s="38">
        <v>9</v>
      </c>
      <c r="E178" s="38">
        <v>894</v>
      </c>
      <c r="F178" s="38">
        <v>818</v>
      </c>
      <c r="G178" s="38">
        <v>460</v>
      </c>
      <c r="H178" s="39">
        <f t="shared" si="4"/>
        <v>0.56234718826405905</v>
      </c>
      <c r="I178" s="41" t="s">
        <v>2145</v>
      </c>
      <c r="J178" s="41">
        <f t="shared" si="5"/>
        <v>2</v>
      </c>
    </row>
    <row r="179" spans="3:10" ht="15">
      <c r="C179" s="37" t="s">
        <v>3193</v>
      </c>
      <c r="D179" s="38">
        <v>9</v>
      </c>
      <c r="E179" s="38">
        <v>827</v>
      </c>
      <c r="F179" s="38">
        <v>653</v>
      </c>
      <c r="G179" s="38">
        <v>452</v>
      </c>
      <c r="H179" s="39">
        <f t="shared" si="4"/>
        <v>0.69218989280245002</v>
      </c>
      <c r="I179" s="41" t="s">
        <v>2088</v>
      </c>
      <c r="J179" s="41">
        <f t="shared" si="5"/>
        <v>8</v>
      </c>
    </row>
    <row r="180" spans="3:10" ht="15">
      <c r="C180" s="37" t="s">
        <v>3194</v>
      </c>
      <c r="D180" s="38">
        <v>10</v>
      </c>
      <c r="E180" s="38">
        <v>1669</v>
      </c>
      <c r="F180" s="38">
        <v>1622</v>
      </c>
      <c r="G180" s="38">
        <v>444</v>
      </c>
      <c r="H180" s="39">
        <f t="shared" si="4"/>
        <v>0.27373612823674498</v>
      </c>
      <c r="I180" s="41" t="s">
        <v>2102</v>
      </c>
      <c r="J180" s="41">
        <f t="shared" si="5"/>
        <v>19</v>
      </c>
    </row>
    <row r="181" spans="3:10" ht="15">
      <c r="C181" s="37" t="s">
        <v>3195</v>
      </c>
      <c r="D181" s="38">
        <v>10</v>
      </c>
      <c r="E181" s="38">
        <v>1280</v>
      </c>
      <c r="F181" s="38">
        <v>1098</v>
      </c>
      <c r="G181" s="38">
        <v>440</v>
      </c>
      <c r="H181" s="39">
        <f t="shared" si="4"/>
        <v>0.40072859744990902</v>
      </c>
      <c r="I181" s="41" t="s">
        <v>2245</v>
      </c>
      <c r="J181" s="41">
        <f t="shared" si="5"/>
        <v>1</v>
      </c>
    </row>
    <row r="182" spans="3:10" ht="15">
      <c r="C182" s="37" t="s">
        <v>3196</v>
      </c>
      <c r="D182" s="38">
        <v>10</v>
      </c>
      <c r="E182" s="38">
        <v>1937</v>
      </c>
      <c r="F182" s="38">
        <v>1969</v>
      </c>
      <c r="G182" s="38">
        <v>437</v>
      </c>
      <c r="H182" s="39">
        <f t="shared" si="4"/>
        <v>0.221940071102082</v>
      </c>
      <c r="I182" s="41" t="s">
        <v>2062</v>
      </c>
      <c r="J182" s="41">
        <f t="shared" si="5"/>
        <v>19</v>
      </c>
    </row>
    <row r="183" spans="3:10" ht="15">
      <c r="C183" s="37" t="s">
        <v>3197</v>
      </c>
      <c r="D183" s="38">
        <v>9</v>
      </c>
      <c r="E183" s="38">
        <v>683</v>
      </c>
      <c r="F183" s="38">
        <v>677</v>
      </c>
      <c r="G183" s="38">
        <v>434</v>
      </c>
      <c r="H183" s="39">
        <f t="shared" si="4"/>
        <v>0.64106351550960095</v>
      </c>
      <c r="I183" s="41" t="s">
        <v>2060</v>
      </c>
      <c r="J183" s="41">
        <f t="shared" si="5"/>
        <v>12</v>
      </c>
    </row>
    <row r="184" spans="3:10" ht="15">
      <c r="C184" s="37" t="s">
        <v>3198</v>
      </c>
      <c r="D184" s="38">
        <v>10</v>
      </c>
      <c r="E184" s="38">
        <v>1769</v>
      </c>
      <c r="F184" s="38">
        <v>1159</v>
      </c>
      <c r="G184" s="38">
        <v>428</v>
      </c>
      <c r="H184" s="39">
        <f t="shared" si="4"/>
        <v>0.369283865401208</v>
      </c>
      <c r="I184" s="41" t="s">
        <v>2183</v>
      </c>
      <c r="J184" s="41">
        <f t="shared" si="5"/>
        <v>7</v>
      </c>
    </row>
    <row r="185" spans="3:10" ht="15">
      <c r="C185" s="37" t="s">
        <v>3199</v>
      </c>
      <c r="D185" s="38">
        <v>10</v>
      </c>
      <c r="E185" s="38">
        <v>1221</v>
      </c>
      <c r="F185" s="38">
        <v>1059</v>
      </c>
      <c r="G185" s="38">
        <v>427</v>
      </c>
      <c r="H185" s="39">
        <f t="shared" si="4"/>
        <v>0.40321057601510901</v>
      </c>
      <c r="I185" s="41" t="s">
        <v>2090</v>
      </c>
      <c r="J185" s="41">
        <f t="shared" si="5"/>
        <v>3</v>
      </c>
    </row>
    <row r="186" spans="3:10" ht="15">
      <c r="C186" s="37" t="s">
        <v>3200</v>
      </c>
      <c r="D186" s="38">
        <v>10</v>
      </c>
      <c r="E186" s="38">
        <v>3064</v>
      </c>
      <c r="F186" s="38">
        <v>2617</v>
      </c>
      <c r="G186" s="38">
        <v>420</v>
      </c>
      <c r="H186" s="39">
        <f t="shared" si="4"/>
        <v>0.160489109667558</v>
      </c>
      <c r="I186" s="41" t="s">
        <v>2053</v>
      </c>
      <c r="J186" s="41">
        <f t="shared" si="5"/>
        <v>9</v>
      </c>
    </row>
    <row r="187" spans="3:10" ht="15">
      <c r="C187" s="37" t="s">
        <v>3201</v>
      </c>
      <c r="D187" s="38">
        <v>10</v>
      </c>
      <c r="E187" s="38">
        <v>1758</v>
      </c>
      <c r="F187" s="38">
        <v>1586</v>
      </c>
      <c r="G187" s="38">
        <v>417</v>
      </c>
      <c r="H187" s="39">
        <f t="shared" si="4"/>
        <v>0.26292559899117302</v>
      </c>
      <c r="I187" s="41" t="s">
        <v>2055</v>
      </c>
      <c r="J187" s="41">
        <f t="shared" si="5"/>
        <v>13</v>
      </c>
    </row>
    <row r="188" spans="3:10" ht="15">
      <c r="C188" s="37" t="s">
        <v>3202</v>
      </c>
      <c r="D188" s="38">
        <v>10</v>
      </c>
      <c r="E188" s="38">
        <v>3013</v>
      </c>
      <c r="F188" s="38">
        <v>2351</v>
      </c>
      <c r="G188" s="38">
        <v>417</v>
      </c>
      <c r="H188" s="39">
        <f t="shared" si="4"/>
        <v>0.177371331348362</v>
      </c>
      <c r="I188" s="41" t="s">
        <v>2140</v>
      </c>
      <c r="J188" s="41">
        <f t="shared" si="5"/>
        <v>6</v>
      </c>
    </row>
    <row r="189" spans="3:10" ht="15">
      <c r="C189" s="37" t="s">
        <v>3203</v>
      </c>
      <c r="D189" s="38">
        <v>10</v>
      </c>
      <c r="E189" s="38">
        <v>1600</v>
      </c>
      <c r="F189" s="38">
        <v>1338</v>
      </c>
      <c r="G189" s="38">
        <v>415</v>
      </c>
      <c r="H189" s="39">
        <f t="shared" si="4"/>
        <v>0.31016442451420001</v>
      </c>
      <c r="I189" s="41" t="s">
        <v>2062</v>
      </c>
      <c r="J189" s="41">
        <f t="shared" si="5"/>
        <v>19</v>
      </c>
    </row>
    <row r="190" spans="3:10" ht="15">
      <c r="C190" s="37" t="s">
        <v>3204</v>
      </c>
      <c r="D190" s="38">
        <v>10</v>
      </c>
      <c r="E190" s="38">
        <v>1481</v>
      </c>
      <c r="F190" s="38">
        <v>1307</v>
      </c>
      <c r="G190" s="38">
        <v>413</v>
      </c>
      <c r="H190" s="39">
        <f t="shared" si="4"/>
        <v>0.31599081866870699</v>
      </c>
      <c r="I190" s="41" t="s">
        <v>2098</v>
      </c>
      <c r="J190" s="41">
        <f t="shared" si="5"/>
        <v>9</v>
      </c>
    </row>
    <row r="191" spans="3:10" ht="15">
      <c r="C191" s="37" t="s">
        <v>3205</v>
      </c>
      <c r="D191" s="38">
        <v>10</v>
      </c>
      <c r="E191" s="38">
        <v>1595</v>
      </c>
      <c r="F191" s="38">
        <v>1556</v>
      </c>
      <c r="G191" s="38">
        <v>406</v>
      </c>
      <c r="H191" s="39">
        <f t="shared" si="4"/>
        <v>0.26092544987146499</v>
      </c>
      <c r="I191" s="41" t="s">
        <v>2131</v>
      </c>
      <c r="J191" s="41">
        <f t="shared" si="5"/>
        <v>1</v>
      </c>
    </row>
    <row r="192" spans="3:10" ht="15">
      <c r="C192" s="37" t="s">
        <v>3206</v>
      </c>
      <c r="D192" s="38">
        <v>9</v>
      </c>
      <c r="E192" s="38">
        <v>1144</v>
      </c>
      <c r="F192" s="38">
        <v>1002</v>
      </c>
      <c r="G192" s="38">
        <v>406</v>
      </c>
      <c r="H192" s="39">
        <f t="shared" si="4"/>
        <v>0.40518962075848303</v>
      </c>
      <c r="I192" s="41" t="s">
        <v>2053</v>
      </c>
      <c r="J192" s="41">
        <f t="shared" si="5"/>
        <v>9</v>
      </c>
    </row>
    <row r="193" spans="3:10" ht="15">
      <c r="C193" s="37" t="s">
        <v>3207</v>
      </c>
      <c r="D193" s="38">
        <v>9</v>
      </c>
      <c r="E193" s="38">
        <v>611</v>
      </c>
      <c r="F193" s="38">
        <v>602</v>
      </c>
      <c r="G193" s="38">
        <v>402</v>
      </c>
      <c r="H193" s="39">
        <f t="shared" si="4"/>
        <v>0.66777408637873803</v>
      </c>
      <c r="I193" s="41" t="s">
        <v>2069</v>
      </c>
      <c r="J193" s="41">
        <f t="shared" si="5"/>
        <v>2</v>
      </c>
    </row>
    <row r="194" spans="3:10" ht="15">
      <c r="C194" s="37" t="s">
        <v>3208</v>
      </c>
      <c r="D194" s="38">
        <v>9</v>
      </c>
      <c r="E194" s="38">
        <v>853</v>
      </c>
      <c r="F194" s="38">
        <v>788</v>
      </c>
      <c r="G194" s="38">
        <v>401</v>
      </c>
      <c r="H194" s="39">
        <f t="shared" si="4"/>
        <v>0.50888324873096402</v>
      </c>
      <c r="I194" s="41" t="s">
        <v>2109</v>
      </c>
      <c r="J194" s="41">
        <f t="shared" si="5"/>
        <v>18</v>
      </c>
    </row>
    <row r="195" spans="3:10" ht="15">
      <c r="C195" s="37" t="s">
        <v>3209</v>
      </c>
      <c r="D195" s="38">
        <v>10</v>
      </c>
      <c r="E195" s="38">
        <v>2029</v>
      </c>
      <c r="F195" s="38">
        <v>1196</v>
      </c>
      <c r="G195" s="38">
        <v>397</v>
      </c>
      <c r="H195" s="39">
        <f t="shared" si="4"/>
        <v>0.33193979933110401</v>
      </c>
      <c r="I195" s="41" t="s">
        <v>2133</v>
      </c>
      <c r="J195" s="41">
        <f t="shared" si="5"/>
        <v>5</v>
      </c>
    </row>
    <row r="196" spans="3:10" ht="15">
      <c r="C196" s="37" t="s">
        <v>3210</v>
      </c>
      <c r="D196" s="38">
        <v>9</v>
      </c>
      <c r="E196" s="38">
        <v>1172</v>
      </c>
      <c r="F196" s="38">
        <v>793</v>
      </c>
      <c r="G196" s="38">
        <v>395</v>
      </c>
      <c r="H196" s="39">
        <f t="shared" si="4"/>
        <v>0.49810844892812101</v>
      </c>
      <c r="I196" s="41" t="s">
        <v>2116</v>
      </c>
      <c r="J196" s="41">
        <f t="shared" si="5"/>
        <v>13</v>
      </c>
    </row>
    <row r="197" spans="3:10" ht="15">
      <c r="C197" s="37" t="s">
        <v>3211</v>
      </c>
      <c r="D197" s="38">
        <v>8</v>
      </c>
      <c r="E197" s="38">
        <v>504</v>
      </c>
      <c r="F197" s="38">
        <v>490</v>
      </c>
      <c r="G197" s="38">
        <v>393</v>
      </c>
      <c r="H197" s="39">
        <f t="shared" ref="H197:H260" si="6">IF(F197&lt;&gt;"",G197/F197,0)</f>
        <v>0.80204081632653101</v>
      </c>
      <c r="I197" s="41" t="s">
        <v>2055</v>
      </c>
      <c r="J197" s="41">
        <f t="shared" ref="J197:J260" si="7">IF(I197&lt;&gt;"",COUNTIF(I:I,I197),"")</f>
        <v>13</v>
      </c>
    </row>
    <row r="198" spans="3:10" ht="15">
      <c r="C198" s="37" t="s">
        <v>3212</v>
      </c>
      <c r="D198" s="38">
        <v>9</v>
      </c>
      <c r="E198" s="38">
        <v>953</v>
      </c>
      <c r="F198" s="38">
        <v>912</v>
      </c>
      <c r="G198" s="38">
        <v>392</v>
      </c>
      <c r="H198" s="39">
        <f t="shared" si="6"/>
        <v>0.429824561403509</v>
      </c>
      <c r="I198" s="41" t="s">
        <v>2098</v>
      </c>
      <c r="J198" s="41">
        <f t="shared" si="7"/>
        <v>9</v>
      </c>
    </row>
    <row r="199" spans="3:10" ht="15">
      <c r="C199" s="37" t="s">
        <v>3213</v>
      </c>
      <c r="D199" s="38">
        <v>10</v>
      </c>
      <c r="E199" s="38">
        <v>2083</v>
      </c>
      <c r="F199" s="38">
        <v>1187</v>
      </c>
      <c r="G199" s="38">
        <v>392</v>
      </c>
      <c r="H199" s="39">
        <f t="shared" si="6"/>
        <v>0.33024431339511401</v>
      </c>
      <c r="I199" s="41" t="s">
        <v>3026</v>
      </c>
      <c r="J199" s="41">
        <f t="shared" si="7"/>
        <v>3</v>
      </c>
    </row>
    <row r="200" spans="3:10" ht="15">
      <c r="C200" s="37" t="s">
        <v>3214</v>
      </c>
      <c r="D200" s="38">
        <v>10</v>
      </c>
      <c r="E200" s="38">
        <v>3410</v>
      </c>
      <c r="F200" s="38">
        <v>3224</v>
      </c>
      <c r="G200" s="38">
        <v>382</v>
      </c>
      <c r="H200" s="39">
        <f t="shared" si="6"/>
        <v>0.11848635235732</v>
      </c>
      <c r="I200" s="41" t="s">
        <v>3026</v>
      </c>
      <c r="J200" s="41">
        <f t="shared" si="7"/>
        <v>3</v>
      </c>
    </row>
    <row r="201" spans="3:10" ht="15">
      <c r="C201" s="37" t="s">
        <v>3215</v>
      </c>
      <c r="D201" s="38">
        <v>10</v>
      </c>
      <c r="E201" s="38">
        <v>1959</v>
      </c>
      <c r="F201" s="38">
        <v>1126</v>
      </c>
      <c r="G201" s="38">
        <v>370</v>
      </c>
      <c r="H201" s="39">
        <f t="shared" si="6"/>
        <v>0.328596802841918</v>
      </c>
      <c r="I201" s="41" t="s">
        <v>2111</v>
      </c>
      <c r="J201" s="41">
        <f t="shared" si="7"/>
        <v>8</v>
      </c>
    </row>
    <row r="202" spans="3:10" ht="15">
      <c r="C202" s="37" t="s">
        <v>3216</v>
      </c>
      <c r="D202" s="38">
        <v>9</v>
      </c>
      <c r="E202" s="38">
        <v>967</v>
      </c>
      <c r="F202" s="38">
        <v>909</v>
      </c>
      <c r="G202" s="38">
        <v>370</v>
      </c>
      <c r="H202" s="39">
        <f t="shared" si="6"/>
        <v>0.40704070407040699</v>
      </c>
      <c r="I202" s="41" t="s">
        <v>2053</v>
      </c>
      <c r="J202" s="41">
        <f t="shared" si="7"/>
        <v>9</v>
      </c>
    </row>
    <row r="203" spans="3:10" ht="15">
      <c r="C203" s="37" t="s">
        <v>3217</v>
      </c>
      <c r="D203" s="38">
        <v>8</v>
      </c>
      <c r="E203" s="38">
        <v>397</v>
      </c>
      <c r="F203" s="38">
        <v>394</v>
      </c>
      <c r="G203" s="38">
        <v>367</v>
      </c>
      <c r="H203" s="39">
        <f t="shared" si="6"/>
        <v>0.93147208121827396</v>
      </c>
      <c r="I203" s="41" t="s">
        <v>3049</v>
      </c>
      <c r="J203" s="41">
        <f t="shared" si="7"/>
        <v>5</v>
      </c>
    </row>
    <row r="204" spans="3:10" ht="15">
      <c r="C204" s="37" t="s">
        <v>3218</v>
      </c>
      <c r="D204" s="38">
        <v>9</v>
      </c>
      <c r="E204" s="38">
        <v>662</v>
      </c>
      <c r="F204" s="38">
        <v>637</v>
      </c>
      <c r="G204" s="38">
        <v>362</v>
      </c>
      <c r="H204" s="39">
        <f t="shared" si="6"/>
        <v>0.56828885400314</v>
      </c>
      <c r="I204" s="41" t="s">
        <v>2109</v>
      </c>
      <c r="J204" s="41">
        <f t="shared" si="7"/>
        <v>18</v>
      </c>
    </row>
    <row r="205" spans="3:10" ht="15">
      <c r="C205" s="37" t="s">
        <v>3219</v>
      </c>
      <c r="D205" s="38">
        <v>8</v>
      </c>
      <c r="E205" s="38">
        <v>333</v>
      </c>
      <c r="F205" s="38">
        <v>407</v>
      </c>
      <c r="G205" s="38">
        <v>361</v>
      </c>
      <c r="H205" s="39">
        <f t="shared" si="6"/>
        <v>0.88697788697788704</v>
      </c>
      <c r="I205" s="41" t="s">
        <v>2053</v>
      </c>
      <c r="J205" s="41">
        <f t="shared" si="7"/>
        <v>9</v>
      </c>
    </row>
    <row r="206" spans="3:10" ht="15">
      <c r="C206" s="37" t="s">
        <v>3220</v>
      </c>
      <c r="D206" s="38">
        <v>10</v>
      </c>
      <c r="E206" s="38">
        <v>2236</v>
      </c>
      <c r="F206" s="38">
        <v>1252</v>
      </c>
      <c r="G206" s="38">
        <v>359</v>
      </c>
      <c r="H206" s="39">
        <f t="shared" si="6"/>
        <v>0.28674121405750802</v>
      </c>
      <c r="I206" s="41" t="s">
        <v>2111</v>
      </c>
      <c r="J206" s="41">
        <f t="shared" si="7"/>
        <v>8</v>
      </c>
    </row>
    <row r="207" spans="3:10" ht="15">
      <c r="C207" s="44" t="s">
        <v>2122</v>
      </c>
      <c r="D207" s="38">
        <v>10</v>
      </c>
      <c r="E207" s="38">
        <v>1301</v>
      </c>
      <c r="F207" s="38">
        <v>1233</v>
      </c>
      <c r="G207" s="38">
        <v>358</v>
      </c>
      <c r="H207" s="39">
        <f t="shared" si="6"/>
        <v>0.290348742903487</v>
      </c>
      <c r="I207" s="41" t="s">
        <v>2088</v>
      </c>
      <c r="J207" s="41">
        <f t="shared" si="7"/>
        <v>8</v>
      </c>
    </row>
    <row r="208" spans="3:10" ht="15">
      <c r="C208" s="37" t="s">
        <v>3221</v>
      </c>
      <c r="D208" s="38">
        <v>10</v>
      </c>
      <c r="E208" s="38">
        <v>1130</v>
      </c>
      <c r="F208" s="38">
        <v>1043</v>
      </c>
      <c r="G208" s="38">
        <v>357</v>
      </c>
      <c r="H208" s="39">
        <f t="shared" si="6"/>
        <v>0.34228187919463099</v>
      </c>
      <c r="I208" s="41" t="s">
        <v>2140</v>
      </c>
      <c r="J208" s="41">
        <f t="shared" si="7"/>
        <v>6</v>
      </c>
    </row>
    <row r="209" spans="3:10" ht="15">
      <c r="C209" s="37" t="s">
        <v>3222</v>
      </c>
      <c r="D209" s="38">
        <v>10</v>
      </c>
      <c r="E209" s="38">
        <v>2016</v>
      </c>
      <c r="F209" s="38">
        <v>1890</v>
      </c>
      <c r="G209" s="38">
        <v>356</v>
      </c>
      <c r="H209" s="39">
        <f t="shared" si="6"/>
        <v>0.18835978835978801</v>
      </c>
      <c r="I209" s="41" t="s">
        <v>2102</v>
      </c>
      <c r="J209" s="41">
        <f t="shared" si="7"/>
        <v>19</v>
      </c>
    </row>
    <row r="210" spans="3:10" ht="15">
      <c r="C210" s="37" t="s">
        <v>3223</v>
      </c>
      <c r="D210" s="38">
        <v>8</v>
      </c>
      <c r="E210" s="38">
        <v>611</v>
      </c>
      <c r="F210" s="38">
        <v>347</v>
      </c>
      <c r="G210" s="38">
        <v>355</v>
      </c>
      <c r="H210" s="39">
        <f t="shared" si="6"/>
        <v>1.0230547550432301</v>
      </c>
      <c r="I210" s="41" t="s">
        <v>2060</v>
      </c>
      <c r="J210" s="41">
        <f t="shared" si="7"/>
        <v>12</v>
      </c>
    </row>
    <row r="211" spans="3:10" ht="15">
      <c r="C211" s="37" t="s">
        <v>3224</v>
      </c>
      <c r="D211" s="38">
        <v>9</v>
      </c>
      <c r="E211" s="38">
        <v>1025</v>
      </c>
      <c r="F211" s="38">
        <v>974</v>
      </c>
      <c r="G211" s="38">
        <v>355</v>
      </c>
      <c r="H211" s="39">
        <f t="shared" si="6"/>
        <v>0.36447638603696098</v>
      </c>
      <c r="I211" s="41" t="s">
        <v>2089</v>
      </c>
      <c r="J211" s="41">
        <f t="shared" si="7"/>
        <v>7</v>
      </c>
    </row>
    <row r="212" spans="3:10" ht="15">
      <c r="C212" s="37" t="s">
        <v>3225</v>
      </c>
      <c r="D212" s="38">
        <v>9</v>
      </c>
      <c r="E212" s="38">
        <v>633</v>
      </c>
      <c r="F212" s="38">
        <v>569</v>
      </c>
      <c r="G212" s="38">
        <v>349</v>
      </c>
      <c r="H212" s="39">
        <f t="shared" si="6"/>
        <v>0.61335676625659097</v>
      </c>
      <c r="I212" s="41" t="s">
        <v>2102</v>
      </c>
      <c r="J212" s="41">
        <f t="shared" si="7"/>
        <v>19</v>
      </c>
    </row>
    <row r="213" spans="3:10" ht="15">
      <c r="C213" s="37" t="s">
        <v>3226</v>
      </c>
      <c r="D213" s="38">
        <v>9</v>
      </c>
      <c r="E213" s="38">
        <v>1807</v>
      </c>
      <c r="F213" s="38">
        <v>871</v>
      </c>
      <c r="G213" s="38">
        <v>343</v>
      </c>
      <c r="H213" s="39">
        <f t="shared" si="6"/>
        <v>0.39380022962112499</v>
      </c>
      <c r="I213" s="41" t="s">
        <v>2074</v>
      </c>
      <c r="J213" s="41">
        <f t="shared" si="7"/>
        <v>4</v>
      </c>
    </row>
    <row r="214" spans="3:10" ht="15">
      <c r="C214" s="37" t="s">
        <v>3227</v>
      </c>
      <c r="D214" s="38">
        <v>9</v>
      </c>
      <c r="E214" s="38">
        <v>1066</v>
      </c>
      <c r="F214" s="38">
        <v>1002</v>
      </c>
      <c r="G214" s="38">
        <v>336</v>
      </c>
      <c r="H214" s="39">
        <f t="shared" si="6"/>
        <v>0.33532934131736503</v>
      </c>
      <c r="I214" s="41" t="s">
        <v>3049</v>
      </c>
      <c r="J214" s="41">
        <f t="shared" si="7"/>
        <v>5</v>
      </c>
    </row>
    <row r="215" spans="3:10" ht="15">
      <c r="C215" s="37" t="s">
        <v>3228</v>
      </c>
      <c r="D215" s="38">
        <v>10</v>
      </c>
      <c r="E215" s="38">
        <v>1060</v>
      </c>
      <c r="F215" s="38">
        <v>1102</v>
      </c>
      <c r="G215" s="38">
        <v>334</v>
      </c>
      <c r="H215" s="39">
        <f t="shared" si="6"/>
        <v>0.30308529945553497</v>
      </c>
      <c r="I215" s="41" t="s">
        <v>2138</v>
      </c>
      <c r="J215" s="41">
        <f t="shared" si="7"/>
        <v>2</v>
      </c>
    </row>
    <row r="216" spans="3:10" ht="15">
      <c r="C216" s="37" t="s">
        <v>3229</v>
      </c>
      <c r="D216" s="38">
        <v>10</v>
      </c>
      <c r="E216" s="38">
        <v>2032</v>
      </c>
      <c r="F216" s="38">
        <v>1056</v>
      </c>
      <c r="G216" s="38">
        <v>327</v>
      </c>
      <c r="H216" s="39">
        <f t="shared" si="6"/>
        <v>0.30965909090909099</v>
      </c>
      <c r="I216" s="41" t="s">
        <v>3093</v>
      </c>
      <c r="J216" s="41">
        <f t="shared" si="7"/>
        <v>3</v>
      </c>
    </row>
    <row r="217" spans="3:10" ht="15">
      <c r="C217" s="37" t="s">
        <v>3230</v>
      </c>
      <c r="D217" s="38">
        <v>8</v>
      </c>
      <c r="E217" s="38">
        <v>591</v>
      </c>
      <c r="F217" s="38">
        <v>450</v>
      </c>
      <c r="G217" s="38">
        <v>321</v>
      </c>
      <c r="H217" s="39">
        <f t="shared" si="6"/>
        <v>0.71333333333333304</v>
      </c>
      <c r="I217" s="41" t="s">
        <v>2111</v>
      </c>
      <c r="J217" s="41">
        <f t="shared" si="7"/>
        <v>8</v>
      </c>
    </row>
    <row r="218" spans="3:10" ht="15">
      <c r="C218" s="37" t="s">
        <v>3231</v>
      </c>
      <c r="D218" s="38">
        <v>10</v>
      </c>
      <c r="E218" s="38">
        <v>2239</v>
      </c>
      <c r="F218" s="38">
        <v>1738</v>
      </c>
      <c r="G218" s="38">
        <v>316</v>
      </c>
      <c r="H218" s="39">
        <f t="shared" si="6"/>
        <v>0.18181818181818199</v>
      </c>
      <c r="I218" s="41" t="s">
        <v>2098</v>
      </c>
      <c r="J218" s="41">
        <f t="shared" si="7"/>
        <v>9</v>
      </c>
    </row>
    <row r="219" spans="3:10" ht="15">
      <c r="C219" s="37" t="s">
        <v>3232</v>
      </c>
      <c r="D219" s="38">
        <v>8</v>
      </c>
      <c r="E219" s="38">
        <v>519</v>
      </c>
      <c r="F219" s="38">
        <v>361</v>
      </c>
      <c r="G219" s="38">
        <v>296</v>
      </c>
      <c r="H219" s="39">
        <f t="shared" si="6"/>
        <v>0.81994459833794997</v>
      </c>
      <c r="I219" s="41" t="s">
        <v>2055</v>
      </c>
      <c r="J219" s="41">
        <f t="shared" si="7"/>
        <v>13</v>
      </c>
    </row>
    <row r="220" spans="3:10" ht="15">
      <c r="C220" s="45"/>
      <c r="D220" s="38"/>
      <c r="E220" s="38"/>
      <c r="F220" s="38"/>
      <c r="G220" s="38"/>
      <c r="H220" s="39">
        <f t="shared" si="6"/>
        <v>0</v>
      </c>
      <c r="I220" s="41"/>
      <c r="J220" s="41" t="str">
        <f t="shared" si="7"/>
        <v/>
      </c>
    </row>
    <row r="221" spans="3:10" ht="15">
      <c r="C221" s="45"/>
      <c r="D221" s="38"/>
      <c r="E221" s="38"/>
      <c r="F221" s="38"/>
      <c r="G221" s="38"/>
      <c r="H221" s="39">
        <f t="shared" si="6"/>
        <v>0</v>
      </c>
      <c r="I221" s="41"/>
      <c r="J221" s="41" t="str">
        <f t="shared" si="7"/>
        <v/>
      </c>
    </row>
    <row r="222" spans="3:10" ht="15">
      <c r="C222" s="45"/>
      <c r="D222" s="38"/>
      <c r="E222" s="38"/>
      <c r="F222" s="38"/>
      <c r="G222" s="38"/>
      <c r="H222" s="39">
        <f t="shared" si="6"/>
        <v>0</v>
      </c>
      <c r="I222" s="41"/>
      <c r="J222" s="41" t="str">
        <f t="shared" si="7"/>
        <v/>
      </c>
    </row>
    <row r="223" spans="3:10" ht="15">
      <c r="C223" s="45"/>
      <c r="D223" s="38"/>
      <c r="E223" s="38"/>
      <c r="F223" s="38"/>
      <c r="G223" s="38"/>
      <c r="H223" s="39">
        <f t="shared" si="6"/>
        <v>0</v>
      </c>
      <c r="I223" s="41"/>
      <c r="J223" s="41" t="str">
        <f t="shared" si="7"/>
        <v/>
      </c>
    </row>
    <row r="224" spans="3:10" ht="15">
      <c r="C224" s="45"/>
      <c r="D224" s="38"/>
      <c r="E224" s="38"/>
      <c r="F224" s="38"/>
      <c r="G224" s="38"/>
      <c r="H224" s="39">
        <f t="shared" si="6"/>
        <v>0</v>
      </c>
      <c r="I224" s="41"/>
      <c r="J224" s="41" t="str">
        <f t="shared" si="7"/>
        <v/>
      </c>
    </row>
    <row r="225" spans="3:10" ht="15">
      <c r="C225" s="45"/>
      <c r="D225" s="38"/>
      <c r="E225" s="38"/>
      <c r="F225" s="38"/>
      <c r="G225" s="38"/>
      <c r="H225" s="39">
        <f t="shared" si="6"/>
        <v>0</v>
      </c>
      <c r="I225" s="41"/>
      <c r="J225" s="41" t="str">
        <f t="shared" si="7"/>
        <v/>
      </c>
    </row>
    <row r="226" spans="3:10" ht="15">
      <c r="C226" s="45"/>
      <c r="D226" s="38"/>
      <c r="E226" s="38"/>
      <c r="F226" s="38"/>
      <c r="G226" s="38"/>
      <c r="H226" s="39">
        <f t="shared" si="6"/>
        <v>0</v>
      </c>
      <c r="I226" s="41"/>
      <c r="J226" s="41" t="str">
        <f t="shared" si="7"/>
        <v/>
      </c>
    </row>
    <row r="227" spans="3:10" ht="15">
      <c r="C227" s="45"/>
      <c r="D227" s="38"/>
      <c r="E227" s="38"/>
      <c r="F227" s="38"/>
      <c r="G227" s="38"/>
      <c r="H227" s="39">
        <f t="shared" si="6"/>
        <v>0</v>
      </c>
      <c r="I227" s="41"/>
      <c r="J227" s="41" t="str">
        <f t="shared" si="7"/>
        <v/>
      </c>
    </row>
    <row r="228" spans="3:10" ht="15">
      <c r="C228" s="45"/>
      <c r="D228" s="38"/>
      <c r="E228" s="38"/>
      <c r="F228" s="38"/>
      <c r="G228" s="38"/>
      <c r="H228" s="39">
        <f t="shared" si="6"/>
        <v>0</v>
      </c>
      <c r="I228" s="41"/>
      <c r="J228" s="41" t="str">
        <f t="shared" si="7"/>
        <v/>
      </c>
    </row>
    <row r="229" spans="3:10" ht="15">
      <c r="C229" s="45"/>
      <c r="D229" s="38"/>
      <c r="E229" s="38"/>
      <c r="F229" s="38"/>
      <c r="G229" s="38"/>
      <c r="H229" s="39">
        <f t="shared" si="6"/>
        <v>0</v>
      </c>
      <c r="I229" s="41"/>
      <c r="J229" s="41" t="str">
        <f t="shared" si="7"/>
        <v/>
      </c>
    </row>
    <row r="230" spans="3:10" ht="15">
      <c r="C230" s="45"/>
      <c r="D230" s="38"/>
      <c r="E230" s="38"/>
      <c r="F230" s="38"/>
      <c r="G230" s="38"/>
      <c r="H230" s="39">
        <f t="shared" si="6"/>
        <v>0</v>
      </c>
      <c r="I230" s="41"/>
      <c r="J230" s="41" t="str">
        <f t="shared" si="7"/>
        <v/>
      </c>
    </row>
    <row r="231" spans="3:10" ht="15">
      <c r="C231" s="45"/>
      <c r="D231" s="38"/>
      <c r="E231" s="38"/>
      <c r="F231" s="38"/>
      <c r="G231" s="38"/>
      <c r="H231" s="39">
        <f t="shared" si="6"/>
        <v>0</v>
      </c>
      <c r="I231" s="41"/>
      <c r="J231" s="41" t="str">
        <f t="shared" si="7"/>
        <v/>
      </c>
    </row>
    <row r="232" spans="3:10" ht="15">
      <c r="C232" s="45"/>
      <c r="D232" s="38"/>
      <c r="E232" s="38"/>
      <c r="F232" s="38"/>
      <c r="G232" s="38"/>
      <c r="H232" s="39">
        <f t="shared" si="6"/>
        <v>0</v>
      </c>
      <c r="I232" s="41"/>
      <c r="J232" s="41" t="str">
        <f t="shared" si="7"/>
        <v/>
      </c>
    </row>
    <row r="233" spans="3:10" ht="15">
      <c r="C233" s="45"/>
      <c r="D233" s="38"/>
      <c r="E233" s="38"/>
      <c r="F233" s="38"/>
      <c r="G233" s="38"/>
      <c r="H233" s="39">
        <f t="shared" si="6"/>
        <v>0</v>
      </c>
      <c r="I233" s="41"/>
      <c r="J233" s="41" t="str">
        <f t="shared" si="7"/>
        <v/>
      </c>
    </row>
    <row r="234" spans="3:10" ht="15">
      <c r="C234" s="45"/>
      <c r="D234" s="38"/>
      <c r="E234" s="38"/>
      <c r="F234" s="38"/>
      <c r="G234" s="38"/>
      <c r="H234" s="39">
        <f t="shared" si="6"/>
        <v>0</v>
      </c>
      <c r="I234" s="41"/>
      <c r="J234" s="41" t="str">
        <f t="shared" si="7"/>
        <v/>
      </c>
    </row>
    <row r="235" spans="3:10" ht="15">
      <c r="C235" s="45"/>
      <c r="D235" s="38"/>
      <c r="E235" s="38"/>
      <c r="F235" s="38"/>
      <c r="G235" s="38"/>
      <c r="H235" s="39">
        <f t="shared" si="6"/>
        <v>0</v>
      </c>
      <c r="I235" s="41"/>
      <c r="J235" s="41" t="str">
        <f t="shared" si="7"/>
        <v/>
      </c>
    </row>
    <row r="236" spans="3:10" ht="15">
      <c r="C236" s="45"/>
      <c r="D236" s="38"/>
      <c r="E236" s="38"/>
      <c r="F236" s="38"/>
      <c r="G236" s="38"/>
      <c r="H236" s="39">
        <f t="shared" si="6"/>
        <v>0</v>
      </c>
      <c r="I236" s="41"/>
      <c r="J236" s="41" t="str">
        <f t="shared" si="7"/>
        <v/>
      </c>
    </row>
    <row r="237" spans="3:10" ht="15">
      <c r="C237" s="45"/>
      <c r="D237" s="38"/>
      <c r="E237" s="38"/>
      <c r="F237" s="38"/>
      <c r="G237" s="38"/>
      <c r="H237" s="39">
        <f t="shared" si="6"/>
        <v>0</v>
      </c>
      <c r="I237" s="41"/>
      <c r="J237" s="41" t="str">
        <f t="shared" si="7"/>
        <v/>
      </c>
    </row>
    <row r="238" spans="3:10" ht="15">
      <c r="C238" s="45"/>
      <c r="D238" s="38"/>
      <c r="E238" s="38"/>
      <c r="F238" s="38"/>
      <c r="G238" s="38"/>
      <c r="H238" s="39">
        <f t="shared" si="6"/>
        <v>0</v>
      </c>
      <c r="I238" s="41"/>
      <c r="J238" s="41" t="str">
        <f t="shared" si="7"/>
        <v/>
      </c>
    </row>
    <row r="239" spans="3:10" ht="15">
      <c r="C239" s="45"/>
      <c r="D239" s="38"/>
      <c r="E239" s="38"/>
      <c r="F239" s="38"/>
      <c r="G239" s="38"/>
      <c r="H239" s="39">
        <f t="shared" si="6"/>
        <v>0</v>
      </c>
      <c r="I239" s="41"/>
      <c r="J239" s="41" t="str">
        <f t="shared" si="7"/>
        <v/>
      </c>
    </row>
    <row r="240" spans="3:10" ht="15">
      <c r="C240" s="45"/>
      <c r="D240" s="38"/>
      <c r="E240" s="38"/>
      <c r="F240" s="38"/>
      <c r="G240" s="38"/>
      <c r="H240" s="39">
        <f t="shared" si="6"/>
        <v>0</v>
      </c>
      <c r="I240" s="41"/>
      <c r="J240" s="41" t="str">
        <f t="shared" si="7"/>
        <v/>
      </c>
    </row>
    <row r="241" spans="3:10" ht="15">
      <c r="C241" s="45"/>
      <c r="D241" s="38"/>
      <c r="E241" s="38"/>
      <c r="F241" s="38"/>
      <c r="G241" s="38"/>
      <c r="H241" s="39">
        <f t="shared" si="6"/>
        <v>0</v>
      </c>
      <c r="I241" s="41"/>
      <c r="J241" s="41" t="str">
        <f t="shared" si="7"/>
        <v/>
      </c>
    </row>
    <row r="242" spans="3:10" ht="15">
      <c r="C242" s="45"/>
      <c r="D242" s="38"/>
      <c r="E242" s="38"/>
      <c r="F242" s="38"/>
      <c r="G242" s="38"/>
      <c r="H242" s="39">
        <f t="shared" si="6"/>
        <v>0</v>
      </c>
      <c r="I242" s="41"/>
      <c r="J242" s="41" t="str">
        <f t="shared" si="7"/>
        <v/>
      </c>
    </row>
    <row r="243" spans="3:10" ht="15">
      <c r="C243" s="45"/>
      <c r="D243" s="38"/>
      <c r="E243" s="38"/>
      <c r="F243" s="38"/>
      <c r="G243" s="38"/>
      <c r="H243" s="39">
        <f t="shared" si="6"/>
        <v>0</v>
      </c>
      <c r="I243" s="41"/>
      <c r="J243" s="41" t="str">
        <f t="shared" si="7"/>
        <v/>
      </c>
    </row>
    <row r="244" spans="3:10" ht="15">
      <c r="C244" s="45"/>
      <c r="D244" s="38"/>
      <c r="E244" s="38"/>
      <c r="F244" s="38"/>
      <c r="G244" s="38"/>
      <c r="H244" s="39">
        <f t="shared" si="6"/>
        <v>0</v>
      </c>
      <c r="I244" s="41"/>
      <c r="J244" s="41" t="str">
        <f t="shared" si="7"/>
        <v/>
      </c>
    </row>
    <row r="245" spans="3:10" ht="15">
      <c r="C245" s="45"/>
      <c r="D245" s="38"/>
      <c r="E245" s="38"/>
      <c r="F245" s="38"/>
      <c r="G245" s="38"/>
      <c r="H245" s="39">
        <f t="shared" si="6"/>
        <v>0</v>
      </c>
      <c r="I245" s="41"/>
      <c r="J245" s="41" t="str">
        <f t="shared" si="7"/>
        <v/>
      </c>
    </row>
    <row r="246" spans="3:10" ht="15">
      <c r="C246" s="45"/>
      <c r="D246" s="38"/>
      <c r="E246" s="38"/>
      <c r="F246" s="38"/>
      <c r="G246" s="38"/>
      <c r="H246" s="39">
        <f t="shared" si="6"/>
        <v>0</v>
      </c>
      <c r="I246" s="41"/>
      <c r="J246" s="41" t="str">
        <f t="shared" si="7"/>
        <v/>
      </c>
    </row>
    <row r="247" spans="3:10" ht="15">
      <c r="C247" s="45"/>
      <c r="D247" s="38"/>
      <c r="E247" s="38"/>
      <c r="F247" s="38"/>
      <c r="G247" s="38"/>
      <c r="H247" s="39">
        <f t="shared" si="6"/>
        <v>0</v>
      </c>
      <c r="I247" s="41"/>
      <c r="J247" s="41" t="str">
        <f t="shared" si="7"/>
        <v/>
      </c>
    </row>
    <row r="248" spans="3:10" ht="15">
      <c r="C248" s="45"/>
      <c r="D248" s="38"/>
      <c r="E248" s="38"/>
      <c r="F248" s="38"/>
      <c r="G248" s="38"/>
      <c r="H248" s="39">
        <f t="shared" si="6"/>
        <v>0</v>
      </c>
      <c r="I248" s="41"/>
      <c r="J248" s="41" t="str">
        <f t="shared" si="7"/>
        <v/>
      </c>
    </row>
    <row r="249" spans="3:10" ht="15">
      <c r="C249" s="45"/>
      <c r="D249" s="38"/>
      <c r="E249" s="38"/>
      <c r="F249" s="38"/>
      <c r="G249" s="38"/>
      <c r="H249" s="39">
        <f t="shared" si="6"/>
        <v>0</v>
      </c>
      <c r="I249" s="41"/>
      <c r="J249" s="41" t="str">
        <f t="shared" si="7"/>
        <v/>
      </c>
    </row>
    <row r="250" spans="3:10" ht="15">
      <c r="C250" s="45"/>
      <c r="D250" s="38"/>
      <c r="E250" s="38"/>
      <c r="F250" s="38"/>
      <c r="G250" s="38"/>
      <c r="H250" s="39">
        <f t="shared" si="6"/>
        <v>0</v>
      </c>
      <c r="I250" s="41"/>
      <c r="J250" s="41" t="str">
        <f t="shared" si="7"/>
        <v/>
      </c>
    </row>
    <row r="251" spans="3:10" ht="15">
      <c r="C251" s="45"/>
      <c r="D251" s="38"/>
      <c r="E251" s="38"/>
      <c r="F251" s="38"/>
      <c r="G251" s="38"/>
      <c r="H251" s="39">
        <f t="shared" si="6"/>
        <v>0</v>
      </c>
      <c r="I251" s="41"/>
      <c r="J251" s="41" t="str">
        <f t="shared" si="7"/>
        <v/>
      </c>
    </row>
    <row r="252" spans="3:10" ht="15">
      <c r="C252" s="45"/>
      <c r="D252" s="38"/>
      <c r="E252" s="38"/>
      <c r="F252" s="38"/>
      <c r="G252" s="38"/>
      <c r="H252" s="39">
        <f t="shared" si="6"/>
        <v>0</v>
      </c>
      <c r="I252" s="41"/>
      <c r="J252" s="41" t="str">
        <f t="shared" si="7"/>
        <v/>
      </c>
    </row>
    <row r="253" spans="3:10" ht="15">
      <c r="C253" s="45"/>
      <c r="D253" s="38"/>
      <c r="E253" s="38"/>
      <c r="F253" s="38"/>
      <c r="G253" s="38"/>
      <c r="H253" s="39">
        <f t="shared" si="6"/>
        <v>0</v>
      </c>
      <c r="I253" s="41"/>
      <c r="J253" s="41" t="str">
        <f t="shared" si="7"/>
        <v/>
      </c>
    </row>
    <row r="254" spans="3:10" ht="15">
      <c r="C254" s="45"/>
      <c r="D254" s="38"/>
      <c r="E254" s="38"/>
      <c r="F254" s="38"/>
      <c r="G254" s="38"/>
      <c r="H254" s="39">
        <f t="shared" si="6"/>
        <v>0</v>
      </c>
      <c r="I254" s="41"/>
      <c r="J254" s="41" t="str">
        <f t="shared" si="7"/>
        <v/>
      </c>
    </row>
    <row r="255" spans="3:10" ht="15">
      <c r="C255" s="45"/>
      <c r="D255" s="38"/>
      <c r="E255" s="38"/>
      <c r="F255" s="38"/>
      <c r="G255" s="38"/>
      <c r="H255" s="39">
        <f t="shared" si="6"/>
        <v>0</v>
      </c>
      <c r="I255" s="41"/>
      <c r="J255" s="41" t="str">
        <f t="shared" si="7"/>
        <v/>
      </c>
    </row>
    <row r="256" spans="3:10" ht="15">
      <c r="C256" s="45"/>
      <c r="D256" s="38"/>
      <c r="E256" s="38"/>
      <c r="F256" s="38"/>
      <c r="G256" s="38"/>
      <c r="H256" s="39">
        <f t="shared" si="6"/>
        <v>0</v>
      </c>
      <c r="I256" s="41"/>
      <c r="J256" s="41" t="str">
        <f t="shared" si="7"/>
        <v/>
      </c>
    </row>
    <row r="257" spans="3:10" ht="15">
      <c r="C257" s="45"/>
      <c r="D257" s="38"/>
      <c r="E257" s="38"/>
      <c r="F257" s="38"/>
      <c r="G257" s="38"/>
      <c r="H257" s="39">
        <f t="shared" si="6"/>
        <v>0</v>
      </c>
      <c r="I257" s="41"/>
      <c r="J257" s="41" t="str">
        <f t="shared" si="7"/>
        <v/>
      </c>
    </row>
    <row r="258" spans="3:10" ht="15">
      <c r="C258" s="45"/>
      <c r="D258" s="38"/>
      <c r="E258" s="38"/>
      <c r="F258" s="38"/>
      <c r="G258" s="38"/>
      <c r="H258" s="39">
        <f t="shared" si="6"/>
        <v>0</v>
      </c>
      <c r="I258" s="41"/>
      <c r="J258" s="41" t="str">
        <f t="shared" si="7"/>
        <v/>
      </c>
    </row>
    <row r="259" spans="3:10" ht="15">
      <c r="C259" s="45"/>
      <c r="D259" s="38"/>
      <c r="E259" s="38"/>
      <c r="F259" s="38"/>
      <c r="G259" s="38"/>
      <c r="H259" s="39">
        <f t="shared" si="6"/>
        <v>0</v>
      </c>
      <c r="I259" s="41"/>
      <c r="J259" s="41" t="str">
        <f t="shared" si="7"/>
        <v/>
      </c>
    </row>
    <row r="260" spans="3:10" ht="15">
      <c r="C260" s="45"/>
      <c r="D260" s="38"/>
      <c r="E260" s="38"/>
      <c r="F260" s="38"/>
      <c r="G260" s="38"/>
      <c r="H260" s="39">
        <f t="shared" si="6"/>
        <v>0</v>
      </c>
      <c r="I260" s="41"/>
      <c r="J260" s="41" t="str">
        <f t="shared" si="7"/>
        <v/>
      </c>
    </row>
    <row r="261" spans="3:10" ht="15">
      <c r="C261" s="45"/>
      <c r="D261" s="38"/>
      <c r="E261" s="38"/>
      <c r="F261" s="38"/>
      <c r="G261" s="38"/>
      <c r="H261" s="39">
        <f t="shared" ref="H261:H303" si="8">IF(F261&lt;&gt;"",G261/F261,0)</f>
        <v>0</v>
      </c>
      <c r="I261" s="41"/>
      <c r="J261" s="41" t="str">
        <f t="shared" ref="J261:J303" si="9">IF(I261&lt;&gt;"",COUNTIF(I:I,I261),"")</f>
        <v/>
      </c>
    </row>
    <row r="262" spans="3:10" ht="15">
      <c r="C262" s="45"/>
      <c r="D262" s="38"/>
      <c r="E262" s="38"/>
      <c r="F262" s="38"/>
      <c r="G262" s="38"/>
      <c r="H262" s="39">
        <f t="shared" si="8"/>
        <v>0</v>
      </c>
      <c r="I262" s="41"/>
      <c r="J262" s="41" t="str">
        <f t="shared" si="9"/>
        <v/>
      </c>
    </row>
    <row r="263" spans="3:10" ht="15">
      <c r="C263" s="45"/>
      <c r="D263" s="38"/>
      <c r="E263" s="38"/>
      <c r="F263" s="38"/>
      <c r="G263" s="38"/>
      <c r="H263" s="39">
        <f t="shared" si="8"/>
        <v>0</v>
      </c>
      <c r="I263" s="41"/>
      <c r="J263" s="41" t="str">
        <f t="shared" si="9"/>
        <v/>
      </c>
    </row>
    <row r="264" spans="3:10" ht="15">
      <c r="C264" s="45"/>
      <c r="D264" s="38"/>
      <c r="E264" s="38"/>
      <c r="F264" s="38"/>
      <c r="G264" s="38"/>
      <c r="H264" s="39">
        <f t="shared" si="8"/>
        <v>0</v>
      </c>
      <c r="I264" s="41"/>
      <c r="J264" s="41" t="str">
        <f t="shared" si="9"/>
        <v/>
      </c>
    </row>
    <row r="265" spans="3:10" ht="15">
      <c r="C265" s="45"/>
      <c r="D265" s="38"/>
      <c r="E265" s="38"/>
      <c r="F265" s="38"/>
      <c r="G265" s="38"/>
      <c r="H265" s="39">
        <f t="shared" si="8"/>
        <v>0</v>
      </c>
      <c r="I265" s="41"/>
      <c r="J265" s="41" t="str">
        <f t="shared" si="9"/>
        <v/>
      </c>
    </row>
    <row r="266" spans="3:10" ht="15">
      <c r="C266" s="45"/>
      <c r="D266" s="38"/>
      <c r="E266" s="38"/>
      <c r="F266" s="38"/>
      <c r="G266" s="38"/>
      <c r="H266" s="39">
        <f t="shared" si="8"/>
        <v>0</v>
      </c>
      <c r="I266" s="41"/>
      <c r="J266" s="41" t="str">
        <f t="shared" si="9"/>
        <v/>
      </c>
    </row>
    <row r="267" spans="3:10" ht="15">
      <c r="C267" s="45"/>
      <c r="D267" s="38"/>
      <c r="E267" s="38"/>
      <c r="F267" s="38"/>
      <c r="G267" s="38"/>
      <c r="H267" s="39">
        <f t="shared" si="8"/>
        <v>0</v>
      </c>
      <c r="I267" s="41"/>
      <c r="J267" s="41" t="str">
        <f t="shared" si="9"/>
        <v/>
      </c>
    </row>
    <row r="268" spans="3:10" ht="15">
      <c r="C268" s="45"/>
      <c r="D268" s="38"/>
      <c r="E268" s="38"/>
      <c r="F268" s="38"/>
      <c r="G268" s="38"/>
      <c r="H268" s="39">
        <f t="shared" si="8"/>
        <v>0</v>
      </c>
      <c r="I268" s="41"/>
      <c r="J268" s="41" t="str">
        <f t="shared" si="9"/>
        <v/>
      </c>
    </row>
    <row r="269" spans="3:10" ht="15">
      <c r="C269" s="45"/>
      <c r="D269" s="38"/>
      <c r="E269" s="38"/>
      <c r="F269" s="38"/>
      <c r="G269" s="38"/>
      <c r="H269" s="39">
        <f t="shared" si="8"/>
        <v>0</v>
      </c>
      <c r="I269" s="41"/>
      <c r="J269" s="41" t="str">
        <f t="shared" si="9"/>
        <v/>
      </c>
    </row>
    <row r="270" spans="3:10" ht="15">
      <c r="C270" s="45"/>
      <c r="D270" s="38"/>
      <c r="E270" s="38"/>
      <c r="F270" s="38"/>
      <c r="G270" s="38"/>
      <c r="H270" s="39">
        <f t="shared" si="8"/>
        <v>0</v>
      </c>
      <c r="I270" s="41"/>
      <c r="J270" s="41" t="str">
        <f t="shared" si="9"/>
        <v/>
      </c>
    </row>
    <row r="271" spans="3:10" ht="15">
      <c r="C271" s="45"/>
      <c r="D271" s="38"/>
      <c r="E271" s="38"/>
      <c r="F271" s="38"/>
      <c r="G271" s="38"/>
      <c r="H271" s="39">
        <f t="shared" si="8"/>
        <v>0</v>
      </c>
      <c r="I271" s="41"/>
      <c r="J271" s="41" t="str">
        <f t="shared" si="9"/>
        <v/>
      </c>
    </row>
    <row r="272" spans="3:10" ht="15">
      <c r="C272" s="45"/>
      <c r="D272" s="38"/>
      <c r="E272" s="38"/>
      <c r="F272" s="38"/>
      <c r="G272" s="38"/>
      <c r="H272" s="39">
        <f t="shared" si="8"/>
        <v>0</v>
      </c>
      <c r="I272" s="41"/>
      <c r="J272" s="41" t="str">
        <f t="shared" si="9"/>
        <v/>
      </c>
    </row>
    <row r="273" spans="3:10" ht="15">
      <c r="C273" s="45"/>
      <c r="D273" s="38"/>
      <c r="E273" s="38"/>
      <c r="F273" s="38"/>
      <c r="G273" s="38"/>
      <c r="H273" s="39">
        <f t="shared" si="8"/>
        <v>0</v>
      </c>
      <c r="I273" s="41"/>
      <c r="J273" s="41" t="str">
        <f t="shared" si="9"/>
        <v/>
      </c>
    </row>
    <row r="274" spans="3:10" ht="15">
      <c r="C274" s="45"/>
      <c r="D274" s="38"/>
      <c r="E274" s="38"/>
      <c r="F274" s="38"/>
      <c r="G274" s="38"/>
      <c r="H274" s="39">
        <f t="shared" si="8"/>
        <v>0</v>
      </c>
      <c r="I274" s="41"/>
      <c r="J274" s="41" t="str">
        <f t="shared" si="9"/>
        <v/>
      </c>
    </row>
    <row r="275" spans="3:10" ht="15">
      <c r="C275" s="45"/>
      <c r="D275" s="38"/>
      <c r="E275" s="38"/>
      <c r="F275" s="38"/>
      <c r="G275" s="38"/>
      <c r="H275" s="39">
        <f t="shared" si="8"/>
        <v>0</v>
      </c>
      <c r="I275" s="41"/>
      <c r="J275" s="41" t="str">
        <f t="shared" si="9"/>
        <v/>
      </c>
    </row>
    <row r="276" spans="3:10" ht="15">
      <c r="C276" s="45"/>
      <c r="D276" s="38"/>
      <c r="E276" s="38"/>
      <c r="F276" s="38"/>
      <c r="G276" s="38"/>
      <c r="H276" s="39">
        <f t="shared" si="8"/>
        <v>0</v>
      </c>
      <c r="I276" s="41"/>
      <c r="J276" s="41" t="str">
        <f t="shared" si="9"/>
        <v/>
      </c>
    </row>
    <row r="277" spans="3:10" ht="15">
      <c r="C277" s="45"/>
      <c r="D277" s="38"/>
      <c r="E277" s="38"/>
      <c r="F277" s="38"/>
      <c r="G277" s="38"/>
      <c r="H277" s="39">
        <f t="shared" si="8"/>
        <v>0</v>
      </c>
      <c r="I277" s="41"/>
      <c r="J277" s="41" t="str">
        <f t="shared" si="9"/>
        <v/>
      </c>
    </row>
    <row r="278" spans="3:10" ht="15">
      <c r="C278" s="45"/>
      <c r="D278" s="38"/>
      <c r="E278" s="38"/>
      <c r="F278" s="38"/>
      <c r="G278" s="38"/>
      <c r="H278" s="39">
        <f t="shared" si="8"/>
        <v>0</v>
      </c>
      <c r="I278" s="41"/>
      <c r="J278" s="41" t="str">
        <f t="shared" si="9"/>
        <v/>
      </c>
    </row>
    <row r="279" spans="3:10" ht="15">
      <c r="C279" s="45"/>
      <c r="D279" s="38"/>
      <c r="E279" s="38"/>
      <c r="F279" s="38"/>
      <c r="G279" s="38"/>
      <c r="H279" s="39">
        <f t="shared" si="8"/>
        <v>0</v>
      </c>
      <c r="I279" s="41"/>
      <c r="J279" s="41" t="str">
        <f t="shared" si="9"/>
        <v/>
      </c>
    </row>
    <row r="280" spans="3:10" ht="15">
      <c r="C280" s="45"/>
      <c r="D280" s="38"/>
      <c r="E280" s="38"/>
      <c r="F280" s="38"/>
      <c r="G280" s="38"/>
      <c r="H280" s="39">
        <f t="shared" si="8"/>
        <v>0</v>
      </c>
      <c r="I280" s="41"/>
      <c r="J280" s="41" t="str">
        <f t="shared" si="9"/>
        <v/>
      </c>
    </row>
    <row r="281" spans="3:10" ht="15">
      <c r="C281" s="45"/>
      <c r="D281" s="38"/>
      <c r="E281" s="38"/>
      <c r="F281" s="38"/>
      <c r="G281" s="38"/>
      <c r="H281" s="39">
        <f t="shared" si="8"/>
        <v>0</v>
      </c>
      <c r="I281" s="41"/>
      <c r="J281" s="41" t="str">
        <f t="shared" si="9"/>
        <v/>
      </c>
    </row>
    <row r="282" spans="3:10" ht="15">
      <c r="C282" s="45"/>
      <c r="D282" s="38"/>
      <c r="E282" s="38"/>
      <c r="F282" s="38"/>
      <c r="G282" s="38"/>
      <c r="H282" s="39">
        <f t="shared" si="8"/>
        <v>0</v>
      </c>
      <c r="I282" s="41"/>
      <c r="J282" s="41" t="str">
        <f t="shared" si="9"/>
        <v/>
      </c>
    </row>
    <row r="283" spans="3:10" ht="15">
      <c r="C283" s="45"/>
      <c r="D283" s="38"/>
      <c r="E283" s="38"/>
      <c r="F283" s="38"/>
      <c r="G283" s="38"/>
      <c r="H283" s="39">
        <f t="shared" si="8"/>
        <v>0</v>
      </c>
      <c r="I283" s="41"/>
      <c r="J283" s="41" t="str">
        <f t="shared" si="9"/>
        <v/>
      </c>
    </row>
    <row r="284" spans="3:10" ht="15">
      <c r="C284" s="45"/>
      <c r="D284" s="38"/>
      <c r="E284" s="38"/>
      <c r="F284" s="38"/>
      <c r="G284" s="38"/>
      <c r="H284" s="39">
        <f t="shared" si="8"/>
        <v>0</v>
      </c>
      <c r="I284" s="41"/>
      <c r="J284" s="41" t="str">
        <f t="shared" si="9"/>
        <v/>
      </c>
    </row>
    <row r="285" spans="3:10" ht="15">
      <c r="C285" s="45"/>
      <c r="D285" s="38"/>
      <c r="E285" s="38"/>
      <c r="F285" s="38"/>
      <c r="G285" s="38"/>
      <c r="H285" s="39">
        <f t="shared" si="8"/>
        <v>0</v>
      </c>
      <c r="I285" s="41"/>
      <c r="J285" s="41" t="str">
        <f t="shared" si="9"/>
        <v/>
      </c>
    </row>
    <row r="286" spans="3:10" ht="15">
      <c r="C286" s="45"/>
      <c r="D286" s="38"/>
      <c r="E286" s="38"/>
      <c r="F286" s="38"/>
      <c r="G286" s="38"/>
      <c r="H286" s="39">
        <f t="shared" si="8"/>
        <v>0</v>
      </c>
      <c r="I286" s="41"/>
      <c r="J286" s="41" t="str">
        <f t="shared" si="9"/>
        <v/>
      </c>
    </row>
    <row r="287" spans="3:10" ht="15">
      <c r="C287" s="45"/>
      <c r="D287" s="38"/>
      <c r="E287" s="38"/>
      <c r="F287" s="38"/>
      <c r="G287" s="38"/>
      <c r="H287" s="39">
        <f t="shared" si="8"/>
        <v>0</v>
      </c>
      <c r="I287" s="41"/>
      <c r="J287" s="41" t="str">
        <f t="shared" si="9"/>
        <v/>
      </c>
    </row>
    <row r="288" spans="3:10" ht="15">
      <c r="C288" s="45"/>
      <c r="D288" s="38"/>
      <c r="E288" s="38"/>
      <c r="F288" s="38"/>
      <c r="G288" s="38"/>
      <c r="H288" s="39">
        <f t="shared" si="8"/>
        <v>0</v>
      </c>
      <c r="I288" s="41"/>
      <c r="J288" s="41" t="str">
        <f t="shared" si="9"/>
        <v/>
      </c>
    </row>
    <row r="289" spans="3:10" ht="15">
      <c r="C289" s="45"/>
      <c r="D289" s="38"/>
      <c r="E289" s="38"/>
      <c r="F289" s="38"/>
      <c r="G289" s="38"/>
      <c r="H289" s="39">
        <f t="shared" si="8"/>
        <v>0</v>
      </c>
      <c r="I289" s="41"/>
      <c r="J289" s="41" t="str">
        <f t="shared" si="9"/>
        <v/>
      </c>
    </row>
    <row r="290" spans="3:10" ht="15">
      <c r="C290" s="45"/>
      <c r="D290" s="38"/>
      <c r="E290" s="38"/>
      <c r="F290" s="38"/>
      <c r="G290" s="38"/>
      <c r="H290" s="39">
        <f t="shared" si="8"/>
        <v>0</v>
      </c>
      <c r="I290" s="41"/>
      <c r="J290" s="41" t="str">
        <f t="shared" si="9"/>
        <v/>
      </c>
    </row>
    <row r="291" spans="3:10" ht="15">
      <c r="C291" s="45"/>
      <c r="D291" s="38"/>
      <c r="E291" s="38"/>
      <c r="F291" s="38"/>
      <c r="G291" s="38"/>
      <c r="H291" s="39">
        <f t="shared" si="8"/>
        <v>0</v>
      </c>
      <c r="I291" s="41"/>
      <c r="J291" s="41" t="str">
        <f t="shared" si="9"/>
        <v/>
      </c>
    </row>
    <row r="292" spans="3:10" ht="15">
      <c r="C292" s="45"/>
      <c r="D292" s="38"/>
      <c r="E292" s="38"/>
      <c r="F292" s="38"/>
      <c r="G292" s="38"/>
      <c r="H292" s="39">
        <f t="shared" si="8"/>
        <v>0</v>
      </c>
      <c r="I292" s="41"/>
      <c r="J292" s="41" t="str">
        <f t="shared" si="9"/>
        <v/>
      </c>
    </row>
    <row r="293" spans="3:10" ht="15">
      <c r="C293" s="45"/>
      <c r="D293" s="38"/>
      <c r="E293" s="38"/>
      <c r="F293" s="38"/>
      <c r="G293" s="38"/>
      <c r="H293" s="39">
        <f t="shared" si="8"/>
        <v>0</v>
      </c>
      <c r="I293" s="41"/>
      <c r="J293" s="41" t="str">
        <f t="shared" si="9"/>
        <v/>
      </c>
    </row>
    <row r="294" spans="3:10" ht="15">
      <c r="C294" s="45"/>
      <c r="D294" s="38"/>
      <c r="E294" s="38"/>
      <c r="F294" s="38"/>
      <c r="G294" s="38"/>
      <c r="H294" s="39">
        <f t="shared" si="8"/>
        <v>0</v>
      </c>
      <c r="I294" s="41"/>
      <c r="J294" s="41" t="str">
        <f t="shared" si="9"/>
        <v/>
      </c>
    </row>
    <row r="295" spans="3:10" ht="15">
      <c r="C295" s="45"/>
      <c r="D295" s="38"/>
      <c r="E295" s="38"/>
      <c r="F295" s="38"/>
      <c r="G295" s="38"/>
      <c r="H295" s="39">
        <f t="shared" si="8"/>
        <v>0</v>
      </c>
      <c r="I295" s="41"/>
      <c r="J295" s="41" t="str">
        <f t="shared" si="9"/>
        <v/>
      </c>
    </row>
    <row r="296" spans="3:10" ht="15">
      <c r="C296" s="45"/>
      <c r="D296" s="38"/>
      <c r="E296" s="38"/>
      <c r="F296" s="38"/>
      <c r="G296" s="38"/>
      <c r="H296" s="39">
        <f t="shared" si="8"/>
        <v>0</v>
      </c>
      <c r="I296" s="41"/>
      <c r="J296" s="41" t="str">
        <f t="shared" si="9"/>
        <v/>
      </c>
    </row>
    <row r="297" spans="3:10" ht="15">
      <c r="C297" s="45"/>
      <c r="D297" s="38"/>
      <c r="E297" s="38"/>
      <c r="F297" s="38"/>
      <c r="G297" s="38"/>
      <c r="H297" s="39">
        <f t="shared" si="8"/>
        <v>0</v>
      </c>
      <c r="I297" s="41"/>
      <c r="J297" s="41" t="str">
        <f t="shared" si="9"/>
        <v/>
      </c>
    </row>
    <row r="298" spans="3:10" ht="15">
      <c r="C298" s="45"/>
      <c r="D298" s="38"/>
      <c r="E298" s="38"/>
      <c r="F298" s="38"/>
      <c r="G298" s="38"/>
      <c r="H298" s="39">
        <f t="shared" si="8"/>
        <v>0</v>
      </c>
      <c r="I298" s="41"/>
      <c r="J298" s="41" t="str">
        <f t="shared" si="9"/>
        <v/>
      </c>
    </row>
    <row r="299" spans="3:10" ht="15">
      <c r="C299" s="45"/>
      <c r="D299" s="38"/>
      <c r="E299" s="38"/>
      <c r="F299" s="38"/>
      <c r="G299" s="38"/>
      <c r="H299" s="39">
        <f t="shared" si="8"/>
        <v>0</v>
      </c>
      <c r="I299" s="41"/>
      <c r="J299" s="41" t="str">
        <f t="shared" si="9"/>
        <v/>
      </c>
    </row>
    <row r="300" spans="3:10" ht="15">
      <c r="C300" s="45"/>
      <c r="D300" s="38"/>
      <c r="E300" s="38"/>
      <c r="F300" s="38"/>
      <c r="G300" s="38"/>
      <c r="H300" s="39">
        <f t="shared" si="8"/>
        <v>0</v>
      </c>
      <c r="I300" s="41"/>
      <c r="J300" s="41" t="str">
        <f t="shared" si="9"/>
        <v/>
      </c>
    </row>
    <row r="301" spans="3:10" ht="15">
      <c r="C301" s="45"/>
      <c r="D301" s="38"/>
      <c r="E301" s="38"/>
      <c r="F301" s="38"/>
      <c r="G301" s="38"/>
      <c r="H301" s="39">
        <f t="shared" si="8"/>
        <v>0</v>
      </c>
      <c r="I301" s="41"/>
      <c r="J301" s="41" t="str">
        <f t="shared" si="9"/>
        <v/>
      </c>
    </row>
    <row r="302" spans="3:10" ht="15">
      <c r="C302" s="45"/>
      <c r="D302" s="38"/>
      <c r="E302" s="38"/>
      <c r="F302" s="38"/>
      <c r="G302" s="38"/>
      <c r="H302" s="39">
        <f t="shared" si="8"/>
        <v>0</v>
      </c>
      <c r="I302" s="41"/>
      <c r="J302" s="41" t="str">
        <f t="shared" si="9"/>
        <v/>
      </c>
    </row>
    <row r="303" spans="3:10" ht="15">
      <c r="C303" s="45"/>
      <c r="D303" s="38"/>
      <c r="E303" s="38"/>
      <c r="F303" s="38"/>
      <c r="G303" s="38"/>
      <c r="H303" s="39">
        <f t="shared" si="8"/>
        <v>0</v>
      </c>
      <c r="I303" s="41"/>
      <c r="J303" s="41" t="str">
        <f t="shared" si="9"/>
        <v/>
      </c>
    </row>
  </sheetData>
  <autoFilter ref="B4:K303" xr:uid="{00000000-0009-0000-0000-000007000000}"/>
  <phoneticPr fontId="59"/>
  <conditionalFormatting sqref="D5:D1048576">
    <cfRule type="cellIs" dxfId="20" priority="19" operator="greaterThan">
      <formula>9</formula>
    </cfRule>
    <cfRule type="cellIs" dxfId="19" priority="20" operator="greaterThan">
      <formula>8</formula>
    </cfRule>
    <cfRule type="cellIs" dxfId="18" priority="21" operator="greaterThan">
      <formula>7</formula>
    </cfRule>
  </conditionalFormatting>
  <conditionalFormatting sqref="G5:G1048576">
    <cfRule type="cellIs" dxfId="17" priority="13" operator="greaterThan">
      <formula>1000</formula>
    </cfRule>
    <cfRule type="cellIs" dxfId="16" priority="14" operator="greaterThan">
      <formula>500</formula>
    </cfRule>
    <cfRule type="cellIs" dxfId="15" priority="15" operator="greaterThan">
      <formula>1</formula>
    </cfRule>
  </conditionalFormatting>
  <conditionalFormatting sqref="H5:H1048576">
    <cfRule type="cellIs" dxfId="14" priority="9" operator="equal">
      <formula>0</formula>
    </cfRule>
    <cfRule type="cellIs" dxfId="13" priority="10" operator="greaterThan">
      <formula>1</formula>
    </cfRule>
    <cfRule type="cellIs" dxfId="12" priority="11" operator="greaterThan">
      <formula>0.5</formula>
    </cfRule>
    <cfRule type="cellIs" dxfId="11" priority="12" operator="greaterThan">
      <formula>0</formula>
    </cfRule>
  </conditionalFormatting>
  <conditionalFormatting sqref="I1:J1048576">
    <cfRule type="expression" dxfId="10" priority="1">
      <formula>OR($I1="福岡",$I1="佐賀",$I1="長崎",$I1="大分",$I1="熊本",$I1="宮崎",$I1="鹿児島",$I1="沖縄")</formula>
    </cfRule>
    <cfRule type="expression" dxfId="9" priority="2">
      <formula>OR($I1="愛媛",$I1="徳島",$I1="香川",$I1="高知")</formula>
    </cfRule>
    <cfRule type="expression" dxfId="8" priority="3">
      <formula>OR($I1="鳥取",$I1="島根",$I1="岡山",$I1="広島",$I1="山口")</formula>
    </cfRule>
    <cfRule type="expression" dxfId="7" priority="4">
      <formula>OR($I1="京都",$I1="大阪",$I1="兵庫",$I1="奈良",$I1="和歌山",$I1="滋賀",$I1="三重")</formula>
    </cfRule>
    <cfRule type="expression" dxfId="6" priority="5">
      <formula>OR($I1="東京",$I1="千葉",$I1="神奈川",$I1="埼玉",$I1="茨城",$I1="栃木",$I1="群馬")</formula>
    </cfRule>
    <cfRule type="expression" dxfId="5" priority="6">
      <formula>OR($I1="富山",$I1="石川",$I1="福井",$I1="長野",$I1="岐阜",$I1="静岡",$I1="愛知",$I1="新潟",$I1="山梨")</formula>
    </cfRule>
    <cfRule type="expression" dxfId="4" priority="7">
      <formula>OR($I1="北海道",$I1="青森",$I1="秋田",$I1="岩手",$I1="山形",$I1="宮城",$I1="福島")</formula>
    </cfRule>
  </conditionalFormatting>
  <conditionalFormatting sqref="E5:F1048576">
    <cfRule type="cellIs" dxfId="3" priority="16" operator="greaterThan">
      <formula>5000</formula>
    </cfRule>
    <cfRule type="cellIs" dxfId="2" priority="17" operator="greaterThan">
      <formula>1000</formula>
    </cfRule>
    <cfRule type="cellIs" dxfId="1" priority="18" operator="greaterThan">
      <formula>1</formula>
    </cfRule>
  </conditionalFormatting>
  <conditionalFormatting sqref="I5:J303">
    <cfRule type="expression" dxfId="0" priority="8">
      <formula>$I5="未定"</formula>
    </cfRule>
  </conditionalFormatting>
  <hyperlinks>
    <hyperlink ref="C115" r:id="rId1" xr:uid="{00000000-0004-0000-0700-000000000000}"/>
    <hyperlink ref="C143" r:id="rId2" xr:uid="{00000000-0004-0000-0700-000001000000}"/>
    <hyperlink ref="C81" r:id="rId3" xr:uid="{00000000-0004-0000-0700-000002000000}"/>
    <hyperlink ref="C207" r:id="rId4" xr:uid="{00000000-0004-0000-0700-000003000000}"/>
    <hyperlink ref="C215" r:id="rId5" xr:uid="{00000000-0004-0000-0700-000004000000}"/>
    <hyperlink ref="C134" r:id="rId6" xr:uid="{00000000-0004-0000-0700-000005000000}"/>
    <hyperlink ref="C180" r:id="rId7" xr:uid="{00000000-0004-0000-0700-000006000000}"/>
    <hyperlink ref="C51" r:id="rId8" xr:uid="{00000000-0004-0000-0700-000007000000}"/>
    <hyperlink ref="C52" r:id="rId9" xr:uid="{00000000-0004-0000-0700-000008000000}"/>
    <hyperlink ref="C131" r:id="rId10" xr:uid="{00000000-0004-0000-0700-000009000000}"/>
    <hyperlink ref="C59" r:id="rId11" xr:uid="{00000000-0004-0000-0700-00000A000000}"/>
    <hyperlink ref="C168" r:id="rId12" xr:uid="{00000000-0004-0000-0700-00000B000000}"/>
    <hyperlink ref="C213" r:id="rId13" xr:uid="{00000000-0004-0000-0700-00000C000000}"/>
    <hyperlink ref="C104" r:id="rId14" xr:uid="{00000000-0004-0000-0700-00000D000000}"/>
    <hyperlink ref="C8" r:id="rId15" xr:uid="{00000000-0004-0000-0700-00000E000000}"/>
    <hyperlink ref="C17" r:id="rId16" xr:uid="{00000000-0004-0000-0700-00000F000000}"/>
    <hyperlink ref="C67" r:id="rId17" xr:uid="{00000000-0004-0000-0700-000010000000}"/>
    <hyperlink ref="C172" r:id="rId18" xr:uid="{00000000-0004-0000-0700-000011000000}"/>
    <hyperlink ref="C69" r:id="rId19" xr:uid="{00000000-0004-0000-0700-000012000000}"/>
    <hyperlink ref="C205" r:id="rId20" xr:uid="{00000000-0004-0000-0700-000013000000}"/>
    <hyperlink ref="C55" r:id="rId21" xr:uid="{00000000-0004-0000-0700-000014000000}"/>
    <hyperlink ref="C144" r:id="rId22" xr:uid="{00000000-0004-0000-0700-000015000000}"/>
    <hyperlink ref="C82" r:id="rId23" xr:uid="{00000000-0004-0000-0700-000016000000}"/>
    <hyperlink ref="C28" r:id="rId24" xr:uid="{00000000-0004-0000-0700-000017000000}"/>
    <hyperlink ref="C129" r:id="rId25" xr:uid="{00000000-0004-0000-0700-000018000000}"/>
    <hyperlink ref="C203" r:id="rId26" xr:uid="{00000000-0004-0000-0700-000019000000}"/>
    <hyperlink ref="C154" r:id="rId27" xr:uid="{00000000-0004-0000-0700-00001A000000}"/>
    <hyperlink ref="C107" r:id="rId28" xr:uid="{00000000-0004-0000-0700-00001B000000}"/>
    <hyperlink ref="C88" r:id="rId29" xr:uid="{00000000-0004-0000-0700-00001C000000}"/>
    <hyperlink ref="C87" r:id="rId30" xr:uid="{00000000-0004-0000-0700-00001D000000}"/>
    <hyperlink ref="C147" r:id="rId31" xr:uid="{00000000-0004-0000-0700-00001E000000}"/>
    <hyperlink ref="C13" r:id="rId32" xr:uid="{00000000-0004-0000-0700-00001F000000}"/>
    <hyperlink ref="C113" r:id="rId33" xr:uid="{00000000-0004-0000-0700-000020000000}"/>
    <hyperlink ref="C185" r:id="rId34" xr:uid="{00000000-0004-0000-0700-000021000000}"/>
    <hyperlink ref="C46" r:id="rId35" xr:uid="{00000000-0004-0000-0700-000022000000}"/>
    <hyperlink ref="C145" r:id="rId36" xr:uid="{00000000-0004-0000-0700-000023000000}"/>
    <hyperlink ref="C208" r:id="rId37" xr:uid="{00000000-0004-0000-0700-000024000000}"/>
    <hyperlink ref="C110" r:id="rId38" xr:uid="{00000000-0004-0000-0700-000025000000}"/>
    <hyperlink ref="C206" r:id="rId39" xr:uid="{00000000-0004-0000-0700-000026000000}"/>
    <hyperlink ref="C214" r:id="rId40" xr:uid="{00000000-0004-0000-0700-000027000000}"/>
    <hyperlink ref="C156" r:id="rId41" xr:uid="{00000000-0004-0000-0700-000028000000}"/>
    <hyperlink ref="C50" r:id="rId42" xr:uid="{00000000-0004-0000-0700-000029000000}"/>
    <hyperlink ref="C40" r:id="rId43" xr:uid="{00000000-0004-0000-0700-00002A000000}"/>
    <hyperlink ref="C12" r:id="rId44" xr:uid="{00000000-0004-0000-0700-00002B000000}"/>
    <hyperlink ref="C78" r:id="rId45" xr:uid="{00000000-0004-0000-0700-00002C000000}"/>
    <hyperlink ref="C70" r:id="rId46" xr:uid="{00000000-0004-0000-0700-00002D000000}"/>
    <hyperlink ref="C164" r:id="rId47" xr:uid="{00000000-0004-0000-0700-00002E000000}"/>
    <hyperlink ref="C137" r:id="rId48" xr:uid="{00000000-0004-0000-0700-00002F000000}"/>
    <hyperlink ref="C138" r:id="rId49" xr:uid="{00000000-0004-0000-0700-000030000000}"/>
    <hyperlink ref="C30" r:id="rId50" xr:uid="{00000000-0004-0000-0700-000031000000}"/>
    <hyperlink ref="C111" r:id="rId51" xr:uid="{00000000-0004-0000-0700-000032000000}"/>
    <hyperlink ref="C42" r:id="rId52" xr:uid="{00000000-0004-0000-0700-000033000000}"/>
    <hyperlink ref="C200" r:id="rId53" xr:uid="{00000000-0004-0000-0700-000034000000}"/>
    <hyperlink ref="C85" r:id="rId54" xr:uid="{00000000-0004-0000-0700-000035000000}"/>
    <hyperlink ref="C18" r:id="rId55" xr:uid="{00000000-0004-0000-0700-000036000000}"/>
    <hyperlink ref="C199" r:id="rId56" xr:uid="{00000000-0004-0000-0700-000037000000}"/>
    <hyperlink ref="C158" r:id="rId57" xr:uid="{00000000-0004-0000-0700-000038000000}"/>
    <hyperlink ref="C197" r:id="rId58" xr:uid="{00000000-0004-0000-0700-000039000000}"/>
    <hyperlink ref="C219" r:id="rId59" xr:uid="{00000000-0004-0000-0700-00003A000000}"/>
    <hyperlink ref="C198" r:id="rId60" xr:uid="{00000000-0004-0000-0700-00003B000000}"/>
    <hyperlink ref="C25" r:id="rId61" xr:uid="{00000000-0004-0000-0700-00003C000000}"/>
    <hyperlink ref="C179" r:id="rId62" xr:uid="{00000000-0004-0000-0700-00003D000000}"/>
    <hyperlink ref="C155" r:id="rId63" xr:uid="{00000000-0004-0000-0700-00003E000000}"/>
    <hyperlink ref="C54" r:id="rId64" xr:uid="{00000000-0004-0000-0700-00003F000000}"/>
    <hyperlink ref="C86" r:id="rId65" xr:uid="{00000000-0004-0000-0700-000040000000}"/>
    <hyperlink ref="C141" r:id="rId66" xr:uid="{00000000-0004-0000-0700-000041000000}"/>
    <hyperlink ref="C71" r:id="rId67" xr:uid="{00000000-0004-0000-0700-000042000000}"/>
    <hyperlink ref="C5" r:id="rId68" xr:uid="{00000000-0004-0000-0700-000043000000}"/>
    <hyperlink ref="C31" r:id="rId69" xr:uid="{00000000-0004-0000-0700-000044000000}"/>
    <hyperlink ref="C187" r:id="rId70" xr:uid="{00000000-0004-0000-0700-000045000000}"/>
    <hyperlink ref="C135" r:id="rId71" xr:uid="{00000000-0004-0000-0700-000046000000}"/>
    <hyperlink ref="C216" r:id="rId72" xr:uid="{00000000-0004-0000-0700-000047000000}"/>
    <hyperlink ref="C160" r:id="rId73" xr:uid="{00000000-0004-0000-0700-000048000000}"/>
    <hyperlink ref="C212" r:id="rId74" xr:uid="{00000000-0004-0000-0700-000049000000}"/>
    <hyperlink ref="C152" r:id="rId75" xr:uid="{00000000-0004-0000-0700-00004A000000}"/>
    <hyperlink ref="C162" r:id="rId76" xr:uid="{00000000-0004-0000-0700-00004B000000}"/>
    <hyperlink ref="C120" r:id="rId77" xr:uid="{00000000-0004-0000-0700-00004C000000}"/>
    <hyperlink ref="C21" r:id="rId78" xr:uid="{00000000-0004-0000-0700-00004D000000}"/>
    <hyperlink ref="C117" r:id="rId79" xr:uid="{00000000-0004-0000-0700-00004E000000}"/>
    <hyperlink ref="C20" r:id="rId80" xr:uid="{00000000-0004-0000-0700-00004F000000}"/>
    <hyperlink ref="C106" r:id="rId81" xr:uid="{00000000-0004-0000-0700-000050000000}"/>
    <hyperlink ref="C101" r:id="rId82" xr:uid="{00000000-0004-0000-0700-000051000000}"/>
    <hyperlink ref="C33" r:id="rId83" xr:uid="{00000000-0004-0000-0700-000052000000}"/>
    <hyperlink ref="C56" r:id="rId84" xr:uid="{00000000-0004-0000-0700-000053000000}"/>
    <hyperlink ref="C26" r:id="rId85" xr:uid="{00000000-0004-0000-0700-000054000000}"/>
    <hyperlink ref="C74" r:id="rId86" xr:uid="{00000000-0004-0000-0700-000055000000}"/>
    <hyperlink ref="C6" r:id="rId87" xr:uid="{00000000-0004-0000-0700-000056000000}"/>
    <hyperlink ref="C92" r:id="rId88" xr:uid="{00000000-0004-0000-0700-000057000000}"/>
    <hyperlink ref="C126" r:id="rId89" xr:uid="{00000000-0004-0000-0700-000058000000}"/>
    <hyperlink ref="C89" r:id="rId90" xr:uid="{00000000-0004-0000-0700-000059000000}"/>
    <hyperlink ref="C79" r:id="rId91" xr:uid="{00000000-0004-0000-0700-00005A000000}"/>
    <hyperlink ref="C44" r:id="rId92" xr:uid="{00000000-0004-0000-0700-00005B000000}"/>
    <hyperlink ref="C99" r:id="rId93" xr:uid="{00000000-0004-0000-0700-00005C000000}"/>
    <hyperlink ref="C9" r:id="rId94" xr:uid="{00000000-0004-0000-0700-00005D000000}"/>
    <hyperlink ref="C41" r:id="rId95" xr:uid="{00000000-0004-0000-0700-00005E000000}"/>
    <hyperlink ref="C133" r:id="rId96" xr:uid="{00000000-0004-0000-0700-00005F000000}"/>
    <hyperlink ref="C32" r:id="rId97" xr:uid="{00000000-0004-0000-0700-000060000000}"/>
    <hyperlink ref="C181" r:id="rId98" xr:uid="{00000000-0004-0000-0700-000061000000}"/>
    <hyperlink ref="C103" r:id="rId99" xr:uid="{00000000-0004-0000-0700-000062000000}"/>
    <hyperlink ref="C37" r:id="rId100" xr:uid="{00000000-0004-0000-0700-000063000000}"/>
    <hyperlink ref="C166" r:id="rId101" xr:uid="{00000000-0004-0000-0700-000064000000}"/>
    <hyperlink ref="C10" r:id="rId102" xr:uid="{00000000-0004-0000-0700-000065000000}"/>
    <hyperlink ref="C66" r:id="rId103" xr:uid="{00000000-0004-0000-0700-000066000000}"/>
    <hyperlink ref="C109" r:id="rId104" xr:uid="{00000000-0004-0000-0700-000067000000}"/>
    <hyperlink ref="C218" r:id="rId105" xr:uid="{00000000-0004-0000-0700-000068000000}"/>
    <hyperlink ref="C63" r:id="rId106" xr:uid="{00000000-0004-0000-0700-000069000000}"/>
    <hyperlink ref="C191" r:id="rId107" xr:uid="{00000000-0004-0000-0700-00006A000000}"/>
    <hyperlink ref="C170" r:id="rId108" xr:uid="{00000000-0004-0000-0700-00006B000000}"/>
    <hyperlink ref="C90" r:id="rId109" xr:uid="{00000000-0004-0000-0700-00006C000000}"/>
    <hyperlink ref="C93" r:id="rId110" xr:uid="{00000000-0004-0000-0700-00006D000000}"/>
    <hyperlink ref="C77" r:id="rId111" xr:uid="{00000000-0004-0000-0700-00006E000000}"/>
    <hyperlink ref="C157" r:id="rId112" xr:uid="{00000000-0004-0000-0700-00006F000000}"/>
    <hyperlink ref="C118" r:id="rId113" xr:uid="{00000000-0004-0000-0700-000070000000}"/>
    <hyperlink ref="C64" r:id="rId114" xr:uid="{00000000-0004-0000-0700-000071000000}"/>
    <hyperlink ref="C43" r:id="rId115" xr:uid="{00000000-0004-0000-0700-000072000000}"/>
    <hyperlink ref="C47" r:id="rId116" xr:uid="{00000000-0004-0000-0700-000073000000}"/>
    <hyperlink ref="C211" r:id="rId117" xr:uid="{00000000-0004-0000-0700-000074000000}"/>
    <hyperlink ref="C149" r:id="rId118" xr:uid="{00000000-0004-0000-0700-000075000000}"/>
    <hyperlink ref="C124" r:id="rId119" xr:uid="{00000000-0004-0000-0700-000076000000}"/>
    <hyperlink ref="C202" r:id="rId120" xr:uid="{00000000-0004-0000-0700-000077000000}"/>
    <hyperlink ref="C57" r:id="rId121" xr:uid="{00000000-0004-0000-0700-000078000000}"/>
    <hyperlink ref="C165" r:id="rId122" xr:uid="{00000000-0004-0000-0700-000079000000}"/>
    <hyperlink ref="C217" r:id="rId123" xr:uid="{00000000-0004-0000-0700-00007A000000}"/>
    <hyperlink ref="C153" r:id="rId124" xr:uid="{00000000-0004-0000-0700-00007B000000}"/>
    <hyperlink ref="C204" r:id="rId125" xr:uid="{00000000-0004-0000-0700-00007C000000}"/>
    <hyperlink ref="C75" r:id="rId126" xr:uid="{00000000-0004-0000-0700-00007D000000}"/>
    <hyperlink ref="C151" r:id="rId127" xr:uid="{00000000-0004-0000-0700-00007E000000}"/>
    <hyperlink ref="C45" r:id="rId128" xr:uid="{00000000-0004-0000-0700-00007F000000}"/>
    <hyperlink ref="C114" r:id="rId129" xr:uid="{00000000-0004-0000-0700-000080000000}"/>
    <hyperlink ref="C108" r:id="rId130" xr:uid="{00000000-0004-0000-0700-000081000000}"/>
    <hyperlink ref="C209" r:id="rId131" xr:uid="{00000000-0004-0000-0700-000082000000}"/>
    <hyperlink ref="C182" r:id="rId132" xr:uid="{00000000-0004-0000-0700-000083000000}"/>
    <hyperlink ref="C123" r:id="rId133" xr:uid="{00000000-0004-0000-0700-000084000000}"/>
    <hyperlink ref="C173" r:id="rId134" xr:uid="{00000000-0004-0000-0700-000085000000}"/>
    <hyperlink ref="C161" r:id="rId135" xr:uid="{00000000-0004-0000-0700-000086000000}"/>
    <hyperlink ref="C140" r:id="rId136" xr:uid="{00000000-0004-0000-0700-000087000000}"/>
    <hyperlink ref="C174" r:id="rId137" xr:uid="{00000000-0004-0000-0700-000088000000}"/>
    <hyperlink ref="C196" r:id="rId138" xr:uid="{00000000-0004-0000-0700-000089000000}"/>
    <hyperlink ref="C14" r:id="rId139" xr:uid="{00000000-0004-0000-0700-00008A000000}"/>
    <hyperlink ref="C94" r:id="rId140" xr:uid="{00000000-0004-0000-0700-00008B000000}"/>
    <hyperlink ref="C112" r:id="rId141" xr:uid="{00000000-0004-0000-0700-00008C000000}"/>
    <hyperlink ref="C65" r:id="rId142" xr:uid="{00000000-0004-0000-0700-00008D000000}"/>
    <hyperlink ref="C76" r:id="rId143" xr:uid="{00000000-0004-0000-0700-00008E000000}"/>
    <hyperlink ref="C116" r:id="rId144" xr:uid="{00000000-0004-0000-0700-00008F000000}"/>
    <hyperlink ref="C91" r:id="rId145" xr:uid="{00000000-0004-0000-0700-000090000000}"/>
    <hyperlink ref="C36" r:id="rId146" xr:uid="{00000000-0004-0000-0700-000091000000}"/>
    <hyperlink ref="C201" r:id="rId147" xr:uid="{00000000-0004-0000-0700-000092000000}"/>
    <hyperlink ref="C39" r:id="rId148" xr:uid="{00000000-0004-0000-0700-000093000000}"/>
    <hyperlink ref="C96" r:id="rId149" xr:uid="{00000000-0004-0000-0700-000094000000}"/>
    <hyperlink ref="C22" r:id="rId150" xr:uid="{00000000-0004-0000-0700-000095000000}"/>
    <hyperlink ref="C83" r:id="rId151" xr:uid="{00000000-0004-0000-0700-000096000000}"/>
    <hyperlink ref="C61" r:id="rId152" xr:uid="{00000000-0004-0000-0700-000097000000}"/>
    <hyperlink ref="C19" r:id="rId153" xr:uid="{00000000-0004-0000-0700-000098000000}"/>
    <hyperlink ref="C142" r:id="rId154" xr:uid="{00000000-0004-0000-0700-000099000000}"/>
    <hyperlink ref="C130" r:id="rId155" xr:uid="{00000000-0004-0000-0700-00009A000000}"/>
    <hyperlink ref="C171" r:id="rId156" xr:uid="{00000000-0004-0000-0700-00009B000000}"/>
    <hyperlink ref="C53" r:id="rId157" xr:uid="{00000000-0004-0000-0700-00009C000000}"/>
    <hyperlink ref="C11" r:id="rId158" xr:uid="{00000000-0004-0000-0700-00009D000000}"/>
    <hyperlink ref="C58" r:id="rId159" xr:uid="{00000000-0004-0000-0700-00009E000000}"/>
    <hyperlink ref="C159" r:id="rId160" xr:uid="{00000000-0004-0000-0700-00009F000000}"/>
    <hyperlink ref="C95" r:id="rId161" xr:uid="{00000000-0004-0000-0700-0000A0000000}"/>
    <hyperlink ref="C80" r:id="rId162" xr:uid="{00000000-0004-0000-0700-0000A1000000}"/>
    <hyperlink ref="C23" r:id="rId163" xr:uid="{00000000-0004-0000-0700-0000A2000000}"/>
    <hyperlink ref="C167" r:id="rId164" xr:uid="{00000000-0004-0000-0700-0000A3000000}"/>
    <hyperlink ref="C190" r:id="rId165" xr:uid="{00000000-0004-0000-0700-0000A4000000}"/>
    <hyperlink ref="C184" r:id="rId166" xr:uid="{00000000-0004-0000-0700-0000A5000000}"/>
    <hyperlink ref="C98" r:id="rId167" xr:uid="{00000000-0004-0000-0700-0000A6000000}"/>
    <hyperlink ref="C210" r:id="rId168" xr:uid="{00000000-0004-0000-0700-0000A7000000}"/>
    <hyperlink ref="C177" r:id="rId169" xr:uid="{00000000-0004-0000-0700-0000A8000000}"/>
    <hyperlink ref="C169" r:id="rId170" xr:uid="{00000000-0004-0000-0700-0000A9000000}"/>
    <hyperlink ref="C60" r:id="rId171" xr:uid="{00000000-0004-0000-0700-0000AA000000}"/>
    <hyperlink ref="C148" r:id="rId172" xr:uid="{00000000-0004-0000-0700-0000AB000000}"/>
    <hyperlink ref="C102" r:id="rId173" xr:uid="{00000000-0004-0000-0700-0000AC000000}"/>
    <hyperlink ref="C38" r:id="rId174" xr:uid="{00000000-0004-0000-0700-0000AD000000}"/>
    <hyperlink ref="C125" r:id="rId175" xr:uid="{00000000-0004-0000-0700-0000AE000000}"/>
    <hyperlink ref="C29" r:id="rId176" xr:uid="{00000000-0004-0000-0700-0000AF000000}"/>
    <hyperlink ref="C128" r:id="rId177" xr:uid="{00000000-0004-0000-0700-0000B0000000}"/>
    <hyperlink ref="C175" r:id="rId178" xr:uid="{00000000-0004-0000-0700-0000B1000000}"/>
    <hyperlink ref="C62" r:id="rId179" xr:uid="{00000000-0004-0000-0700-0000B2000000}"/>
    <hyperlink ref="C183" r:id="rId180" xr:uid="{00000000-0004-0000-0700-0000B3000000}"/>
    <hyperlink ref="C48" r:id="rId181" xr:uid="{00000000-0004-0000-0700-0000B4000000}"/>
    <hyperlink ref="C146" r:id="rId182" xr:uid="{00000000-0004-0000-0700-0000B5000000}"/>
    <hyperlink ref="C97" r:id="rId183" xr:uid="{00000000-0004-0000-0700-0000B6000000}"/>
    <hyperlink ref="C192" r:id="rId184" xr:uid="{00000000-0004-0000-0700-0000B7000000}"/>
    <hyperlink ref="C176" r:id="rId185" xr:uid="{00000000-0004-0000-0700-0000B8000000}"/>
    <hyperlink ref="C195" r:id="rId186" xr:uid="{00000000-0004-0000-0700-0000B9000000}"/>
    <hyperlink ref="C27" r:id="rId187" xr:uid="{00000000-0004-0000-0700-0000BA000000}"/>
    <hyperlink ref="C72" r:id="rId188" xr:uid="{00000000-0004-0000-0700-0000BB000000}"/>
    <hyperlink ref="C178" r:id="rId189" xr:uid="{00000000-0004-0000-0700-0000BC000000}"/>
    <hyperlink ref="C49" r:id="rId190" xr:uid="{00000000-0004-0000-0700-0000BD000000}"/>
    <hyperlink ref="C122" r:id="rId191" xr:uid="{00000000-0004-0000-0700-0000BE000000}"/>
    <hyperlink ref="C100" r:id="rId192" xr:uid="{00000000-0004-0000-0700-0000BF000000}"/>
    <hyperlink ref="C24" r:id="rId193" xr:uid="{00000000-0004-0000-0700-0000C0000000}"/>
    <hyperlink ref="C16" r:id="rId194" xr:uid="{00000000-0004-0000-0700-0000C1000000}"/>
    <hyperlink ref="C194" r:id="rId195" xr:uid="{00000000-0004-0000-0700-0000C2000000}"/>
    <hyperlink ref="C7" r:id="rId196" xr:uid="{00000000-0004-0000-0700-0000C3000000}"/>
    <hyperlink ref="C139" r:id="rId197" xr:uid="{00000000-0004-0000-0700-0000C4000000}"/>
    <hyperlink ref="C163" r:id="rId198" xr:uid="{00000000-0004-0000-0700-0000C5000000}"/>
    <hyperlink ref="C150" r:id="rId199" xr:uid="{00000000-0004-0000-0700-0000C6000000}"/>
    <hyperlink ref="C68" r:id="rId200" xr:uid="{00000000-0004-0000-0700-0000C7000000}"/>
    <hyperlink ref="C34" r:id="rId201" xr:uid="{00000000-0004-0000-0700-0000C8000000}"/>
    <hyperlink ref="C105" r:id="rId202" xr:uid="{00000000-0004-0000-0700-0000C9000000}"/>
    <hyperlink ref="C127" r:id="rId203" xr:uid="{00000000-0004-0000-0700-0000CA000000}"/>
    <hyperlink ref="C188" r:id="rId204" xr:uid="{00000000-0004-0000-0700-0000CB000000}"/>
    <hyperlink ref="C193" r:id="rId205" xr:uid="{00000000-0004-0000-0700-0000CC000000}"/>
    <hyperlink ref="C84" r:id="rId206" xr:uid="{00000000-0004-0000-0700-0000CD000000}"/>
    <hyperlink ref="C121" r:id="rId207" xr:uid="{00000000-0004-0000-0700-0000CE000000}"/>
    <hyperlink ref="C189" r:id="rId208" xr:uid="{00000000-0004-0000-0700-0000CF000000}"/>
    <hyperlink ref="C186" r:id="rId209" xr:uid="{00000000-0004-0000-0700-0000D0000000}"/>
    <hyperlink ref="C35" r:id="rId210" xr:uid="{00000000-0004-0000-0700-0000D1000000}"/>
    <hyperlink ref="C132" r:id="rId211" xr:uid="{00000000-0004-0000-0700-0000D2000000}"/>
    <hyperlink ref="C136" r:id="rId212" xr:uid="{00000000-0004-0000-0700-0000D3000000}"/>
    <hyperlink ref="C15" r:id="rId213" xr:uid="{00000000-0004-0000-0700-0000D4000000}"/>
    <hyperlink ref="C119" r:id="rId214" xr:uid="{00000000-0004-0000-0700-0000D5000000}"/>
    <hyperlink ref="C73" r:id="rId215" xr:uid="{00000000-0004-0000-0700-0000D6000000}"/>
    <hyperlink ref="K118" r:id="rId216" xr:uid="{00000000-0004-0000-0700-0000D7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38BA46-DEB2-435A-976C-BE8111C91083}">
  <sheetPr codeName="Sheet13">
    <pageSetUpPr fitToPage="1"/>
  </sheetPr>
  <dimension ref="A1:BX78"/>
  <sheetViews>
    <sheetView showGridLines="0" showWhiteSpace="0" view="pageBreakPreview" zoomScale="55" zoomScaleNormal="85" workbookViewId="0"/>
  </sheetViews>
  <sheetFormatPr defaultColWidth="9" defaultRowHeight="12.5"/>
  <cols>
    <col min="1" max="2" width="3.36328125" style="536" customWidth="1"/>
    <col min="3" max="3" width="2.81640625" style="536" customWidth="1"/>
    <col min="4" max="20" width="4.81640625" style="536" customWidth="1"/>
    <col min="21" max="21" width="2.81640625" style="536" customWidth="1"/>
    <col min="22" max="22" width="9" style="538"/>
    <col min="23" max="23" width="2.81640625" style="536" customWidth="1"/>
    <col min="24" max="40" width="4.81640625" style="536" customWidth="1"/>
    <col min="41" max="41" width="2.81640625" style="536" customWidth="1"/>
    <col min="42" max="42" width="9" style="538"/>
    <col min="43" max="43" width="2.81640625" style="536" customWidth="1"/>
    <col min="44" max="60" width="4.81640625" style="536" customWidth="1"/>
    <col min="61" max="61" width="2.81640625" style="536" customWidth="1"/>
    <col min="62" max="16384" width="9" style="538"/>
  </cols>
  <sheetData>
    <row r="1" spans="3:76" ht="13" thickBot="1"/>
    <row r="2" spans="3:76" ht="14.4" customHeight="1" thickBot="1">
      <c r="D2" s="537">
        <v>85</v>
      </c>
      <c r="E2" s="537">
        <v>86</v>
      </c>
      <c r="F2" s="537">
        <v>87</v>
      </c>
      <c r="G2" s="537">
        <v>88</v>
      </c>
      <c r="H2" s="537">
        <v>89</v>
      </c>
    </row>
    <row r="3" spans="3:76" ht="13.75" customHeight="1" thickBot="1">
      <c r="G3" s="538" t="s">
        <v>3233</v>
      </c>
    </row>
    <row r="4" spans="3:76" ht="13" customHeight="1" thickBot="1">
      <c r="C4" s="539"/>
      <c r="D4" s="540"/>
      <c r="E4" s="540"/>
      <c r="F4" s="540"/>
      <c r="G4" s="540"/>
      <c r="H4" s="540"/>
      <c r="I4" s="540"/>
      <c r="J4" s="540"/>
      <c r="K4" s="540"/>
      <c r="L4" s="540"/>
      <c r="M4" s="540"/>
      <c r="N4" s="540"/>
      <c r="O4" s="540"/>
      <c r="P4" s="540"/>
      <c r="Q4" s="540"/>
      <c r="R4" s="540"/>
      <c r="S4" s="540"/>
      <c r="T4" s="540"/>
      <c r="U4" s="541"/>
      <c r="BK4" s="1116" t="s">
        <v>3234</v>
      </c>
      <c r="BL4" s="1117"/>
      <c r="BM4" s="1117"/>
      <c r="BN4" s="1117"/>
      <c r="BO4" s="1117"/>
      <c r="BP4" s="1117"/>
      <c r="BQ4" s="1117"/>
      <c r="BR4" s="1117"/>
    </row>
    <row r="5" spans="3:76" ht="13" customHeight="1" thickTop="1" thickBot="1">
      <c r="C5" s="542"/>
      <c r="D5" s="1118" t="str">
        <f>LEFT(VLOOKUP(D$2,購入者リスト!$B:$J,8,FALSE),1)</f>
        <v>7</v>
      </c>
      <c r="E5" s="1118" t="str">
        <f>MID(VLOOKUP(D$2,購入者リスト!$B:$J,8,FALSE),2,1)</f>
        <v>2</v>
      </c>
      <c r="F5" s="1118" t="str">
        <f>MID(VLOOKUP(D$2,購入者リスト!$B:$J,8,FALSE),3,1)</f>
        <v>0</v>
      </c>
      <c r="G5" s="1121"/>
      <c r="H5" s="1123" t="str">
        <f>MID(VLOOKUP(D$2,購入者リスト!$B:$J,8,FALSE),5,1)</f>
        <v>2</v>
      </c>
      <c r="I5" s="1123" t="str">
        <f>MID(VLOOKUP(D$2,購入者リスト!$B:$J,8,FALSE),6,1)</f>
        <v>4</v>
      </c>
      <c r="J5" s="1123" t="str">
        <f>MID(VLOOKUP(D$2,購入者リスト!$B:$J,8,FALSE),7,1)</f>
        <v>1</v>
      </c>
      <c r="K5" s="1123" t="str">
        <f>MID(VLOOKUP(D$2,購入者リスト!$B:$J,8,FALSE),8,1)</f>
        <v>7</v>
      </c>
      <c r="L5" s="543"/>
      <c r="M5" s="543"/>
      <c r="N5" s="543"/>
      <c r="O5" s="543"/>
      <c r="P5" s="543"/>
      <c r="Q5" s="1126" t="s">
        <v>3235</v>
      </c>
      <c r="R5" s="1127"/>
      <c r="S5" s="1127"/>
      <c r="T5" s="1127"/>
      <c r="U5" s="545"/>
      <c r="X5" s="546"/>
      <c r="Y5" s="546"/>
      <c r="Z5" s="546"/>
      <c r="AA5" s="547"/>
      <c r="AB5" s="548"/>
      <c r="AC5" s="548"/>
      <c r="AD5" s="548"/>
      <c r="AE5" s="548"/>
      <c r="AF5" s="543"/>
      <c r="AG5" s="543"/>
      <c r="AH5" s="543"/>
      <c r="AI5" s="543"/>
      <c r="AJ5" s="543"/>
      <c r="AK5" s="544"/>
      <c r="AL5" s="549"/>
      <c r="AM5" s="549"/>
      <c r="AN5" s="549"/>
      <c r="AO5" s="549"/>
      <c r="AR5" s="546"/>
      <c r="AS5" s="546"/>
      <c r="AT5" s="546"/>
      <c r="AU5" s="547"/>
      <c r="AV5" s="548"/>
      <c r="AW5" s="548"/>
      <c r="AX5" s="548"/>
      <c r="AY5" s="548"/>
      <c r="AZ5" s="543"/>
      <c r="BA5" s="543"/>
      <c r="BB5" s="543"/>
      <c r="BC5" s="543"/>
      <c r="BD5" s="543"/>
      <c r="BE5" s="544"/>
      <c r="BF5" s="549"/>
      <c r="BG5" s="549"/>
      <c r="BH5" s="549"/>
      <c r="BI5" s="549"/>
      <c r="BK5" s="1117"/>
      <c r="BL5" s="1117"/>
      <c r="BM5" s="1117"/>
      <c r="BN5" s="1117"/>
      <c r="BO5" s="1117"/>
      <c r="BP5" s="1117"/>
      <c r="BQ5" s="1117"/>
      <c r="BR5" s="1117"/>
    </row>
    <row r="6" spans="3:76" ht="13" customHeight="1" thickTop="1">
      <c r="C6" s="542"/>
      <c r="D6" s="1119"/>
      <c r="E6" s="1119"/>
      <c r="F6" s="1119"/>
      <c r="G6" s="1122"/>
      <c r="H6" s="1124"/>
      <c r="I6" s="1124"/>
      <c r="J6" s="1124"/>
      <c r="K6" s="1124"/>
      <c r="L6" s="543"/>
      <c r="M6" s="543"/>
      <c r="N6" s="543"/>
      <c r="O6" s="543"/>
      <c r="P6" s="543"/>
      <c r="Q6" s="1127"/>
      <c r="R6" s="1127"/>
      <c r="S6" s="1127"/>
      <c r="T6" s="1127"/>
      <c r="U6" s="545"/>
      <c r="X6" s="546"/>
      <c r="Y6" s="546"/>
      <c r="Z6" s="546"/>
      <c r="AA6" s="547"/>
      <c r="AB6" s="548"/>
      <c r="AC6" s="548"/>
      <c r="AD6" s="548"/>
      <c r="AE6" s="548"/>
      <c r="AF6" s="543"/>
      <c r="AG6" s="543"/>
      <c r="AH6" s="543"/>
      <c r="AI6" s="543"/>
      <c r="AJ6" s="543"/>
      <c r="AK6" s="549"/>
      <c r="AL6" s="549"/>
      <c r="AM6" s="549"/>
      <c r="AN6" s="549"/>
      <c r="AO6" s="549"/>
      <c r="AR6" s="546"/>
      <c r="AS6" s="546"/>
      <c r="AT6" s="546"/>
      <c r="AU6" s="547"/>
      <c r="AV6" s="548"/>
      <c r="AW6" s="548"/>
      <c r="AX6" s="548"/>
      <c r="AY6" s="548"/>
      <c r="AZ6" s="543"/>
      <c r="BA6" s="543"/>
      <c r="BB6" s="543"/>
      <c r="BC6" s="543"/>
      <c r="BD6" s="543"/>
      <c r="BE6" s="549"/>
      <c r="BF6" s="549"/>
      <c r="BG6" s="549"/>
      <c r="BH6" s="549"/>
      <c r="BI6" s="549"/>
      <c r="BK6" s="1116" t="s">
        <v>3236</v>
      </c>
      <c r="BL6" s="1117"/>
      <c r="BM6" s="1117"/>
      <c r="BN6" s="1117"/>
      <c r="BO6" s="1117"/>
      <c r="BP6" s="1117"/>
      <c r="BQ6" s="1117"/>
      <c r="BR6" s="1117"/>
      <c r="BS6" s="1117"/>
      <c r="BT6" s="1117"/>
      <c r="BU6" s="1117"/>
      <c r="BV6" s="1117"/>
      <c r="BW6" s="1117"/>
      <c r="BX6" s="1117"/>
    </row>
    <row r="7" spans="3:76" ht="13" customHeight="1" thickBot="1">
      <c r="C7" s="542"/>
      <c r="D7" s="1120"/>
      <c r="E7" s="1120"/>
      <c r="F7" s="1120"/>
      <c r="G7" s="1122"/>
      <c r="H7" s="1125"/>
      <c r="I7" s="1125"/>
      <c r="J7" s="1125"/>
      <c r="K7" s="1125"/>
      <c r="L7" s="543"/>
      <c r="M7" s="543"/>
      <c r="N7" s="543"/>
      <c r="O7" s="543"/>
      <c r="P7" s="543"/>
      <c r="Q7" s="1127"/>
      <c r="R7" s="1127"/>
      <c r="S7" s="1127"/>
      <c r="T7" s="1127"/>
      <c r="U7" s="545"/>
      <c r="X7" s="546"/>
      <c r="Y7" s="546"/>
      <c r="Z7" s="546"/>
      <c r="AA7" s="547"/>
      <c r="AB7" s="548"/>
      <c r="AC7" s="548"/>
      <c r="AD7" s="548"/>
      <c r="AE7" s="548"/>
      <c r="AF7" s="543"/>
      <c r="AG7" s="543"/>
      <c r="AH7" s="543"/>
      <c r="AI7" s="543"/>
      <c r="AJ7" s="543"/>
      <c r="AK7" s="549"/>
      <c r="AL7" s="549"/>
      <c r="AM7" s="549"/>
      <c r="AN7" s="549"/>
      <c r="AO7" s="549"/>
      <c r="AR7" s="546"/>
      <c r="AS7" s="546"/>
      <c r="AT7" s="546"/>
      <c r="AU7" s="547"/>
      <c r="AV7" s="548"/>
      <c r="AW7" s="548"/>
      <c r="AX7" s="548"/>
      <c r="AY7" s="548"/>
      <c r="AZ7" s="543"/>
      <c r="BA7" s="543"/>
      <c r="BB7" s="543"/>
      <c r="BC7" s="543"/>
      <c r="BD7" s="543"/>
      <c r="BE7" s="549"/>
      <c r="BF7" s="549"/>
      <c r="BG7" s="549"/>
      <c r="BH7" s="549"/>
      <c r="BI7" s="549"/>
      <c r="BK7" s="1117"/>
      <c r="BL7" s="1117"/>
      <c r="BM7" s="1117"/>
      <c r="BN7" s="1117"/>
      <c r="BO7" s="1117"/>
      <c r="BP7" s="1117"/>
      <c r="BQ7" s="1117"/>
      <c r="BR7" s="1117"/>
      <c r="BS7" s="1117"/>
      <c r="BT7" s="1117"/>
      <c r="BU7" s="1117"/>
      <c r="BV7" s="1117"/>
      <c r="BW7" s="1117"/>
      <c r="BX7" s="1117"/>
    </row>
    <row r="8" spans="3:76" ht="13" customHeight="1" thickTop="1">
      <c r="C8" s="542"/>
      <c r="D8" s="1128" t="str">
        <f>VLOOKUP(D$2,購入者リスト!$B:$J,9,FALSE)</f>
        <v>広島県 福山市 加茂町芦原489-16</v>
      </c>
      <c r="E8" s="1127"/>
      <c r="F8" s="1127"/>
      <c r="G8" s="1127"/>
      <c r="H8" s="1127"/>
      <c r="I8" s="1127"/>
      <c r="J8" s="1127"/>
      <c r="K8" s="1127"/>
      <c r="L8" s="1127"/>
      <c r="M8" s="1127"/>
      <c r="N8" s="1127"/>
      <c r="O8" s="1127"/>
      <c r="P8" s="1127"/>
      <c r="Q8" s="1127"/>
      <c r="R8" s="1127"/>
      <c r="S8" s="1127"/>
      <c r="T8" s="1127"/>
      <c r="U8" s="551"/>
      <c r="X8" s="550"/>
      <c r="Y8" s="550"/>
      <c r="Z8" s="550"/>
      <c r="AA8" s="550"/>
      <c r="AB8" s="550"/>
      <c r="AC8" s="550"/>
      <c r="AD8" s="550"/>
      <c r="AE8" s="550"/>
      <c r="AF8" s="550"/>
      <c r="AG8" s="550"/>
      <c r="AH8" s="550"/>
      <c r="AI8" s="550"/>
      <c r="AJ8" s="550"/>
      <c r="AK8" s="550"/>
      <c r="AL8" s="550"/>
      <c r="AM8" s="550"/>
      <c r="AN8" s="550"/>
      <c r="AR8" s="550"/>
      <c r="AS8" s="550"/>
      <c r="AT8" s="550"/>
      <c r="AU8" s="550"/>
      <c r="AV8" s="550"/>
      <c r="AW8" s="550"/>
      <c r="AX8" s="550"/>
      <c r="AY8" s="550"/>
      <c r="AZ8" s="550"/>
      <c r="BA8" s="550"/>
      <c r="BB8" s="550"/>
      <c r="BC8" s="550"/>
      <c r="BD8" s="550"/>
      <c r="BE8" s="550"/>
      <c r="BF8" s="550"/>
      <c r="BG8" s="550"/>
      <c r="BH8" s="550"/>
      <c r="BK8" s="1116" t="s">
        <v>3237</v>
      </c>
      <c r="BL8" s="1117"/>
      <c r="BM8" s="1117"/>
      <c r="BN8" s="1117"/>
      <c r="BO8" s="1117"/>
      <c r="BP8" s="1117"/>
      <c r="BQ8" s="1117"/>
      <c r="BR8" s="1117"/>
      <c r="BS8" s="1117"/>
      <c r="BT8" s="1117"/>
      <c r="BU8" s="1117"/>
      <c r="BV8" s="1117"/>
      <c r="BW8" s="1117"/>
      <c r="BX8" s="1117"/>
    </row>
    <row r="9" spans="3:76" ht="13" customHeight="1">
      <c r="C9" s="542"/>
      <c r="D9" s="1127"/>
      <c r="E9" s="1127"/>
      <c r="F9" s="1127"/>
      <c r="G9" s="1127"/>
      <c r="H9" s="1127"/>
      <c r="I9" s="1127"/>
      <c r="J9" s="1127"/>
      <c r="K9" s="1127"/>
      <c r="L9" s="1127"/>
      <c r="M9" s="1127"/>
      <c r="N9" s="1127"/>
      <c r="O9" s="1127"/>
      <c r="P9" s="1127"/>
      <c r="Q9" s="1127"/>
      <c r="R9" s="1127"/>
      <c r="S9" s="1127"/>
      <c r="T9" s="1127"/>
      <c r="U9" s="551"/>
      <c r="X9" s="550"/>
      <c r="Y9" s="550"/>
      <c r="Z9" s="550"/>
      <c r="AA9" s="550"/>
      <c r="AB9" s="550"/>
      <c r="AC9" s="550"/>
      <c r="AD9" s="550"/>
      <c r="AE9" s="550"/>
      <c r="AF9" s="550"/>
      <c r="AG9" s="550"/>
      <c r="AH9" s="550"/>
      <c r="AI9" s="550"/>
      <c r="AJ9" s="550"/>
      <c r="AK9" s="550"/>
      <c r="AL9" s="550"/>
      <c r="AM9" s="550"/>
      <c r="AN9" s="550"/>
      <c r="AR9" s="550"/>
      <c r="AS9" s="550"/>
      <c r="AT9" s="550"/>
      <c r="AU9" s="550"/>
      <c r="AV9" s="550"/>
      <c r="AW9" s="550"/>
      <c r="AX9" s="550"/>
      <c r="AY9" s="550"/>
      <c r="AZ9" s="550"/>
      <c r="BA9" s="550"/>
      <c r="BB9" s="550"/>
      <c r="BC9" s="550"/>
      <c r="BD9" s="550"/>
      <c r="BE9" s="550"/>
      <c r="BF9" s="550"/>
      <c r="BG9" s="550"/>
      <c r="BH9" s="550"/>
      <c r="BK9" s="1117"/>
      <c r="BL9" s="1117"/>
      <c r="BM9" s="1117"/>
      <c r="BN9" s="1117"/>
      <c r="BO9" s="1117"/>
      <c r="BP9" s="1117"/>
      <c r="BQ9" s="1117"/>
      <c r="BR9" s="1117"/>
      <c r="BS9" s="1117"/>
      <c r="BT9" s="1117"/>
      <c r="BU9" s="1117"/>
      <c r="BV9" s="1117"/>
      <c r="BW9" s="1117"/>
      <c r="BX9" s="1117"/>
    </row>
    <row r="10" spans="3:76" ht="4" customHeight="1">
      <c r="C10" s="542"/>
      <c r="D10" s="1127"/>
      <c r="E10" s="1127"/>
      <c r="F10" s="1127"/>
      <c r="G10" s="1127"/>
      <c r="H10" s="1127"/>
      <c r="I10" s="1127"/>
      <c r="J10" s="1127"/>
      <c r="K10" s="1127"/>
      <c r="L10" s="1127"/>
      <c r="M10" s="1127"/>
      <c r="N10" s="1127"/>
      <c r="O10" s="1127"/>
      <c r="P10" s="1127"/>
      <c r="Q10" s="1127"/>
      <c r="R10" s="1127"/>
      <c r="S10" s="1127"/>
      <c r="T10" s="1127"/>
      <c r="U10" s="551"/>
      <c r="X10" s="550"/>
      <c r="Y10" s="550"/>
      <c r="Z10" s="550"/>
      <c r="AA10" s="550"/>
      <c r="AB10" s="550"/>
      <c r="AC10" s="550"/>
      <c r="AD10" s="550"/>
      <c r="AE10" s="550"/>
      <c r="AF10" s="550"/>
      <c r="AG10" s="550"/>
      <c r="AH10" s="550"/>
      <c r="AI10" s="550"/>
      <c r="AJ10" s="550"/>
      <c r="AK10" s="550"/>
      <c r="AL10" s="550"/>
      <c r="AM10" s="550"/>
      <c r="AN10" s="550"/>
      <c r="AR10" s="550"/>
      <c r="AS10" s="550"/>
      <c r="AT10" s="550"/>
      <c r="AU10" s="550"/>
      <c r="AV10" s="550"/>
      <c r="AW10" s="550"/>
      <c r="AX10" s="550"/>
      <c r="AY10" s="550"/>
      <c r="AZ10" s="550"/>
      <c r="BA10" s="550"/>
      <c r="BB10" s="550"/>
      <c r="BC10" s="550"/>
      <c r="BD10" s="550"/>
      <c r="BE10" s="550"/>
      <c r="BF10" s="550"/>
      <c r="BG10" s="550"/>
      <c r="BH10" s="550"/>
    </row>
    <row r="11" spans="3:76" ht="13" customHeight="1">
      <c r="C11" s="542"/>
      <c r="F11" s="1129" t="str">
        <f>VLOOKUP(D$2,購入者リスト!$B:$J,7,FALSE)</f>
        <v>石井 誓子</v>
      </c>
      <c r="G11" s="1127"/>
      <c r="H11" s="1127"/>
      <c r="I11" s="1127"/>
      <c r="J11" s="1127"/>
      <c r="K11" s="1127"/>
      <c r="L11" s="1127"/>
      <c r="M11" s="1127"/>
      <c r="N11" s="1130" t="s">
        <v>3238</v>
      </c>
      <c r="O11" s="1127"/>
      <c r="P11" s="554"/>
      <c r="Q11" s="554"/>
      <c r="R11" s="554"/>
      <c r="S11" s="554"/>
      <c r="U11" s="555"/>
      <c r="Z11" s="552"/>
      <c r="AA11" s="552"/>
      <c r="AB11" s="552"/>
      <c r="AC11" s="552"/>
      <c r="AD11" s="552"/>
      <c r="AE11" s="552"/>
      <c r="AF11" s="552"/>
      <c r="AG11" s="552"/>
      <c r="AH11" s="553"/>
      <c r="AI11" s="554"/>
      <c r="AJ11" s="554"/>
      <c r="AK11" s="554"/>
      <c r="AL11" s="554"/>
      <c r="AM11" s="554"/>
      <c r="AO11" s="556"/>
      <c r="AT11" s="552"/>
      <c r="AU11" s="552"/>
      <c r="AV11" s="552"/>
      <c r="AW11" s="552"/>
      <c r="AX11" s="552"/>
      <c r="AY11" s="552"/>
      <c r="AZ11" s="552"/>
      <c r="BA11" s="552"/>
      <c r="BB11" s="553"/>
      <c r="BC11" s="554"/>
      <c r="BD11" s="554"/>
      <c r="BE11" s="554"/>
      <c r="BF11" s="554"/>
      <c r="BG11" s="554"/>
      <c r="BI11" s="556"/>
    </row>
    <row r="12" spans="3:76" ht="13" customHeight="1">
      <c r="C12" s="542"/>
      <c r="F12" s="1127"/>
      <c r="G12" s="1127"/>
      <c r="H12" s="1127"/>
      <c r="I12" s="1127"/>
      <c r="J12" s="1127"/>
      <c r="K12" s="1127"/>
      <c r="L12" s="1127"/>
      <c r="M12" s="1127"/>
      <c r="N12" s="1127"/>
      <c r="O12" s="1127"/>
      <c r="P12" s="554"/>
      <c r="Q12" s="554"/>
      <c r="R12" s="554"/>
      <c r="S12" s="554"/>
      <c r="U12" s="557"/>
      <c r="Z12" s="552"/>
      <c r="AA12" s="552"/>
      <c r="AB12" s="552"/>
      <c r="AC12" s="552"/>
      <c r="AD12" s="552"/>
      <c r="AE12" s="552"/>
      <c r="AF12" s="552"/>
      <c r="AG12" s="552"/>
      <c r="AH12" s="554"/>
      <c r="AI12" s="554"/>
      <c r="AJ12" s="554"/>
      <c r="AK12" s="554"/>
      <c r="AL12" s="554"/>
      <c r="AM12" s="554"/>
      <c r="AO12" s="558"/>
      <c r="AT12" s="552"/>
      <c r="AU12" s="552"/>
      <c r="AV12" s="552"/>
      <c r="AW12" s="552"/>
      <c r="AX12" s="552"/>
      <c r="AY12" s="552"/>
      <c r="AZ12" s="552"/>
      <c r="BA12" s="552"/>
      <c r="BB12" s="554"/>
      <c r="BC12" s="554"/>
      <c r="BD12" s="554"/>
      <c r="BE12" s="554"/>
      <c r="BF12" s="554"/>
      <c r="BG12" s="554"/>
      <c r="BI12" s="558"/>
    </row>
    <row r="13" spans="3:76" ht="13" customHeight="1">
      <c r="C13" s="542"/>
      <c r="F13" s="1127"/>
      <c r="G13" s="1127"/>
      <c r="H13" s="1127"/>
      <c r="I13" s="1127"/>
      <c r="J13" s="1127"/>
      <c r="K13" s="1127"/>
      <c r="L13" s="1127"/>
      <c r="M13" s="1127"/>
      <c r="N13" s="1127"/>
      <c r="O13" s="1127"/>
      <c r="Q13" s="559"/>
      <c r="U13" s="551"/>
      <c r="Z13" s="552"/>
      <c r="AA13" s="552"/>
      <c r="AB13" s="552"/>
      <c r="AC13" s="552"/>
      <c r="AD13" s="552"/>
      <c r="AE13" s="552"/>
      <c r="AF13" s="552"/>
      <c r="AG13" s="552"/>
      <c r="AH13" s="554"/>
      <c r="AI13" s="554"/>
      <c r="AK13" s="559"/>
      <c r="AT13" s="552"/>
      <c r="AU13" s="552"/>
      <c r="AV13" s="552"/>
      <c r="AW13" s="552"/>
      <c r="AX13" s="552"/>
      <c r="AY13" s="552"/>
      <c r="AZ13" s="552"/>
      <c r="BA13" s="552"/>
      <c r="BB13" s="554"/>
      <c r="BC13" s="554"/>
      <c r="BE13" s="559"/>
    </row>
    <row r="14" spans="3:76" s="561" customFormat="1" ht="4" customHeight="1">
      <c r="C14" s="560"/>
      <c r="U14" s="562"/>
    </row>
    <row r="15" spans="3:76" s="561" customFormat="1" ht="12.65" customHeight="1">
      <c r="C15" s="560"/>
      <c r="G15" s="563" t="s">
        <v>3239</v>
      </c>
      <c r="K15" s="1113" t="s">
        <v>3240</v>
      </c>
      <c r="L15" s="1114"/>
      <c r="M15" s="1114"/>
      <c r="N15" s="1114"/>
      <c r="O15" s="1114"/>
      <c r="P15" s="1114"/>
      <c r="Q15" s="1114"/>
      <c r="R15" s="1114"/>
      <c r="S15" s="1114"/>
      <c r="T15" s="1114"/>
      <c r="U15" s="1115"/>
      <c r="AA15" s="563"/>
      <c r="AE15" s="564"/>
      <c r="AF15" s="564"/>
      <c r="AG15" s="564"/>
      <c r="AH15" s="564"/>
      <c r="AI15" s="564"/>
      <c r="AJ15" s="564"/>
      <c r="AK15" s="564"/>
      <c r="AL15" s="564"/>
      <c r="AM15" s="564"/>
      <c r="AN15" s="564"/>
      <c r="AO15" s="564"/>
      <c r="AU15" s="563"/>
      <c r="AY15" s="564"/>
      <c r="AZ15" s="564"/>
      <c r="BA15" s="564"/>
      <c r="BB15" s="564"/>
      <c r="BC15" s="564"/>
      <c r="BD15" s="564"/>
      <c r="BE15" s="564"/>
      <c r="BF15" s="564"/>
      <c r="BG15" s="564"/>
      <c r="BH15" s="564"/>
      <c r="BI15" s="564"/>
    </row>
    <row r="16" spans="3:76" s="561" customFormat="1" ht="4" customHeight="1">
      <c r="C16" s="560"/>
      <c r="U16" s="562"/>
    </row>
    <row r="17" spans="3:61" s="561" customFormat="1" ht="14" customHeight="1">
      <c r="C17" s="560"/>
      <c r="P17" s="563" t="s">
        <v>3241</v>
      </c>
      <c r="T17" s="565" t="s">
        <v>3242</v>
      </c>
      <c r="U17" s="562"/>
      <c r="AJ17" s="563"/>
      <c r="AN17" s="565"/>
      <c r="BD17" s="563"/>
      <c r="BH17" s="565"/>
    </row>
    <row r="18" spans="3:61" s="561" customFormat="1" ht="13" customHeight="1" thickBot="1">
      <c r="C18" s="566"/>
      <c r="D18" s="567"/>
      <c r="E18" s="567"/>
      <c r="F18" s="567"/>
      <c r="G18" s="567"/>
      <c r="H18" s="567"/>
      <c r="I18" s="567"/>
      <c r="J18" s="567"/>
      <c r="K18" s="567"/>
      <c r="L18" s="567"/>
      <c r="M18" s="567"/>
      <c r="N18" s="567"/>
      <c r="O18" s="567"/>
      <c r="P18" s="567"/>
      <c r="Q18" s="567"/>
      <c r="R18" s="567"/>
      <c r="S18" s="567"/>
      <c r="T18" s="567"/>
      <c r="U18" s="568"/>
      <c r="AO18" s="569"/>
      <c r="BI18" s="569"/>
    </row>
    <row r="19" spans="3:61" ht="13" customHeight="1" thickBot="1">
      <c r="C19" s="539"/>
      <c r="D19" s="540"/>
      <c r="E19" s="540"/>
      <c r="F19" s="540"/>
      <c r="G19" s="540"/>
      <c r="H19" s="540"/>
      <c r="I19" s="540"/>
      <c r="J19" s="540"/>
      <c r="K19" s="540"/>
      <c r="L19" s="540"/>
      <c r="M19" s="540"/>
      <c r="N19" s="540"/>
      <c r="O19" s="540"/>
      <c r="P19" s="540"/>
      <c r="Q19" s="540"/>
      <c r="R19" s="540"/>
      <c r="S19" s="540"/>
      <c r="T19" s="540"/>
      <c r="U19" s="541"/>
    </row>
    <row r="20" spans="3:61" ht="13" customHeight="1" thickTop="1" thickBot="1">
      <c r="C20" s="542"/>
      <c r="D20" s="1118" t="str">
        <f>LEFT(VLOOKUP(E$2,購入者リスト!$B:$J,8,FALSE),1)</f>
        <v>8</v>
      </c>
      <c r="E20" s="1118" t="str">
        <f>MID(VLOOKUP(E$2,購入者リスト!$B:$J,8,FALSE),2,1)</f>
        <v>8</v>
      </c>
      <c r="F20" s="1118" t="str">
        <f>MID(VLOOKUP(E$2,購入者リスト!$B:$J,8,FALSE),3,1)</f>
        <v>0</v>
      </c>
      <c r="G20" s="1121"/>
      <c r="H20" s="1123" t="str">
        <f>MID(VLOOKUP(E$2,購入者リスト!$B:$J,8,FALSE),5,1)</f>
        <v>1</v>
      </c>
      <c r="I20" s="1123" t="str">
        <f>MID(VLOOKUP(E$2,購入者リスト!$B:$J,8,FALSE),6,1)</f>
        <v>2</v>
      </c>
      <c r="J20" s="1123" t="str">
        <f>MID(VLOOKUP(E$2,購入者リスト!$B:$J,8,FALSE),7,1)</f>
        <v>2</v>
      </c>
      <c r="K20" s="1123" t="str">
        <f>MID(VLOOKUP(E$2,購入者リスト!$B:$J,8,FALSE),8,1)</f>
        <v>2</v>
      </c>
      <c r="L20" s="543"/>
      <c r="M20" s="543"/>
      <c r="N20" s="543"/>
      <c r="O20" s="543"/>
      <c r="P20" s="543"/>
      <c r="Q20" s="1126" t="s">
        <v>3235</v>
      </c>
      <c r="R20" s="1127"/>
      <c r="S20" s="1127"/>
      <c r="T20" s="1127"/>
      <c r="U20" s="545"/>
      <c r="X20" s="546"/>
      <c r="Y20" s="546"/>
      <c r="Z20" s="546"/>
      <c r="AA20" s="547"/>
      <c r="AB20" s="548"/>
      <c r="AC20" s="548"/>
      <c r="AD20" s="548"/>
      <c r="AE20" s="548"/>
      <c r="AF20" s="543"/>
      <c r="AG20" s="543"/>
      <c r="AH20" s="543"/>
      <c r="AI20" s="543"/>
      <c r="AJ20" s="543"/>
      <c r="AK20" s="544"/>
      <c r="AL20" s="549"/>
      <c r="AM20" s="549"/>
      <c r="AN20" s="549"/>
      <c r="AO20" s="549"/>
      <c r="AR20" s="546"/>
      <c r="AS20" s="546"/>
      <c r="AT20" s="546"/>
      <c r="AU20" s="547"/>
      <c r="AV20" s="548"/>
      <c r="AW20" s="548"/>
      <c r="AX20" s="548"/>
      <c r="AY20" s="548"/>
      <c r="AZ20" s="543"/>
      <c r="BA20" s="543"/>
      <c r="BB20" s="543"/>
      <c r="BC20" s="543"/>
      <c r="BD20" s="543"/>
      <c r="BE20" s="544"/>
      <c r="BF20" s="549"/>
      <c r="BG20" s="549"/>
      <c r="BH20" s="549"/>
      <c r="BI20" s="549"/>
    </row>
    <row r="21" spans="3:61" ht="13" customHeight="1" thickTop="1">
      <c r="C21" s="542"/>
      <c r="D21" s="1119"/>
      <c r="E21" s="1119"/>
      <c r="F21" s="1119"/>
      <c r="G21" s="1122"/>
      <c r="H21" s="1124"/>
      <c r="I21" s="1124"/>
      <c r="J21" s="1124"/>
      <c r="K21" s="1124"/>
      <c r="L21" s="543"/>
      <c r="M21" s="543"/>
      <c r="N21" s="543"/>
      <c r="O21" s="543"/>
      <c r="P21" s="543"/>
      <c r="Q21" s="1127"/>
      <c r="R21" s="1127"/>
      <c r="S21" s="1127"/>
      <c r="T21" s="1127"/>
      <c r="U21" s="545"/>
      <c r="X21" s="546"/>
      <c r="Y21" s="546"/>
      <c r="Z21" s="546"/>
      <c r="AA21" s="547"/>
      <c r="AB21" s="548"/>
      <c r="AC21" s="548"/>
      <c r="AD21" s="548"/>
      <c r="AE21" s="548"/>
      <c r="AF21" s="543"/>
      <c r="AG21" s="543"/>
      <c r="AH21" s="543"/>
      <c r="AI21" s="543"/>
      <c r="AJ21" s="543"/>
      <c r="AK21" s="549"/>
      <c r="AL21" s="549"/>
      <c r="AM21" s="549"/>
      <c r="AN21" s="549"/>
      <c r="AO21" s="549"/>
      <c r="AR21" s="546"/>
      <c r="AS21" s="546"/>
      <c r="AT21" s="546"/>
      <c r="AU21" s="547"/>
      <c r="AV21" s="548"/>
      <c r="AW21" s="548"/>
      <c r="AX21" s="548"/>
      <c r="AY21" s="548"/>
      <c r="AZ21" s="543"/>
      <c r="BA21" s="543"/>
      <c r="BB21" s="543"/>
      <c r="BC21" s="543"/>
      <c r="BD21" s="543"/>
      <c r="BE21" s="549"/>
      <c r="BF21" s="549"/>
      <c r="BG21" s="549"/>
      <c r="BH21" s="549"/>
      <c r="BI21" s="549"/>
    </row>
    <row r="22" spans="3:61" ht="13" customHeight="1" thickBot="1">
      <c r="C22" s="542"/>
      <c r="D22" s="1120"/>
      <c r="E22" s="1120"/>
      <c r="F22" s="1120"/>
      <c r="G22" s="1122"/>
      <c r="H22" s="1125"/>
      <c r="I22" s="1125"/>
      <c r="J22" s="1125"/>
      <c r="K22" s="1125"/>
      <c r="L22" s="543"/>
      <c r="M22" s="543"/>
      <c r="N22" s="543"/>
      <c r="O22" s="543"/>
      <c r="P22" s="543"/>
      <c r="Q22" s="1127"/>
      <c r="R22" s="1127"/>
      <c r="S22" s="1127"/>
      <c r="T22" s="1127"/>
      <c r="U22" s="545"/>
      <c r="X22" s="546"/>
      <c r="Y22" s="546"/>
      <c r="Z22" s="546"/>
      <c r="AA22" s="547"/>
      <c r="AB22" s="548"/>
      <c r="AC22" s="548"/>
      <c r="AD22" s="548"/>
      <c r="AE22" s="548"/>
      <c r="AF22" s="543"/>
      <c r="AG22" s="543"/>
      <c r="AH22" s="543"/>
      <c r="AI22" s="543"/>
      <c r="AJ22" s="543"/>
      <c r="AK22" s="549"/>
      <c r="AL22" s="549"/>
      <c r="AM22" s="549"/>
      <c r="AN22" s="549"/>
      <c r="AO22" s="549"/>
      <c r="AR22" s="546"/>
      <c r="AS22" s="546"/>
      <c r="AT22" s="546"/>
      <c r="AU22" s="547"/>
      <c r="AV22" s="548"/>
      <c r="AW22" s="548"/>
      <c r="AX22" s="548"/>
      <c r="AY22" s="548"/>
      <c r="AZ22" s="543"/>
      <c r="BA22" s="543"/>
      <c r="BB22" s="543"/>
      <c r="BC22" s="543"/>
      <c r="BD22" s="543"/>
      <c r="BE22" s="549"/>
      <c r="BF22" s="549"/>
      <c r="BG22" s="549"/>
      <c r="BH22" s="549"/>
      <c r="BI22" s="549"/>
    </row>
    <row r="23" spans="3:61" ht="13" customHeight="1" thickTop="1">
      <c r="C23" s="542"/>
      <c r="D23" s="1128" t="str">
        <f>VLOOKUP(E$2,購入者リスト!$B:$J,9,FALSE)</f>
        <v>宮崎県 東諸県郡国富町 八代北俣1689-75</v>
      </c>
      <c r="E23" s="1127"/>
      <c r="F23" s="1127"/>
      <c r="G23" s="1127"/>
      <c r="H23" s="1127"/>
      <c r="I23" s="1127"/>
      <c r="J23" s="1127"/>
      <c r="K23" s="1127"/>
      <c r="L23" s="1127"/>
      <c r="M23" s="1127"/>
      <c r="N23" s="1127"/>
      <c r="O23" s="1127"/>
      <c r="P23" s="1127"/>
      <c r="Q23" s="1127"/>
      <c r="R23" s="1127"/>
      <c r="S23" s="1127"/>
      <c r="T23" s="1127"/>
      <c r="U23" s="551"/>
      <c r="X23" s="550"/>
      <c r="Y23" s="550"/>
      <c r="Z23" s="550"/>
      <c r="AA23" s="550"/>
      <c r="AB23" s="550"/>
      <c r="AC23" s="550"/>
      <c r="AD23" s="550"/>
      <c r="AE23" s="550"/>
      <c r="AF23" s="550"/>
      <c r="AG23" s="550"/>
      <c r="AH23" s="550"/>
      <c r="AI23" s="550"/>
      <c r="AJ23" s="550"/>
      <c r="AK23" s="550"/>
      <c r="AL23" s="550"/>
      <c r="AM23" s="550"/>
      <c r="AN23" s="550"/>
      <c r="AR23" s="550"/>
      <c r="AS23" s="550"/>
      <c r="AT23" s="550"/>
      <c r="AU23" s="550"/>
      <c r="AV23" s="550"/>
      <c r="AW23" s="550"/>
      <c r="AX23" s="550"/>
      <c r="AY23" s="550"/>
      <c r="AZ23" s="550"/>
      <c r="BA23" s="550"/>
      <c r="BB23" s="550"/>
      <c r="BC23" s="550"/>
      <c r="BD23" s="550"/>
      <c r="BE23" s="550"/>
      <c r="BF23" s="550"/>
      <c r="BG23" s="550"/>
      <c r="BH23" s="550"/>
    </row>
    <row r="24" spans="3:61" ht="13" customHeight="1">
      <c r="C24" s="542"/>
      <c r="D24" s="1127"/>
      <c r="E24" s="1127"/>
      <c r="F24" s="1127"/>
      <c r="G24" s="1127"/>
      <c r="H24" s="1127"/>
      <c r="I24" s="1127"/>
      <c r="J24" s="1127"/>
      <c r="K24" s="1127"/>
      <c r="L24" s="1127"/>
      <c r="M24" s="1127"/>
      <c r="N24" s="1127"/>
      <c r="O24" s="1127"/>
      <c r="P24" s="1127"/>
      <c r="Q24" s="1127"/>
      <c r="R24" s="1127"/>
      <c r="S24" s="1127"/>
      <c r="T24" s="1127"/>
      <c r="U24" s="551"/>
      <c r="X24" s="550"/>
      <c r="Y24" s="550"/>
      <c r="Z24" s="550"/>
      <c r="AA24" s="550"/>
      <c r="AB24" s="550"/>
      <c r="AC24" s="550"/>
      <c r="AD24" s="550"/>
      <c r="AE24" s="550"/>
      <c r="AF24" s="550"/>
      <c r="AG24" s="550"/>
      <c r="AH24" s="550"/>
      <c r="AI24" s="550"/>
      <c r="AJ24" s="550"/>
      <c r="AK24" s="550"/>
      <c r="AL24" s="550"/>
      <c r="AM24" s="550"/>
      <c r="AN24" s="550"/>
      <c r="AR24" s="550"/>
      <c r="AS24" s="550"/>
      <c r="AT24" s="550"/>
      <c r="AU24" s="550"/>
      <c r="AV24" s="550"/>
      <c r="AW24" s="550"/>
      <c r="AX24" s="550"/>
      <c r="AY24" s="550"/>
      <c r="AZ24" s="550"/>
      <c r="BA24" s="550"/>
      <c r="BB24" s="550"/>
      <c r="BC24" s="550"/>
      <c r="BD24" s="550"/>
      <c r="BE24" s="550"/>
      <c r="BF24" s="550"/>
      <c r="BG24" s="550"/>
      <c r="BH24" s="550"/>
    </row>
    <row r="25" spans="3:61" ht="4" customHeight="1">
      <c r="C25" s="542"/>
      <c r="D25" s="1127"/>
      <c r="E25" s="1127"/>
      <c r="F25" s="1127"/>
      <c r="G25" s="1127"/>
      <c r="H25" s="1127"/>
      <c r="I25" s="1127"/>
      <c r="J25" s="1127"/>
      <c r="K25" s="1127"/>
      <c r="L25" s="1127"/>
      <c r="M25" s="1127"/>
      <c r="N25" s="1127"/>
      <c r="O25" s="1127"/>
      <c r="P25" s="1127"/>
      <c r="Q25" s="1127"/>
      <c r="R25" s="1127"/>
      <c r="S25" s="1127"/>
      <c r="T25" s="1127"/>
      <c r="U25" s="551"/>
      <c r="X25" s="550"/>
      <c r="Y25" s="550"/>
      <c r="Z25" s="550"/>
      <c r="AA25" s="550"/>
      <c r="AB25" s="550"/>
      <c r="AC25" s="550"/>
      <c r="AD25" s="550"/>
      <c r="AE25" s="550"/>
      <c r="AF25" s="550"/>
      <c r="AG25" s="550"/>
      <c r="AH25" s="550"/>
      <c r="AI25" s="550"/>
      <c r="AJ25" s="550"/>
      <c r="AK25" s="550"/>
      <c r="AL25" s="550"/>
      <c r="AM25" s="550"/>
      <c r="AN25" s="550"/>
      <c r="AR25" s="550"/>
      <c r="AS25" s="550"/>
      <c r="AT25" s="550"/>
      <c r="AU25" s="550"/>
      <c r="AV25" s="550"/>
      <c r="AW25" s="550"/>
      <c r="AX25" s="550"/>
      <c r="AY25" s="550"/>
      <c r="AZ25" s="550"/>
      <c r="BA25" s="550"/>
      <c r="BB25" s="550"/>
      <c r="BC25" s="550"/>
      <c r="BD25" s="550"/>
      <c r="BE25" s="550"/>
      <c r="BF25" s="550"/>
      <c r="BG25" s="550"/>
      <c r="BH25" s="550"/>
    </row>
    <row r="26" spans="3:61" ht="13" customHeight="1">
      <c r="C26" s="542"/>
      <c r="F26" s="1129" t="str">
        <f>VLOOKUP(E$2,購入者リスト!$B:$J,7,FALSE)</f>
        <v>村田 亜理沙</v>
      </c>
      <c r="G26" s="1127"/>
      <c r="H26" s="1127"/>
      <c r="I26" s="1127"/>
      <c r="J26" s="1127"/>
      <c r="K26" s="1127"/>
      <c r="L26" s="1127"/>
      <c r="M26" s="1127"/>
      <c r="N26" s="1130" t="s">
        <v>3238</v>
      </c>
      <c r="O26" s="1127"/>
      <c r="P26" s="554"/>
      <c r="Q26" s="554"/>
      <c r="R26" s="554"/>
      <c r="S26" s="554"/>
      <c r="U26" s="555"/>
      <c r="Z26" s="552"/>
      <c r="AA26" s="552"/>
      <c r="AB26" s="552"/>
      <c r="AC26" s="552"/>
      <c r="AD26" s="552"/>
      <c r="AE26" s="552"/>
      <c r="AF26" s="552"/>
      <c r="AG26" s="552"/>
      <c r="AH26" s="553"/>
      <c r="AI26" s="554"/>
      <c r="AJ26" s="554"/>
      <c r="AK26" s="554"/>
      <c r="AL26" s="554"/>
      <c r="AM26" s="554"/>
      <c r="AO26" s="556"/>
      <c r="AT26" s="552"/>
      <c r="AU26" s="552"/>
      <c r="AV26" s="552"/>
      <c r="AW26" s="552"/>
      <c r="AX26" s="552"/>
      <c r="AY26" s="552"/>
      <c r="AZ26" s="552"/>
      <c r="BA26" s="552"/>
      <c r="BB26" s="553"/>
      <c r="BC26" s="554"/>
      <c r="BD26" s="554"/>
      <c r="BE26" s="554"/>
      <c r="BF26" s="554"/>
      <c r="BG26" s="554"/>
      <c r="BI26" s="556"/>
    </row>
    <row r="27" spans="3:61" ht="13" customHeight="1">
      <c r="C27" s="542"/>
      <c r="F27" s="1127"/>
      <c r="G27" s="1127"/>
      <c r="H27" s="1127"/>
      <c r="I27" s="1127"/>
      <c r="J27" s="1127"/>
      <c r="K27" s="1127"/>
      <c r="L27" s="1127"/>
      <c r="M27" s="1127"/>
      <c r="N27" s="1127"/>
      <c r="O27" s="1127"/>
      <c r="P27" s="554"/>
      <c r="Q27" s="554"/>
      <c r="R27" s="554"/>
      <c r="S27" s="554"/>
      <c r="U27" s="557"/>
      <c r="Z27" s="552"/>
      <c r="AA27" s="552"/>
      <c r="AB27" s="552"/>
      <c r="AC27" s="552"/>
      <c r="AD27" s="552"/>
      <c r="AE27" s="552"/>
      <c r="AF27" s="552"/>
      <c r="AG27" s="552"/>
      <c r="AH27" s="554"/>
      <c r="AI27" s="554"/>
      <c r="AJ27" s="554"/>
      <c r="AK27" s="554"/>
      <c r="AL27" s="554"/>
      <c r="AM27" s="554"/>
      <c r="AO27" s="558"/>
      <c r="AT27" s="552"/>
      <c r="AU27" s="552"/>
      <c r="AV27" s="552"/>
      <c r="AW27" s="552"/>
      <c r="AX27" s="552"/>
      <c r="AY27" s="552"/>
      <c r="AZ27" s="552"/>
      <c r="BA27" s="552"/>
      <c r="BB27" s="554"/>
      <c r="BC27" s="554"/>
      <c r="BD27" s="554"/>
      <c r="BE27" s="554"/>
      <c r="BF27" s="554"/>
      <c r="BG27" s="554"/>
      <c r="BI27" s="558"/>
    </row>
    <row r="28" spans="3:61" ht="13" customHeight="1">
      <c r="C28" s="542"/>
      <c r="F28" s="1127"/>
      <c r="G28" s="1127"/>
      <c r="H28" s="1127"/>
      <c r="I28" s="1127"/>
      <c r="J28" s="1127"/>
      <c r="K28" s="1127"/>
      <c r="L28" s="1127"/>
      <c r="M28" s="1127"/>
      <c r="N28" s="1127"/>
      <c r="O28" s="1127"/>
      <c r="Q28" s="559"/>
      <c r="U28" s="551"/>
      <c r="Z28" s="552"/>
      <c r="AA28" s="552"/>
      <c r="AB28" s="552"/>
      <c r="AC28" s="552"/>
      <c r="AD28" s="552"/>
      <c r="AE28" s="552"/>
      <c r="AF28" s="552"/>
      <c r="AG28" s="552"/>
      <c r="AH28" s="554"/>
      <c r="AI28" s="554"/>
      <c r="AK28" s="559"/>
      <c r="AT28" s="552"/>
      <c r="AU28" s="552"/>
      <c r="AV28" s="552"/>
      <c r="AW28" s="552"/>
      <c r="AX28" s="552"/>
      <c r="AY28" s="552"/>
      <c r="AZ28" s="552"/>
      <c r="BA28" s="552"/>
      <c r="BB28" s="554"/>
      <c r="BC28" s="554"/>
      <c r="BE28" s="559"/>
    </row>
    <row r="29" spans="3:61" s="561" customFormat="1" ht="4" customHeight="1">
      <c r="C29" s="560"/>
      <c r="U29" s="562"/>
    </row>
    <row r="30" spans="3:61" s="561" customFormat="1" ht="12.65" customHeight="1">
      <c r="C30" s="560"/>
      <c r="G30" s="563" t="s">
        <v>3239</v>
      </c>
      <c r="K30" s="1113" t="s">
        <v>3240</v>
      </c>
      <c r="L30" s="1114"/>
      <c r="M30" s="1114"/>
      <c r="N30" s="1114"/>
      <c r="O30" s="1114"/>
      <c r="P30" s="1114"/>
      <c r="Q30" s="1114"/>
      <c r="R30" s="1114"/>
      <c r="S30" s="1114"/>
      <c r="T30" s="1114"/>
      <c r="U30" s="1115"/>
      <c r="AA30" s="563"/>
      <c r="AE30" s="564"/>
      <c r="AF30" s="564"/>
      <c r="AG30" s="564"/>
      <c r="AH30" s="564"/>
      <c r="AI30" s="564"/>
      <c r="AJ30" s="564"/>
      <c r="AK30" s="564"/>
      <c r="AL30" s="564"/>
      <c r="AM30" s="564"/>
      <c r="AN30" s="564"/>
      <c r="AO30" s="564"/>
      <c r="AU30" s="563"/>
      <c r="AY30" s="564"/>
      <c r="AZ30" s="564"/>
      <c r="BA30" s="564"/>
      <c r="BB30" s="564"/>
      <c r="BC30" s="564"/>
      <c r="BD30" s="564"/>
      <c r="BE30" s="564"/>
      <c r="BF30" s="564"/>
      <c r="BG30" s="564"/>
      <c r="BH30" s="564"/>
      <c r="BI30" s="564"/>
    </row>
    <row r="31" spans="3:61" s="561" customFormat="1" ht="4" customHeight="1">
      <c r="C31" s="560"/>
      <c r="U31" s="562"/>
    </row>
    <row r="32" spans="3:61" s="561" customFormat="1" ht="14" customHeight="1">
      <c r="C32" s="560"/>
      <c r="P32" s="563" t="s">
        <v>3241</v>
      </c>
      <c r="T32" s="565" t="s">
        <v>3242</v>
      </c>
      <c r="U32" s="562"/>
      <c r="AJ32" s="563"/>
      <c r="AN32" s="565"/>
      <c r="BD32" s="563"/>
      <c r="BH32" s="565"/>
    </row>
    <row r="33" spans="3:61" s="561" customFormat="1" ht="13" customHeight="1" thickBot="1">
      <c r="C33" s="566"/>
      <c r="D33" s="567"/>
      <c r="E33" s="567"/>
      <c r="F33" s="567"/>
      <c r="G33" s="567"/>
      <c r="H33" s="567"/>
      <c r="I33" s="567"/>
      <c r="J33" s="567"/>
      <c r="K33" s="567"/>
      <c r="L33" s="567"/>
      <c r="M33" s="567"/>
      <c r="N33" s="567"/>
      <c r="O33" s="567"/>
      <c r="P33" s="567"/>
      <c r="Q33" s="567"/>
      <c r="R33" s="567"/>
      <c r="S33" s="567"/>
      <c r="T33" s="567"/>
      <c r="U33" s="568"/>
      <c r="AO33" s="569"/>
      <c r="BI33" s="569"/>
    </row>
    <row r="34" spans="3:61" ht="13" customHeight="1" thickBot="1">
      <c r="C34" s="539"/>
      <c r="D34" s="540"/>
      <c r="E34" s="540"/>
      <c r="F34" s="540"/>
      <c r="G34" s="540"/>
      <c r="H34" s="540"/>
      <c r="I34" s="540"/>
      <c r="J34" s="540"/>
      <c r="K34" s="540"/>
      <c r="L34" s="540"/>
      <c r="M34" s="540"/>
      <c r="N34" s="540"/>
      <c r="O34" s="540"/>
      <c r="P34" s="540"/>
      <c r="Q34" s="540"/>
      <c r="R34" s="540"/>
      <c r="S34" s="540"/>
      <c r="T34" s="540"/>
      <c r="U34" s="541"/>
    </row>
    <row r="35" spans="3:61" ht="13" customHeight="1" thickTop="1" thickBot="1">
      <c r="C35" s="542"/>
      <c r="D35" s="1118" t="str">
        <f>LEFT(VLOOKUP(F$2,購入者リスト!$B:$J,8,FALSE),1)</f>
        <v>3</v>
      </c>
      <c r="E35" s="1118" t="str">
        <f>MID(VLOOKUP(F$2,購入者リスト!$B:$J,8,FALSE),2,1)</f>
        <v>4</v>
      </c>
      <c r="F35" s="1118" t="str">
        <f>MID(VLOOKUP(F$2,購入者リスト!$B:$J,8,FALSE),3,1)</f>
        <v>3</v>
      </c>
      <c r="G35" s="1121"/>
      <c r="H35" s="1123" t="str">
        <f>MID(VLOOKUP(F$2,購入者リスト!$B:$J,8,FALSE),5,1)</f>
        <v>0</v>
      </c>
      <c r="I35" s="1123" t="str">
        <f>MID(VLOOKUP(F$2,購入者リスト!$B:$J,8,FALSE),6,1)</f>
        <v>8</v>
      </c>
      <c r="J35" s="1123" t="str">
        <f>MID(VLOOKUP(F$2,購入者リスト!$B:$J,8,FALSE),7,1)</f>
        <v>5</v>
      </c>
      <c r="K35" s="1123" t="str">
        <f>MID(VLOOKUP(F$2,購入者リスト!$B:$J,8,FALSE),8,1)</f>
        <v>6</v>
      </c>
      <c r="L35" s="543"/>
      <c r="M35" s="543"/>
      <c r="N35" s="543"/>
      <c r="O35" s="543"/>
      <c r="P35" s="543"/>
      <c r="Q35" s="1126" t="s">
        <v>3235</v>
      </c>
      <c r="R35" s="1127"/>
      <c r="S35" s="1127"/>
      <c r="T35" s="1127"/>
      <c r="U35" s="545"/>
      <c r="X35" s="546"/>
      <c r="Y35" s="546"/>
      <c r="Z35" s="546"/>
      <c r="AA35" s="547"/>
      <c r="AB35" s="548"/>
      <c r="AC35" s="548"/>
      <c r="AD35" s="548"/>
      <c r="AE35" s="548"/>
      <c r="AF35" s="543"/>
      <c r="AG35" s="543"/>
      <c r="AH35" s="543"/>
      <c r="AI35" s="543"/>
      <c r="AJ35" s="543"/>
      <c r="AK35" s="544"/>
      <c r="AL35" s="549"/>
      <c r="AM35" s="549"/>
      <c r="AN35" s="549"/>
      <c r="AO35" s="549"/>
      <c r="AR35" s="546"/>
      <c r="AS35" s="546"/>
      <c r="AT35" s="546"/>
      <c r="AU35" s="547"/>
      <c r="AV35" s="548"/>
      <c r="AW35" s="548"/>
      <c r="AX35" s="548"/>
      <c r="AY35" s="548"/>
      <c r="AZ35" s="543"/>
      <c r="BA35" s="543"/>
      <c r="BB35" s="543"/>
      <c r="BC35" s="543"/>
      <c r="BD35" s="543"/>
      <c r="BE35" s="544"/>
      <c r="BF35" s="549"/>
      <c r="BG35" s="549"/>
      <c r="BH35" s="549"/>
      <c r="BI35" s="549"/>
    </row>
    <row r="36" spans="3:61" ht="13" customHeight="1" thickTop="1">
      <c r="C36" s="542"/>
      <c r="D36" s="1119"/>
      <c r="E36" s="1119"/>
      <c r="F36" s="1119"/>
      <c r="G36" s="1122"/>
      <c r="H36" s="1124"/>
      <c r="I36" s="1124"/>
      <c r="J36" s="1124"/>
      <c r="K36" s="1124"/>
      <c r="L36" s="543"/>
      <c r="M36" s="543"/>
      <c r="N36" s="543"/>
      <c r="O36" s="543"/>
      <c r="P36" s="543"/>
      <c r="Q36" s="1127"/>
      <c r="R36" s="1127"/>
      <c r="S36" s="1127"/>
      <c r="T36" s="1127"/>
      <c r="U36" s="545"/>
      <c r="X36" s="546"/>
      <c r="Y36" s="546"/>
      <c r="Z36" s="546"/>
      <c r="AA36" s="547"/>
      <c r="AB36" s="548"/>
      <c r="AC36" s="548"/>
      <c r="AD36" s="548"/>
      <c r="AE36" s="548"/>
      <c r="AF36" s="543"/>
      <c r="AG36" s="543"/>
      <c r="AH36" s="543"/>
      <c r="AI36" s="543"/>
      <c r="AJ36" s="543"/>
      <c r="AK36" s="549"/>
      <c r="AL36" s="549"/>
      <c r="AM36" s="549"/>
      <c r="AN36" s="549"/>
      <c r="AO36" s="549"/>
      <c r="AR36" s="546"/>
      <c r="AS36" s="546"/>
      <c r="AT36" s="546"/>
      <c r="AU36" s="547"/>
      <c r="AV36" s="548"/>
      <c r="AW36" s="548"/>
      <c r="AX36" s="548"/>
      <c r="AY36" s="548"/>
      <c r="AZ36" s="543"/>
      <c r="BA36" s="543"/>
      <c r="BB36" s="543"/>
      <c r="BC36" s="543"/>
      <c r="BD36" s="543"/>
      <c r="BE36" s="549"/>
      <c r="BF36" s="549"/>
      <c r="BG36" s="549"/>
      <c r="BH36" s="549"/>
      <c r="BI36" s="549"/>
    </row>
    <row r="37" spans="3:61" ht="13" customHeight="1" thickBot="1">
      <c r="C37" s="542"/>
      <c r="D37" s="1120"/>
      <c r="E37" s="1120"/>
      <c r="F37" s="1120"/>
      <c r="G37" s="1122"/>
      <c r="H37" s="1125"/>
      <c r="I37" s="1125"/>
      <c r="J37" s="1125"/>
      <c r="K37" s="1125"/>
      <c r="L37" s="543"/>
      <c r="M37" s="543"/>
      <c r="N37" s="543"/>
      <c r="O37" s="543"/>
      <c r="P37" s="543"/>
      <c r="Q37" s="1127"/>
      <c r="R37" s="1127"/>
      <c r="S37" s="1127"/>
      <c r="T37" s="1127"/>
      <c r="U37" s="545"/>
      <c r="X37" s="546"/>
      <c r="Y37" s="546"/>
      <c r="Z37" s="546"/>
      <c r="AA37" s="547"/>
      <c r="AB37" s="548"/>
      <c r="AC37" s="548"/>
      <c r="AD37" s="548"/>
      <c r="AE37" s="548"/>
      <c r="AF37" s="543"/>
      <c r="AG37" s="543"/>
      <c r="AH37" s="543"/>
      <c r="AI37" s="543"/>
      <c r="AJ37" s="543"/>
      <c r="AK37" s="549"/>
      <c r="AL37" s="549"/>
      <c r="AM37" s="549"/>
      <c r="AN37" s="549"/>
      <c r="AO37" s="549"/>
      <c r="AR37" s="546"/>
      <c r="AS37" s="546"/>
      <c r="AT37" s="546"/>
      <c r="AU37" s="547"/>
      <c r="AV37" s="548"/>
      <c r="AW37" s="548"/>
      <c r="AX37" s="548"/>
      <c r="AY37" s="548"/>
      <c r="AZ37" s="543"/>
      <c r="BA37" s="543"/>
      <c r="BB37" s="543"/>
      <c r="BC37" s="543"/>
      <c r="BD37" s="543"/>
      <c r="BE37" s="549"/>
      <c r="BF37" s="549"/>
      <c r="BG37" s="549"/>
      <c r="BH37" s="549"/>
      <c r="BI37" s="549"/>
    </row>
    <row r="38" spans="3:61" ht="13" customHeight="1" thickTop="1">
      <c r="C38" s="542"/>
      <c r="D38" s="1128" t="str">
        <f>VLOOKUP(F$2,購入者リスト!$B:$J,9,FALSE)</f>
        <v>埼玉県 越谷市 谷中町4-65-14</v>
      </c>
      <c r="E38" s="1127"/>
      <c r="F38" s="1127"/>
      <c r="G38" s="1127"/>
      <c r="H38" s="1127"/>
      <c r="I38" s="1127"/>
      <c r="J38" s="1127"/>
      <c r="K38" s="1127"/>
      <c r="L38" s="1127"/>
      <c r="M38" s="1127"/>
      <c r="N38" s="1127"/>
      <c r="O38" s="1127"/>
      <c r="P38" s="1127"/>
      <c r="Q38" s="1127"/>
      <c r="R38" s="1127"/>
      <c r="S38" s="1127"/>
      <c r="T38" s="1127"/>
      <c r="U38" s="551"/>
      <c r="X38" s="550"/>
      <c r="Y38" s="550"/>
      <c r="Z38" s="550"/>
      <c r="AA38" s="550"/>
      <c r="AB38" s="550"/>
      <c r="AC38" s="550"/>
      <c r="AD38" s="550"/>
      <c r="AE38" s="550"/>
      <c r="AF38" s="550"/>
      <c r="AG38" s="550"/>
      <c r="AH38" s="550"/>
      <c r="AI38" s="550"/>
      <c r="AJ38" s="550"/>
      <c r="AK38" s="550"/>
      <c r="AL38" s="550"/>
      <c r="AM38" s="550"/>
      <c r="AN38" s="550"/>
      <c r="AR38" s="550"/>
      <c r="AS38" s="550"/>
      <c r="AT38" s="550"/>
      <c r="AU38" s="550"/>
      <c r="AV38" s="550"/>
      <c r="AW38" s="550"/>
      <c r="AX38" s="550"/>
      <c r="AY38" s="550"/>
      <c r="AZ38" s="550"/>
      <c r="BA38" s="550"/>
      <c r="BB38" s="550"/>
      <c r="BC38" s="550"/>
      <c r="BD38" s="550"/>
      <c r="BE38" s="550"/>
      <c r="BF38" s="550"/>
      <c r="BG38" s="550"/>
      <c r="BH38" s="550"/>
    </row>
    <row r="39" spans="3:61" ht="13" customHeight="1">
      <c r="C39" s="542"/>
      <c r="D39" s="1127"/>
      <c r="E39" s="1127"/>
      <c r="F39" s="1127"/>
      <c r="G39" s="1127"/>
      <c r="H39" s="1127"/>
      <c r="I39" s="1127"/>
      <c r="J39" s="1127"/>
      <c r="K39" s="1127"/>
      <c r="L39" s="1127"/>
      <c r="M39" s="1127"/>
      <c r="N39" s="1127"/>
      <c r="O39" s="1127"/>
      <c r="P39" s="1127"/>
      <c r="Q39" s="1127"/>
      <c r="R39" s="1127"/>
      <c r="S39" s="1127"/>
      <c r="T39" s="1127"/>
      <c r="U39" s="551"/>
      <c r="X39" s="550"/>
      <c r="Y39" s="550"/>
      <c r="Z39" s="550"/>
      <c r="AA39" s="550"/>
      <c r="AB39" s="550"/>
      <c r="AC39" s="550"/>
      <c r="AD39" s="550"/>
      <c r="AE39" s="550"/>
      <c r="AF39" s="550"/>
      <c r="AG39" s="550"/>
      <c r="AH39" s="550"/>
      <c r="AI39" s="550"/>
      <c r="AJ39" s="550"/>
      <c r="AK39" s="550"/>
      <c r="AL39" s="550"/>
      <c r="AM39" s="550"/>
      <c r="AN39" s="550"/>
      <c r="AR39" s="550"/>
      <c r="AS39" s="550"/>
      <c r="AT39" s="550"/>
      <c r="AU39" s="550"/>
      <c r="AV39" s="550"/>
      <c r="AW39" s="550"/>
      <c r="AX39" s="550"/>
      <c r="AY39" s="550"/>
      <c r="AZ39" s="550"/>
      <c r="BA39" s="550"/>
      <c r="BB39" s="550"/>
      <c r="BC39" s="550"/>
      <c r="BD39" s="550"/>
      <c r="BE39" s="550"/>
      <c r="BF39" s="550"/>
      <c r="BG39" s="550"/>
      <c r="BH39" s="550"/>
    </row>
    <row r="40" spans="3:61" ht="4" customHeight="1">
      <c r="C40" s="542"/>
      <c r="D40" s="1127"/>
      <c r="E40" s="1127"/>
      <c r="F40" s="1127"/>
      <c r="G40" s="1127"/>
      <c r="H40" s="1127"/>
      <c r="I40" s="1127"/>
      <c r="J40" s="1127"/>
      <c r="K40" s="1127"/>
      <c r="L40" s="1127"/>
      <c r="M40" s="1127"/>
      <c r="N40" s="1127"/>
      <c r="O40" s="1127"/>
      <c r="P40" s="1127"/>
      <c r="Q40" s="1127"/>
      <c r="R40" s="1127"/>
      <c r="S40" s="1127"/>
      <c r="T40" s="1127"/>
      <c r="U40" s="551"/>
      <c r="X40" s="550"/>
      <c r="Y40" s="550"/>
      <c r="Z40" s="550"/>
      <c r="AA40" s="550"/>
      <c r="AB40" s="550"/>
      <c r="AC40" s="550"/>
      <c r="AD40" s="550"/>
      <c r="AE40" s="550"/>
      <c r="AF40" s="550"/>
      <c r="AG40" s="550"/>
      <c r="AH40" s="550"/>
      <c r="AI40" s="550"/>
      <c r="AJ40" s="550"/>
      <c r="AK40" s="550"/>
      <c r="AL40" s="550"/>
      <c r="AM40" s="550"/>
      <c r="AN40" s="550"/>
      <c r="AR40" s="550"/>
      <c r="AS40" s="550"/>
      <c r="AT40" s="550"/>
      <c r="AU40" s="550"/>
      <c r="AV40" s="550"/>
      <c r="AW40" s="550"/>
      <c r="AX40" s="550"/>
      <c r="AY40" s="550"/>
      <c r="AZ40" s="550"/>
      <c r="BA40" s="550"/>
      <c r="BB40" s="550"/>
      <c r="BC40" s="550"/>
      <c r="BD40" s="550"/>
      <c r="BE40" s="550"/>
      <c r="BF40" s="550"/>
      <c r="BG40" s="550"/>
      <c r="BH40" s="550"/>
    </row>
    <row r="41" spans="3:61" ht="13" customHeight="1">
      <c r="C41" s="542"/>
      <c r="F41" s="1129" t="str">
        <f>VLOOKUP(F$2,購入者リスト!$B:$J,7,FALSE)</f>
        <v>柴崎 夢香</v>
      </c>
      <c r="G41" s="1127"/>
      <c r="H41" s="1127"/>
      <c r="I41" s="1127"/>
      <c r="J41" s="1127"/>
      <c r="K41" s="1127"/>
      <c r="L41" s="1127"/>
      <c r="M41" s="1127"/>
      <c r="N41" s="1130" t="s">
        <v>3238</v>
      </c>
      <c r="O41" s="1127"/>
      <c r="P41" s="554"/>
      <c r="Q41" s="554"/>
      <c r="R41" s="554"/>
      <c r="S41" s="554"/>
      <c r="U41" s="555"/>
      <c r="Z41" s="552"/>
      <c r="AA41" s="552"/>
      <c r="AB41" s="552"/>
      <c r="AC41" s="552"/>
      <c r="AD41" s="552"/>
      <c r="AE41" s="552"/>
      <c r="AF41" s="552"/>
      <c r="AG41" s="552"/>
      <c r="AH41" s="553"/>
      <c r="AI41" s="554"/>
      <c r="AJ41" s="554"/>
      <c r="AK41" s="554"/>
      <c r="AL41" s="554"/>
      <c r="AM41" s="554"/>
      <c r="AO41" s="556"/>
      <c r="AT41" s="552"/>
      <c r="AU41" s="552"/>
      <c r="AV41" s="552"/>
      <c r="AW41" s="552"/>
      <c r="AX41" s="552"/>
      <c r="AY41" s="552"/>
      <c r="AZ41" s="552"/>
      <c r="BA41" s="552"/>
      <c r="BB41" s="553"/>
      <c r="BC41" s="554"/>
      <c r="BD41" s="554"/>
      <c r="BE41" s="554"/>
      <c r="BF41" s="554"/>
      <c r="BG41" s="554"/>
      <c r="BI41" s="556"/>
    </row>
    <row r="42" spans="3:61" ht="13" customHeight="1">
      <c r="C42" s="542"/>
      <c r="F42" s="1127"/>
      <c r="G42" s="1127"/>
      <c r="H42" s="1127"/>
      <c r="I42" s="1127"/>
      <c r="J42" s="1127"/>
      <c r="K42" s="1127"/>
      <c r="L42" s="1127"/>
      <c r="M42" s="1127"/>
      <c r="N42" s="1127"/>
      <c r="O42" s="1127"/>
      <c r="P42" s="554"/>
      <c r="Q42" s="554"/>
      <c r="R42" s="554"/>
      <c r="S42" s="554"/>
      <c r="U42" s="557"/>
      <c r="Z42" s="552"/>
      <c r="AA42" s="552"/>
      <c r="AB42" s="552"/>
      <c r="AC42" s="552"/>
      <c r="AD42" s="552"/>
      <c r="AE42" s="552"/>
      <c r="AF42" s="552"/>
      <c r="AG42" s="552"/>
      <c r="AH42" s="554"/>
      <c r="AI42" s="554"/>
      <c r="AJ42" s="554"/>
      <c r="AK42" s="554"/>
      <c r="AL42" s="554"/>
      <c r="AM42" s="554"/>
      <c r="AO42" s="558"/>
      <c r="AT42" s="552"/>
      <c r="AU42" s="552"/>
      <c r="AV42" s="552"/>
      <c r="AW42" s="552"/>
      <c r="AX42" s="552"/>
      <c r="AY42" s="552"/>
      <c r="AZ42" s="552"/>
      <c r="BA42" s="552"/>
      <c r="BB42" s="554"/>
      <c r="BC42" s="554"/>
      <c r="BD42" s="554"/>
      <c r="BE42" s="554"/>
      <c r="BF42" s="554"/>
      <c r="BG42" s="554"/>
      <c r="BI42" s="558"/>
    </row>
    <row r="43" spans="3:61" ht="13" customHeight="1">
      <c r="C43" s="542"/>
      <c r="F43" s="1127"/>
      <c r="G43" s="1127"/>
      <c r="H43" s="1127"/>
      <c r="I43" s="1127"/>
      <c r="J43" s="1127"/>
      <c r="K43" s="1127"/>
      <c r="L43" s="1127"/>
      <c r="M43" s="1127"/>
      <c r="N43" s="1127"/>
      <c r="O43" s="1127"/>
      <c r="Q43" s="559"/>
      <c r="U43" s="551"/>
      <c r="Z43" s="552"/>
      <c r="AA43" s="552"/>
      <c r="AB43" s="552"/>
      <c r="AC43" s="552"/>
      <c r="AD43" s="552"/>
      <c r="AE43" s="552"/>
      <c r="AF43" s="552"/>
      <c r="AG43" s="552"/>
      <c r="AH43" s="554"/>
      <c r="AI43" s="554"/>
      <c r="AK43" s="559"/>
      <c r="AT43" s="552"/>
      <c r="AU43" s="552"/>
      <c r="AV43" s="552"/>
      <c r="AW43" s="552"/>
      <c r="AX43" s="552"/>
      <c r="AY43" s="552"/>
      <c r="AZ43" s="552"/>
      <c r="BA43" s="552"/>
      <c r="BB43" s="554"/>
      <c r="BC43" s="554"/>
      <c r="BE43" s="559"/>
    </row>
    <row r="44" spans="3:61" s="561" customFormat="1" ht="4" customHeight="1">
      <c r="C44" s="560"/>
      <c r="U44" s="562"/>
    </row>
    <row r="45" spans="3:61" s="561" customFormat="1" ht="12.65" customHeight="1">
      <c r="C45" s="560"/>
      <c r="G45" s="563" t="s">
        <v>3239</v>
      </c>
      <c r="K45" s="1113" t="s">
        <v>3240</v>
      </c>
      <c r="L45" s="1114"/>
      <c r="M45" s="1114"/>
      <c r="N45" s="1114"/>
      <c r="O45" s="1114"/>
      <c r="P45" s="1114"/>
      <c r="Q45" s="1114"/>
      <c r="R45" s="1114"/>
      <c r="S45" s="1114"/>
      <c r="T45" s="1114"/>
      <c r="U45" s="1115"/>
      <c r="AA45" s="563"/>
      <c r="AE45" s="564"/>
      <c r="AF45" s="564"/>
      <c r="AG45" s="564"/>
      <c r="AH45" s="564"/>
      <c r="AI45" s="564"/>
      <c r="AJ45" s="564"/>
      <c r="AK45" s="564"/>
      <c r="AL45" s="564"/>
      <c r="AM45" s="564"/>
      <c r="AN45" s="564"/>
      <c r="AO45" s="564"/>
      <c r="AU45" s="563"/>
      <c r="AY45" s="564"/>
      <c r="AZ45" s="564"/>
      <c r="BA45" s="564"/>
      <c r="BB45" s="564"/>
      <c r="BC45" s="564"/>
      <c r="BD45" s="564"/>
      <c r="BE45" s="564"/>
      <c r="BF45" s="564"/>
      <c r="BG45" s="564"/>
      <c r="BH45" s="564"/>
      <c r="BI45" s="564"/>
    </row>
    <row r="46" spans="3:61" s="561" customFormat="1" ht="4" customHeight="1">
      <c r="C46" s="560"/>
      <c r="U46" s="562"/>
    </row>
    <row r="47" spans="3:61" s="561" customFormat="1" ht="14" customHeight="1">
      <c r="C47" s="560"/>
      <c r="P47" s="563" t="s">
        <v>3241</v>
      </c>
      <c r="T47" s="565" t="s">
        <v>3242</v>
      </c>
      <c r="U47" s="562"/>
      <c r="AJ47" s="563"/>
      <c r="AN47" s="565"/>
      <c r="BD47" s="563"/>
      <c r="BH47" s="565"/>
    </row>
    <row r="48" spans="3:61" s="561" customFormat="1" ht="13" customHeight="1" thickBot="1">
      <c r="C48" s="566"/>
      <c r="D48" s="567"/>
      <c r="E48" s="567"/>
      <c r="F48" s="567"/>
      <c r="G48" s="567"/>
      <c r="H48" s="567"/>
      <c r="I48" s="567"/>
      <c r="J48" s="567"/>
      <c r="K48" s="567"/>
      <c r="L48" s="567"/>
      <c r="M48" s="567"/>
      <c r="N48" s="567"/>
      <c r="O48" s="567"/>
      <c r="P48" s="567"/>
      <c r="Q48" s="567"/>
      <c r="R48" s="567"/>
      <c r="S48" s="567"/>
      <c r="T48" s="567"/>
      <c r="U48" s="568"/>
      <c r="AO48" s="569"/>
      <c r="BI48" s="569"/>
    </row>
    <row r="49" spans="3:61" ht="13" customHeight="1" thickBot="1">
      <c r="C49" s="539"/>
      <c r="D49" s="540"/>
      <c r="E49" s="540"/>
      <c r="F49" s="540"/>
      <c r="G49" s="540"/>
      <c r="H49" s="540"/>
      <c r="I49" s="540"/>
      <c r="J49" s="540"/>
      <c r="K49" s="540"/>
      <c r="L49" s="540"/>
      <c r="M49" s="540"/>
      <c r="N49" s="540"/>
      <c r="O49" s="540"/>
      <c r="P49" s="540"/>
      <c r="Q49" s="540"/>
      <c r="R49" s="540"/>
      <c r="S49" s="540"/>
      <c r="T49" s="540"/>
      <c r="U49" s="541"/>
    </row>
    <row r="50" spans="3:61" ht="13" customHeight="1" thickTop="1" thickBot="1">
      <c r="C50" s="542"/>
      <c r="D50" s="1118" t="str">
        <f>LEFT(VLOOKUP(G$2,購入者リスト!$B:$J,8,FALSE),1)</f>
        <v>4</v>
      </c>
      <c r="E50" s="1118" t="str">
        <f>MID(VLOOKUP(G$2,購入者リスト!$B:$J,8,FALSE),2,1)</f>
        <v>7</v>
      </c>
      <c r="F50" s="1118" t="str">
        <f>MID(VLOOKUP(G$2,購入者リスト!$B:$J,8,FALSE),3,1)</f>
        <v>5</v>
      </c>
      <c r="G50" s="1121"/>
      <c r="H50" s="1123" t="str">
        <f>MID(VLOOKUP(G$2,購入者リスト!$B:$J,8,FALSE),5,1)</f>
        <v>0</v>
      </c>
      <c r="I50" s="1123" t="str">
        <f>MID(VLOOKUP(G$2,購入者リスト!$B:$J,8,FALSE),6,1)</f>
        <v>9</v>
      </c>
      <c r="J50" s="1123" t="str">
        <f>MID(VLOOKUP(G$2,購入者リスト!$B:$J,8,FALSE),7,1)</f>
        <v>1</v>
      </c>
      <c r="K50" s="1123" t="str">
        <f>MID(VLOOKUP(G$2,購入者リスト!$B:$J,8,FALSE),8,1)</f>
        <v>4</v>
      </c>
      <c r="L50" s="543"/>
      <c r="M50" s="543"/>
      <c r="N50" s="543"/>
      <c r="O50" s="543"/>
      <c r="P50" s="543"/>
      <c r="Q50" s="1126" t="s">
        <v>3235</v>
      </c>
      <c r="R50" s="1127"/>
      <c r="S50" s="1127"/>
      <c r="T50" s="1127"/>
      <c r="U50" s="545"/>
      <c r="X50" s="546"/>
      <c r="Y50" s="546"/>
      <c r="Z50" s="546"/>
      <c r="AA50" s="547"/>
      <c r="AB50" s="548"/>
      <c r="AC50" s="548"/>
      <c r="AD50" s="548"/>
      <c r="AE50" s="548"/>
      <c r="AF50" s="543"/>
      <c r="AG50" s="543"/>
      <c r="AH50" s="543"/>
      <c r="AI50" s="543"/>
      <c r="AJ50" s="543"/>
      <c r="AK50" s="544"/>
      <c r="AL50" s="549"/>
      <c r="AM50" s="549"/>
      <c r="AN50" s="549"/>
      <c r="AO50" s="549"/>
      <c r="AR50" s="546"/>
      <c r="AS50" s="546"/>
      <c r="AT50" s="546"/>
      <c r="AU50" s="547"/>
      <c r="AV50" s="548"/>
      <c r="AW50" s="548"/>
      <c r="AX50" s="548"/>
      <c r="AY50" s="548"/>
      <c r="AZ50" s="543"/>
      <c r="BA50" s="543"/>
      <c r="BB50" s="543"/>
      <c r="BC50" s="543"/>
      <c r="BD50" s="543"/>
      <c r="BE50" s="544"/>
      <c r="BF50" s="549"/>
      <c r="BG50" s="549"/>
      <c r="BH50" s="549"/>
      <c r="BI50" s="549"/>
    </row>
    <row r="51" spans="3:61" ht="13" customHeight="1" thickTop="1">
      <c r="C51" s="542"/>
      <c r="D51" s="1119"/>
      <c r="E51" s="1119"/>
      <c r="F51" s="1119"/>
      <c r="G51" s="1122"/>
      <c r="H51" s="1124"/>
      <c r="I51" s="1124"/>
      <c r="J51" s="1124"/>
      <c r="K51" s="1124"/>
      <c r="L51" s="543"/>
      <c r="M51" s="543"/>
      <c r="N51" s="543"/>
      <c r="O51" s="543"/>
      <c r="P51" s="543"/>
      <c r="Q51" s="1127"/>
      <c r="R51" s="1127"/>
      <c r="S51" s="1127"/>
      <c r="T51" s="1127"/>
      <c r="U51" s="545"/>
      <c r="X51" s="546"/>
      <c r="Y51" s="546"/>
      <c r="Z51" s="546"/>
      <c r="AA51" s="547"/>
      <c r="AB51" s="548"/>
      <c r="AC51" s="548"/>
      <c r="AD51" s="548"/>
      <c r="AE51" s="548"/>
      <c r="AF51" s="543"/>
      <c r="AG51" s="543"/>
      <c r="AH51" s="543"/>
      <c r="AI51" s="543"/>
      <c r="AJ51" s="543"/>
      <c r="AK51" s="549"/>
      <c r="AL51" s="549"/>
      <c r="AM51" s="549"/>
      <c r="AN51" s="549"/>
      <c r="AO51" s="549"/>
      <c r="AR51" s="546"/>
      <c r="AS51" s="546"/>
      <c r="AT51" s="546"/>
      <c r="AU51" s="547"/>
      <c r="AV51" s="548"/>
      <c r="AW51" s="548"/>
      <c r="AX51" s="548"/>
      <c r="AY51" s="548"/>
      <c r="AZ51" s="543"/>
      <c r="BA51" s="543"/>
      <c r="BB51" s="543"/>
      <c r="BC51" s="543"/>
      <c r="BD51" s="543"/>
      <c r="BE51" s="549"/>
      <c r="BF51" s="549"/>
      <c r="BG51" s="549"/>
      <c r="BH51" s="549"/>
      <c r="BI51" s="549"/>
    </row>
    <row r="52" spans="3:61" ht="13" customHeight="1" thickBot="1">
      <c r="C52" s="542"/>
      <c r="D52" s="1120"/>
      <c r="E52" s="1120"/>
      <c r="F52" s="1120"/>
      <c r="G52" s="1122"/>
      <c r="H52" s="1125"/>
      <c r="I52" s="1125"/>
      <c r="J52" s="1125"/>
      <c r="K52" s="1125"/>
      <c r="L52" s="543"/>
      <c r="M52" s="543"/>
      <c r="N52" s="543"/>
      <c r="O52" s="543"/>
      <c r="P52" s="543"/>
      <c r="Q52" s="1127"/>
      <c r="R52" s="1127"/>
      <c r="S52" s="1127"/>
      <c r="T52" s="1127"/>
      <c r="U52" s="545"/>
      <c r="X52" s="546"/>
      <c r="Y52" s="546"/>
      <c r="Z52" s="546"/>
      <c r="AA52" s="547"/>
      <c r="AB52" s="548"/>
      <c r="AC52" s="548"/>
      <c r="AD52" s="548"/>
      <c r="AE52" s="548"/>
      <c r="AF52" s="543"/>
      <c r="AG52" s="543"/>
      <c r="AH52" s="543"/>
      <c r="AI52" s="543"/>
      <c r="AJ52" s="543"/>
      <c r="AK52" s="549"/>
      <c r="AL52" s="549"/>
      <c r="AM52" s="549"/>
      <c r="AN52" s="549"/>
      <c r="AO52" s="549"/>
      <c r="AR52" s="546"/>
      <c r="AS52" s="546"/>
      <c r="AT52" s="546"/>
      <c r="AU52" s="547"/>
      <c r="AV52" s="548"/>
      <c r="AW52" s="548"/>
      <c r="AX52" s="548"/>
      <c r="AY52" s="548"/>
      <c r="AZ52" s="543"/>
      <c r="BA52" s="543"/>
      <c r="BB52" s="543"/>
      <c r="BC52" s="543"/>
      <c r="BD52" s="543"/>
      <c r="BE52" s="549"/>
      <c r="BF52" s="549"/>
      <c r="BG52" s="549"/>
      <c r="BH52" s="549"/>
      <c r="BI52" s="549"/>
    </row>
    <row r="53" spans="3:61" ht="13" customHeight="1" thickTop="1">
      <c r="C53" s="542"/>
      <c r="D53" s="1128" t="str">
        <f>VLOOKUP(G$2,購入者リスト!$B:$J,9,FALSE)</f>
        <v>愛知県 半田市土井山町 1-206-15</v>
      </c>
      <c r="E53" s="1127"/>
      <c r="F53" s="1127"/>
      <c r="G53" s="1127"/>
      <c r="H53" s="1127"/>
      <c r="I53" s="1127"/>
      <c r="J53" s="1127"/>
      <c r="K53" s="1127"/>
      <c r="L53" s="1127"/>
      <c r="M53" s="1127"/>
      <c r="N53" s="1127"/>
      <c r="O53" s="1127"/>
      <c r="P53" s="1127"/>
      <c r="Q53" s="1127"/>
      <c r="R53" s="1127"/>
      <c r="S53" s="1127"/>
      <c r="T53" s="1127"/>
      <c r="U53" s="551"/>
      <c r="X53" s="550"/>
      <c r="Y53" s="550"/>
      <c r="Z53" s="550"/>
      <c r="AA53" s="550"/>
      <c r="AB53" s="550"/>
      <c r="AC53" s="550"/>
      <c r="AD53" s="550"/>
      <c r="AE53" s="550"/>
      <c r="AF53" s="550"/>
      <c r="AG53" s="550"/>
      <c r="AH53" s="550"/>
      <c r="AI53" s="550"/>
      <c r="AJ53" s="550"/>
      <c r="AK53" s="550"/>
      <c r="AL53" s="550"/>
      <c r="AM53" s="550"/>
      <c r="AN53" s="550"/>
      <c r="AR53" s="550"/>
      <c r="AS53" s="550"/>
      <c r="AT53" s="550"/>
      <c r="AU53" s="550"/>
      <c r="AV53" s="550"/>
      <c r="AW53" s="550"/>
      <c r="AX53" s="550"/>
      <c r="AY53" s="550"/>
      <c r="AZ53" s="550"/>
      <c r="BA53" s="550"/>
      <c r="BB53" s="550"/>
      <c r="BC53" s="550"/>
      <c r="BD53" s="550"/>
      <c r="BE53" s="550"/>
      <c r="BF53" s="550"/>
      <c r="BG53" s="550"/>
      <c r="BH53" s="550"/>
    </row>
    <row r="54" spans="3:61" ht="13" customHeight="1">
      <c r="C54" s="542"/>
      <c r="D54" s="1127"/>
      <c r="E54" s="1127"/>
      <c r="F54" s="1127"/>
      <c r="G54" s="1127"/>
      <c r="H54" s="1127"/>
      <c r="I54" s="1127"/>
      <c r="J54" s="1127"/>
      <c r="K54" s="1127"/>
      <c r="L54" s="1127"/>
      <c r="M54" s="1127"/>
      <c r="N54" s="1127"/>
      <c r="O54" s="1127"/>
      <c r="P54" s="1127"/>
      <c r="Q54" s="1127"/>
      <c r="R54" s="1127"/>
      <c r="S54" s="1127"/>
      <c r="T54" s="1127"/>
      <c r="U54" s="551"/>
      <c r="X54" s="550"/>
      <c r="Y54" s="550"/>
      <c r="Z54" s="550"/>
      <c r="AA54" s="550"/>
      <c r="AB54" s="550"/>
      <c r="AC54" s="550"/>
      <c r="AD54" s="550"/>
      <c r="AE54" s="550"/>
      <c r="AF54" s="550"/>
      <c r="AG54" s="550"/>
      <c r="AH54" s="550"/>
      <c r="AI54" s="550"/>
      <c r="AJ54" s="550"/>
      <c r="AK54" s="550"/>
      <c r="AL54" s="550"/>
      <c r="AM54" s="550"/>
      <c r="AN54" s="550"/>
      <c r="AR54" s="550"/>
      <c r="AS54" s="550"/>
      <c r="AT54" s="550"/>
      <c r="AU54" s="550"/>
      <c r="AV54" s="550"/>
      <c r="AW54" s="550"/>
      <c r="AX54" s="550"/>
      <c r="AY54" s="550"/>
      <c r="AZ54" s="550"/>
      <c r="BA54" s="550"/>
      <c r="BB54" s="550"/>
      <c r="BC54" s="550"/>
      <c r="BD54" s="550"/>
      <c r="BE54" s="550"/>
      <c r="BF54" s="550"/>
      <c r="BG54" s="550"/>
      <c r="BH54" s="550"/>
    </row>
    <row r="55" spans="3:61" ht="4" customHeight="1">
      <c r="C55" s="542"/>
      <c r="D55" s="1127"/>
      <c r="E55" s="1127"/>
      <c r="F55" s="1127"/>
      <c r="G55" s="1127"/>
      <c r="H55" s="1127"/>
      <c r="I55" s="1127"/>
      <c r="J55" s="1127"/>
      <c r="K55" s="1127"/>
      <c r="L55" s="1127"/>
      <c r="M55" s="1127"/>
      <c r="N55" s="1127"/>
      <c r="O55" s="1127"/>
      <c r="P55" s="1127"/>
      <c r="Q55" s="1127"/>
      <c r="R55" s="1127"/>
      <c r="S55" s="1127"/>
      <c r="T55" s="1127"/>
      <c r="U55" s="551"/>
      <c r="X55" s="550"/>
      <c r="Y55" s="550"/>
      <c r="Z55" s="550"/>
      <c r="AA55" s="550"/>
      <c r="AB55" s="550"/>
      <c r="AC55" s="550"/>
      <c r="AD55" s="550"/>
      <c r="AE55" s="550"/>
      <c r="AF55" s="550"/>
      <c r="AG55" s="550"/>
      <c r="AH55" s="550"/>
      <c r="AI55" s="550"/>
      <c r="AJ55" s="550"/>
      <c r="AK55" s="550"/>
      <c r="AL55" s="550"/>
      <c r="AM55" s="550"/>
      <c r="AN55" s="550"/>
      <c r="AR55" s="550"/>
      <c r="AS55" s="550"/>
      <c r="AT55" s="550"/>
      <c r="AU55" s="550"/>
      <c r="AV55" s="550"/>
      <c r="AW55" s="550"/>
      <c r="AX55" s="550"/>
      <c r="AY55" s="550"/>
      <c r="AZ55" s="550"/>
      <c r="BA55" s="550"/>
      <c r="BB55" s="550"/>
      <c r="BC55" s="550"/>
      <c r="BD55" s="550"/>
      <c r="BE55" s="550"/>
      <c r="BF55" s="550"/>
      <c r="BG55" s="550"/>
      <c r="BH55" s="550"/>
    </row>
    <row r="56" spans="3:61" ht="13" customHeight="1">
      <c r="C56" s="542"/>
      <c r="F56" s="1129" t="str">
        <f>VLOOKUP(G$2,購入者リスト!$B:$J,7,FALSE)</f>
        <v>村上 佳奈</v>
      </c>
      <c r="G56" s="1127"/>
      <c r="H56" s="1127"/>
      <c r="I56" s="1127"/>
      <c r="J56" s="1127"/>
      <c r="K56" s="1127"/>
      <c r="L56" s="1127"/>
      <c r="M56" s="1127"/>
      <c r="N56" s="1130" t="s">
        <v>3238</v>
      </c>
      <c r="O56" s="1127"/>
      <c r="P56" s="554"/>
      <c r="Q56" s="554"/>
      <c r="R56" s="554"/>
      <c r="S56" s="554"/>
      <c r="U56" s="555"/>
      <c r="Z56" s="552"/>
      <c r="AA56" s="552"/>
      <c r="AB56" s="552"/>
      <c r="AC56" s="552"/>
      <c r="AD56" s="552"/>
      <c r="AE56" s="552"/>
      <c r="AF56" s="552"/>
      <c r="AG56" s="552"/>
      <c r="AH56" s="553"/>
      <c r="AI56" s="554"/>
      <c r="AJ56" s="554"/>
      <c r="AK56" s="554"/>
      <c r="AL56" s="554"/>
      <c r="AM56" s="554"/>
      <c r="AO56" s="556"/>
      <c r="AT56" s="552"/>
      <c r="AU56" s="552"/>
      <c r="AV56" s="552"/>
      <c r="AW56" s="552"/>
      <c r="AX56" s="552"/>
      <c r="AY56" s="552"/>
      <c r="AZ56" s="552"/>
      <c r="BA56" s="552"/>
      <c r="BB56" s="553"/>
      <c r="BC56" s="554"/>
      <c r="BD56" s="554"/>
      <c r="BE56" s="554"/>
      <c r="BF56" s="554"/>
      <c r="BG56" s="554"/>
      <c r="BI56" s="556"/>
    </row>
    <row r="57" spans="3:61" ht="13" customHeight="1">
      <c r="C57" s="542"/>
      <c r="F57" s="1127"/>
      <c r="G57" s="1127"/>
      <c r="H57" s="1127"/>
      <c r="I57" s="1127"/>
      <c r="J57" s="1127"/>
      <c r="K57" s="1127"/>
      <c r="L57" s="1127"/>
      <c r="M57" s="1127"/>
      <c r="N57" s="1127"/>
      <c r="O57" s="1127"/>
      <c r="P57" s="554"/>
      <c r="Q57" s="554"/>
      <c r="R57" s="554"/>
      <c r="S57" s="554"/>
      <c r="U57" s="557"/>
      <c r="Z57" s="552"/>
      <c r="AA57" s="552"/>
      <c r="AB57" s="552"/>
      <c r="AC57" s="552"/>
      <c r="AD57" s="552"/>
      <c r="AE57" s="552"/>
      <c r="AF57" s="552"/>
      <c r="AG57" s="552"/>
      <c r="AH57" s="554"/>
      <c r="AI57" s="554"/>
      <c r="AJ57" s="554"/>
      <c r="AK57" s="554"/>
      <c r="AL57" s="554"/>
      <c r="AM57" s="554"/>
      <c r="AO57" s="558"/>
      <c r="AT57" s="552"/>
      <c r="AU57" s="552"/>
      <c r="AV57" s="552"/>
      <c r="AW57" s="552"/>
      <c r="AX57" s="552"/>
      <c r="AY57" s="552"/>
      <c r="AZ57" s="552"/>
      <c r="BA57" s="552"/>
      <c r="BB57" s="554"/>
      <c r="BC57" s="554"/>
      <c r="BD57" s="554"/>
      <c r="BE57" s="554"/>
      <c r="BF57" s="554"/>
      <c r="BG57" s="554"/>
      <c r="BI57" s="558"/>
    </row>
    <row r="58" spans="3:61" ht="13" customHeight="1">
      <c r="C58" s="542"/>
      <c r="F58" s="1127"/>
      <c r="G58" s="1127"/>
      <c r="H58" s="1127"/>
      <c r="I58" s="1127"/>
      <c r="J58" s="1127"/>
      <c r="K58" s="1127"/>
      <c r="L58" s="1127"/>
      <c r="M58" s="1127"/>
      <c r="N58" s="1127"/>
      <c r="O58" s="1127"/>
      <c r="Q58" s="559"/>
      <c r="U58" s="551"/>
      <c r="Z58" s="552"/>
      <c r="AA58" s="552"/>
      <c r="AB58" s="552"/>
      <c r="AC58" s="552"/>
      <c r="AD58" s="552"/>
      <c r="AE58" s="552"/>
      <c r="AF58" s="552"/>
      <c r="AG58" s="552"/>
      <c r="AH58" s="554"/>
      <c r="AI58" s="554"/>
      <c r="AK58" s="559"/>
      <c r="AT58" s="552"/>
      <c r="AU58" s="552"/>
      <c r="AV58" s="552"/>
      <c r="AW58" s="552"/>
      <c r="AX58" s="552"/>
      <c r="AY58" s="552"/>
      <c r="AZ58" s="552"/>
      <c r="BA58" s="552"/>
      <c r="BB58" s="554"/>
      <c r="BC58" s="554"/>
      <c r="BE58" s="559"/>
    </row>
    <row r="59" spans="3:61" s="561" customFormat="1" ht="4" customHeight="1">
      <c r="C59" s="560"/>
      <c r="U59" s="562"/>
    </row>
    <row r="60" spans="3:61" s="561" customFormat="1" ht="12.65" customHeight="1">
      <c r="C60" s="560"/>
      <c r="G60" s="563" t="s">
        <v>3239</v>
      </c>
      <c r="K60" s="1113" t="s">
        <v>3240</v>
      </c>
      <c r="L60" s="1114"/>
      <c r="M60" s="1114"/>
      <c r="N60" s="1114"/>
      <c r="O60" s="1114"/>
      <c r="P60" s="1114"/>
      <c r="Q60" s="1114"/>
      <c r="R60" s="1114"/>
      <c r="S60" s="1114"/>
      <c r="T60" s="1114"/>
      <c r="U60" s="1115"/>
      <c r="AA60" s="563"/>
      <c r="AE60" s="564"/>
      <c r="AF60" s="564"/>
      <c r="AG60" s="564"/>
      <c r="AH60" s="564"/>
      <c r="AI60" s="564"/>
      <c r="AJ60" s="564"/>
      <c r="AK60" s="564"/>
      <c r="AL60" s="564"/>
      <c r="AM60" s="564"/>
      <c r="AN60" s="564"/>
      <c r="AO60" s="564"/>
      <c r="AU60" s="563"/>
      <c r="AY60" s="564"/>
      <c r="AZ60" s="564"/>
      <c r="BA60" s="564"/>
      <c r="BB60" s="564"/>
      <c r="BC60" s="564"/>
      <c r="BD60" s="564"/>
      <c r="BE60" s="564"/>
      <c r="BF60" s="564"/>
      <c r="BG60" s="564"/>
      <c r="BH60" s="564"/>
      <c r="BI60" s="564"/>
    </row>
    <row r="61" spans="3:61" s="561" customFormat="1" ht="4" customHeight="1">
      <c r="C61" s="560"/>
      <c r="U61" s="562"/>
    </row>
    <row r="62" spans="3:61" s="561" customFormat="1" ht="14" customHeight="1">
      <c r="C62" s="560"/>
      <c r="P62" s="563" t="s">
        <v>3241</v>
      </c>
      <c r="T62" s="565" t="s">
        <v>3242</v>
      </c>
      <c r="U62" s="562"/>
      <c r="AJ62" s="563"/>
      <c r="AN62" s="565"/>
      <c r="BD62" s="563"/>
      <c r="BH62" s="565"/>
    </row>
    <row r="63" spans="3:61" s="561" customFormat="1" ht="13" customHeight="1" thickBot="1">
      <c r="C63" s="566"/>
      <c r="D63" s="567"/>
      <c r="E63" s="567"/>
      <c r="F63" s="567"/>
      <c r="G63" s="567"/>
      <c r="H63" s="567"/>
      <c r="I63" s="567"/>
      <c r="J63" s="567"/>
      <c r="K63" s="567"/>
      <c r="L63" s="567"/>
      <c r="M63" s="567"/>
      <c r="N63" s="567"/>
      <c r="O63" s="567"/>
      <c r="P63" s="567"/>
      <c r="Q63" s="567"/>
      <c r="R63" s="567"/>
      <c r="S63" s="567"/>
      <c r="T63" s="567"/>
      <c r="U63" s="568"/>
      <c r="AO63" s="569"/>
      <c r="BI63" s="569"/>
    </row>
    <row r="64" spans="3:61" ht="13" customHeight="1" thickBot="1">
      <c r="C64" s="539"/>
      <c r="D64" s="540"/>
      <c r="E64" s="540"/>
      <c r="F64" s="540"/>
      <c r="G64" s="540"/>
      <c r="H64" s="540"/>
      <c r="I64" s="540"/>
      <c r="J64" s="540"/>
      <c r="K64" s="540"/>
      <c r="L64" s="540"/>
      <c r="M64" s="540"/>
      <c r="N64" s="540"/>
      <c r="O64" s="540"/>
      <c r="P64" s="540"/>
      <c r="Q64" s="540"/>
      <c r="R64" s="540"/>
      <c r="S64" s="540"/>
      <c r="T64" s="540"/>
      <c r="U64" s="541"/>
    </row>
    <row r="65" spans="3:61" ht="13" customHeight="1" thickTop="1" thickBot="1">
      <c r="C65" s="542"/>
      <c r="D65" s="1118" t="str">
        <f>LEFT(VLOOKUP(H$2,購入者リスト!$B:$J,8,FALSE),1)</f>
        <v>8</v>
      </c>
      <c r="E65" s="1118" t="str">
        <f>MID(VLOOKUP(H$2,購入者リスト!$B:$J,8,FALSE),2,1)</f>
        <v>4</v>
      </c>
      <c r="F65" s="1118" t="str">
        <f>MID(VLOOKUP(H$2,購入者リスト!$B:$J,8,FALSE),3,1)</f>
        <v>3</v>
      </c>
      <c r="G65" s="1121"/>
      <c r="H65" s="1123" t="str">
        <f>MID(VLOOKUP(H$2,購入者リスト!$B:$J,8,FALSE),5,1)</f>
        <v>0</v>
      </c>
      <c r="I65" s="1123" t="str">
        <f>MID(VLOOKUP(H$2,購入者リスト!$B:$J,8,FALSE),6,1)</f>
        <v>0</v>
      </c>
      <c r="J65" s="1123" t="str">
        <f>MID(VLOOKUP(H$2,購入者リスト!$B:$J,8,FALSE),7,1)</f>
        <v>2</v>
      </c>
      <c r="K65" s="1123" t="str">
        <f>MID(VLOOKUP(H$2,購入者リスト!$B:$J,8,FALSE),8,1)</f>
        <v>2</v>
      </c>
      <c r="L65" s="543"/>
      <c r="M65" s="543"/>
      <c r="N65" s="543"/>
      <c r="O65" s="543"/>
      <c r="P65" s="543"/>
      <c r="Q65" s="1126" t="s">
        <v>3235</v>
      </c>
      <c r="R65" s="1127"/>
      <c r="S65" s="1127"/>
      <c r="T65" s="1127"/>
      <c r="U65" s="545"/>
      <c r="X65" s="546"/>
      <c r="Y65" s="546"/>
      <c r="Z65" s="546"/>
      <c r="AA65" s="547"/>
      <c r="AB65" s="548"/>
      <c r="AC65" s="548"/>
      <c r="AD65" s="548"/>
      <c r="AE65" s="548"/>
      <c r="AF65" s="543"/>
      <c r="AG65" s="543"/>
      <c r="AH65" s="543"/>
      <c r="AI65" s="543"/>
      <c r="AJ65" s="543"/>
      <c r="AK65" s="544"/>
      <c r="AL65" s="549"/>
      <c r="AM65" s="549"/>
      <c r="AN65" s="549"/>
      <c r="AO65" s="549"/>
      <c r="AR65" s="546"/>
      <c r="AS65" s="546"/>
      <c r="AT65" s="546"/>
      <c r="AU65" s="547"/>
      <c r="AV65" s="548"/>
      <c r="AW65" s="548"/>
      <c r="AX65" s="548"/>
      <c r="AY65" s="548"/>
      <c r="AZ65" s="543"/>
      <c r="BA65" s="543"/>
      <c r="BB65" s="543"/>
      <c r="BC65" s="543"/>
      <c r="BD65" s="543"/>
      <c r="BE65" s="544"/>
      <c r="BF65" s="549"/>
      <c r="BG65" s="549"/>
      <c r="BH65" s="549"/>
      <c r="BI65" s="549"/>
    </row>
    <row r="66" spans="3:61" ht="13" customHeight="1" thickTop="1">
      <c r="C66" s="542"/>
      <c r="D66" s="1119"/>
      <c r="E66" s="1119"/>
      <c r="F66" s="1119"/>
      <c r="G66" s="1122"/>
      <c r="H66" s="1124"/>
      <c r="I66" s="1124"/>
      <c r="J66" s="1124"/>
      <c r="K66" s="1124"/>
      <c r="L66" s="543"/>
      <c r="M66" s="543"/>
      <c r="N66" s="543"/>
      <c r="O66" s="543"/>
      <c r="P66" s="543"/>
      <c r="Q66" s="1127"/>
      <c r="R66" s="1127"/>
      <c r="S66" s="1127"/>
      <c r="T66" s="1127"/>
      <c r="U66" s="545"/>
      <c r="X66" s="546"/>
      <c r="Y66" s="546"/>
      <c r="Z66" s="546"/>
      <c r="AA66" s="547"/>
      <c r="AB66" s="548"/>
      <c r="AC66" s="548"/>
      <c r="AD66" s="548"/>
      <c r="AE66" s="548"/>
      <c r="AF66" s="543"/>
      <c r="AG66" s="543"/>
      <c r="AH66" s="543"/>
      <c r="AI66" s="543"/>
      <c r="AJ66" s="543"/>
      <c r="AK66" s="549"/>
      <c r="AL66" s="549"/>
      <c r="AM66" s="549"/>
      <c r="AN66" s="549"/>
      <c r="AO66" s="549"/>
      <c r="AR66" s="546"/>
      <c r="AS66" s="546"/>
      <c r="AT66" s="546"/>
      <c r="AU66" s="547"/>
      <c r="AV66" s="548"/>
      <c r="AW66" s="548"/>
      <c r="AX66" s="548"/>
      <c r="AY66" s="548"/>
      <c r="AZ66" s="543"/>
      <c r="BA66" s="543"/>
      <c r="BB66" s="543"/>
      <c r="BC66" s="543"/>
      <c r="BD66" s="543"/>
      <c r="BE66" s="549"/>
      <c r="BF66" s="549"/>
      <c r="BG66" s="549"/>
      <c r="BH66" s="549"/>
      <c r="BI66" s="549"/>
    </row>
    <row r="67" spans="3:61" ht="13" customHeight="1" thickBot="1">
      <c r="C67" s="542"/>
      <c r="D67" s="1120"/>
      <c r="E67" s="1120"/>
      <c r="F67" s="1120"/>
      <c r="G67" s="1122"/>
      <c r="H67" s="1125"/>
      <c r="I67" s="1125"/>
      <c r="J67" s="1125"/>
      <c r="K67" s="1125"/>
      <c r="L67" s="543"/>
      <c r="M67" s="543"/>
      <c r="N67" s="543"/>
      <c r="O67" s="543"/>
      <c r="P67" s="543"/>
      <c r="Q67" s="1127"/>
      <c r="R67" s="1127"/>
      <c r="S67" s="1127"/>
      <c r="T67" s="1127"/>
      <c r="U67" s="545"/>
      <c r="X67" s="546"/>
      <c r="Y67" s="546"/>
      <c r="Z67" s="546"/>
      <c r="AA67" s="547"/>
      <c r="AB67" s="548"/>
      <c r="AC67" s="548"/>
      <c r="AD67" s="548"/>
      <c r="AE67" s="548"/>
      <c r="AF67" s="543"/>
      <c r="AG67" s="543"/>
      <c r="AH67" s="543"/>
      <c r="AI67" s="543"/>
      <c r="AJ67" s="543"/>
      <c r="AK67" s="549"/>
      <c r="AL67" s="549"/>
      <c r="AM67" s="549"/>
      <c r="AN67" s="549"/>
      <c r="AO67" s="549"/>
      <c r="AR67" s="546"/>
      <c r="AS67" s="546"/>
      <c r="AT67" s="546"/>
      <c r="AU67" s="547"/>
      <c r="AV67" s="548"/>
      <c r="AW67" s="548"/>
      <c r="AX67" s="548"/>
      <c r="AY67" s="548"/>
      <c r="AZ67" s="543"/>
      <c r="BA67" s="543"/>
      <c r="BB67" s="543"/>
      <c r="BC67" s="543"/>
      <c r="BD67" s="543"/>
      <c r="BE67" s="549"/>
      <c r="BF67" s="549"/>
      <c r="BG67" s="549"/>
      <c r="BH67" s="549"/>
      <c r="BI67" s="549"/>
    </row>
    <row r="68" spans="3:61" ht="13" customHeight="1" thickTop="1">
      <c r="C68" s="542"/>
      <c r="D68" s="1128" t="str">
        <f>VLOOKUP(H$2,購入者リスト!$B:$J,9,FALSE)</f>
        <v>佐賀県 武雄市 武雄町武雄4359</v>
      </c>
      <c r="E68" s="1127"/>
      <c r="F68" s="1127"/>
      <c r="G68" s="1127"/>
      <c r="H68" s="1127"/>
      <c r="I68" s="1127"/>
      <c r="J68" s="1127"/>
      <c r="K68" s="1127"/>
      <c r="L68" s="1127"/>
      <c r="M68" s="1127"/>
      <c r="N68" s="1127"/>
      <c r="O68" s="1127"/>
      <c r="P68" s="1127"/>
      <c r="Q68" s="1127"/>
      <c r="R68" s="1127"/>
      <c r="S68" s="1127"/>
      <c r="T68" s="1127"/>
      <c r="U68" s="551"/>
      <c r="X68" s="550"/>
      <c r="Y68" s="550"/>
      <c r="Z68" s="550"/>
      <c r="AA68" s="550"/>
      <c r="AB68" s="550"/>
      <c r="AC68" s="550"/>
      <c r="AD68" s="550"/>
      <c r="AE68" s="550"/>
      <c r="AF68" s="550"/>
      <c r="AG68" s="550"/>
      <c r="AH68" s="550"/>
      <c r="AI68" s="550"/>
      <c r="AJ68" s="550"/>
      <c r="AK68" s="550"/>
      <c r="AL68" s="550"/>
      <c r="AM68" s="550"/>
      <c r="AN68" s="550"/>
      <c r="AR68" s="550"/>
      <c r="AS68" s="550"/>
      <c r="AT68" s="550"/>
      <c r="AU68" s="550"/>
      <c r="AV68" s="550"/>
      <c r="AW68" s="550"/>
      <c r="AX68" s="550"/>
      <c r="AY68" s="550"/>
      <c r="AZ68" s="550"/>
      <c r="BA68" s="550"/>
      <c r="BB68" s="550"/>
      <c r="BC68" s="550"/>
      <c r="BD68" s="550"/>
      <c r="BE68" s="550"/>
      <c r="BF68" s="550"/>
      <c r="BG68" s="550"/>
      <c r="BH68" s="550"/>
    </row>
    <row r="69" spans="3:61" ht="13" customHeight="1">
      <c r="C69" s="542"/>
      <c r="D69" s="1127"/>
      <c r="E69" s="1127"/>
      <c r="F69" s="1127"/>
      <c r="G69" s="1127"/>
      <c r="H69" s="1127"/>
      <c r="I69" s="1127"/>
      <c r="J69" s="1127"/>
      <c r="K69" s="1127"/>
      <c r="L69" s="1127"/>
      <c r="M69" s="1127"/>
      <c r="N69" s="1127"/>
      <c r="O69" s="1127"/>
      <c r="P69" s="1127"/>
      <c r="Q69" s="1127"/>
      <c r="R69" s="1127"/>
      <c r="S69" s="1127"/>
      <c r="T69" s="1127"/>
      <c r="U69" s="551"/>
      <c r="X69" s="550"/>
      <c r="Y69" s="550"/>
      <c r="Z69" s="550"/>
      <c r="AA69" s="550"/>
      <c r="AB69" s="550"/>
      <c r="AC69" s="550"/>
      <c r="AD69" s="550"/>
      <c r="AE69" s="550"/>
      <c r="AF69" s="550"/>
      <c r="AG69" s="550"/>
      <c r="AH69" s="550"/>
      <c r="AI69" s="550"/>
      <c r="AJ69" s="550"/>
      <c r="AK69" s="550"/>
      <c r="AL69" s="550"/>
      <c r="AM69" s="550"/>
      <c r="AN69" s="550"/>
      <c r="AR69" s="550"/>
      <c r="AS69" s="550"/>
      <c r="AT69" s="550"/>
      <c r="AU69" s="550"/>
      <c r="AV69" s="550"/>
      <c r="AW69" s="550"/>
      <c r="AX69" s="550"/>
      <c r="AY69" s="550"/>
      <c r="AZ69" s="550"/>
      <c r="BA69" s="550"/>
      <c r="BB69" s="550"/>
      <c r="BC69" s="550"/>
      <c r="BD69" s="550"/>
      <c r="BE69" s="550"/>
      <c r="BF69" s="550"/>
      <c r="BG69" s="550"/>
      <c r="BH69" s="550"/>
    </row>
    <row r="70" spans="3:61" ht="4" customHeight="1">
      <c r="C70" s="542"/>
      <c r="D70" s="1127"/>
      <c r="E70" s="1127"/>
      <c r="F70" s="1127"/>
      <c r="G70" s="1127"/>
      <c r="H70" s="1127"/>
      <c r="I70" s="1127"/>
      <c r="J70" s="1127"/>
      <c r="K70" s="1127"/>
      <c r="L70" s="1127"/>
      <c r="M70" s="1127"/>
      <c r="N70" s="1127"/>
      <c r="O70" s="1127"/>
      <c r="P70" s="1127"/>
      <c r="Q70" s="1127"/>
      <c r="R70" s="1127"/>
      <c r="S70" s="1127"/>
      <c r="T70" s="1127"/>
      <c r="U70" s="551"/>
      <c r="X70" s="550"/>
      <c r="Y70" s="550"/>
      <c r="Z70" s="550"/>
      <c r="AA70" s="550"/>
      <c r="AB70" s="550"/>
      <c r="AC70" s="550"/>
      <c r="AD70" s="550"/>
      <c r="AE70" s="550"/>
      <c r="AF70" s="550"/>
      <c r="AG70" s="550"/>
      <c r="AH70" s="550"/>
      <c r="AI70" s="550"/>
      <c r="AJ70" s="550"/>
      <c r="AK70" s="550"/>
      <c r="AL70" s="550"/>
      <c r="AM70" s="550"/>
      <c r="AN70" s="550"/>
      <c r="AR70" s="550"/>
      <c r="AS70" s="550"/>
      <c r="AT70" s="550"/>
      <c r="AU70" s="550"/>
      <c r="AV70" s="550"/>
      <c r="AW70" s="550"/>
      <c r="AX70" s="550"/>
      <c r="AY70" s="550"/>
      <c r="AZ70" s="550"/>
      <c r="BA70" s="550"/>
      <c r="BB70" s="550"/>
      <c r="BC70" s="550"/>
      <c r="BD70" s="550"/>
      <c r="BE70" s="550"/>
      <c r="BF70" s="550"/>
      <c r="BG70" s="550"/>
      <c r="BH70" s="550"/>
    </row>
    <row r="71" spans="3:61" ht="13" customHeight="1">
      <c r="C71" s="542"/>
      <c r="F71" s="1129" t="str">
        <f>VLOOKUP(H$2,購入者リスト!$B:$J,7,FALSE)</f>
        <v>大島 千穂</v>
      </c>
      <c r="G71" s="1127"/>
      <c r="H71" s="1127"/>
      <c r="I71" s="1127"/>
      <c r="J71" s="1127"/>
      <c r="K71" s="1127"/>
      <c r="L71" s="1127"/>
      <c r="M71" s="1127"/>
      <c r="N71" s="1130" t="s">
        <v>3238</v>
      </c>
      <c r="O71" s="1127"/>
      <c r="P71" s="554"/>
      <c r="Q71" s="554"/>
      <c r="R71" s="554"/>
      <c r="S71" s="554"/>
      <c r="U71" s="555"/>
      <c r="Z71" s="552"/>
      <c r="AA71" s="552"/>
      <c r="AB71" s="552"/>
      <c r="AC71" s="552"/>
      <c r="AD71" s="552"/>
      <c r="AE71" s="552"/>
      <c r="AF71" s="552"/>
      <c r="AG71" s="552"/>
      <c r="AH71" s="553"/>
      <c r="AI71" s="554"/>
      <c r="AJ71" s="554"/>
      <c r="AK71" s="554"/>
      <c r="AL71" s="554"/>
      <c r="AM71" s="554"/>
      <c r="AO71" s="556"/>
      <c r="AT71" s="552"/>
      <c r="AU71" s="552"/>
      <c r="AV71" s="552"/>
      <c r="AW71" s="552"/>
      <c r="AX71" s="552"/>
      <c r="AY71" s="552"/>
      <c r="AZ71" s="552"/>
      <c r="BA71" s="552"/>
      <c r="BB71" s="553"/>
      <c r="BC71" s="554"/>
      <c r="BD71" s="554"/>
      <c r="BE71" s="554"/>
      <c r="BF71" s="554"/>
      <c r="BG71" s="554"/>
      <c r="BI71" s="556"/>
    </row>
    <row r="72" spans="3:61" ht="13" customHeight="1">
      <c r="C72" s="542"/>
      <c r="F72" s="1127"/>
      <c r="G72" s="1127"/>
      <c r="H72" s="1127"/>
      <c r="I72" s="1127"/>
      <c r="J72" s="1127"/>
      <c r="K72" s="1127"/>
      <c r="L72" s="1127"/>
      <c r="M72" s="1127"/>
      <c r="N72" s="1127"/>
      <c r="O72" s="1127"/>
      <c r="P72" s="554"/>
      <c r="Q72" s="554"/>
      <c r="R72" s="554"/>
      <c r="S72" s="554"/>
      <c r="U72" s="557"/>
      <c r="Z72" s="552"/>
      <c r="AA72" s="552"/>
      <c r="AB72" s="552"/>
      <c r="AC72" s="552"/>
      <c r="AD72" s="552"/>
      <c r="AE72" s="552"/>
      <c r="AF72" s="552"/>
      <c r="AG72" s="552"/>
      <c r="AH72" s="554"/>
      <c r="AI72" s="554"/>
      <c r="AJ72" s="554"/>
      <c r="AK72" s="554"/>
      <c r="AL72" s="554"/>
      <c r="AM72" s="554"/>
      <c r="AO72" s="558"/>
      <c r="AT72" s="552"/>
      <c r="AU72" s="552"/>
      <c r="AV72" s="552"/>
      <c r="AW72" s="552"/>
      <c r="AX72" s="552"/>
      <c r="AY72" s="552"/>
      <c r="AZ72" s="552"/>
      <c r="BA72" s="552"/>
      <c r="BB72" s="554"/>
      <c r="BC72" s="554"/>
      <c r="BD72" s="554"/>
      <c r="BE72" s="554"/>
      <c r="BF72" s="554"/>
      <c r="BG72" s="554"/>
      <c r="BI72" s="558"/>
    </row>
    <row r="73" spans="3:61" ht="13" customHeight="1">
      <c r="C73" s="542"/>
      <c r="F73" s="1127"/>
      <c r="G73" s="1127"/>
      <c r="H73" s="1127"/>
      <c r="I73" s="1127"/>
      <c r="J73" s="1127"/>
      <c r="K73" s="1127"/>
      <c r="L73" s="1127"/>
      <c r="M73" s="1127"/>
      <c r="N73" s="1127"/>
      <c r="O73" s="1127"/>
      <c r="Q73" s="559"/>
      <c r="U73" s="551"/>
      <c r="Z73" s="552"/>
      <c r="AA73" s="552"/>
      <c r="AB73" s="552"/>
      <c r="AC73" s="552"/>
      <c r="AD73" s="552"/>
      <c r="AE73" s="552"/>
      <c r="AF73" s="552"/>
      <c r="AG73" s="552"/>
      <c r="AH73" s="554"/>
      <c r="AI73" s="554"/>
      <c r="AK73" s="559"/>
      <c r="AT73" s="552"/>
      <c r="AU73" s="552"/>
      <c r="AV73" s="552"/>
      <c r="AW73" s="552"/>
      <c r="AX73" s="552"/>
      <c r="AY73" s="552"/>
      <c r="AZ73" s="552"/>
      <c r="BA73" s="552"/>
      <c r="BB73" s="554"/>
      <c r="BC73" s="554"/>
      <c r="BE73" s="559"/>
    </row>
    <row r="74" spans="3:61" s="561" customFormat="1" ht="4" customHeight="1">
      <c r="C74" s="560"/>
      <c r="U74" s="562"/>
    </row>
    <row r="75" spans="3:61" s="561" customFormat="1" ht="12.65" customHeight="1">
      <c r="C75" s="560"/>
      <c r="G75" s="563" t="s">
        <v>3239</v>
      </c>
      <c r="K75" s="1113" t="s">
        <v>3240</v>
      </c>
      <c r="L75" s="1114"/>
      <c r="M75" s="1114"/>
      <c r="N75" s="1114"/>
      <c r="O75" s="1114"/>
      <c r="P75" s="1114"/>
      <c r="Q75" s="1114"/>
      <c r="R75" s="1114"/>
      <c r="S75" s="1114"/>
      <c r="T75" s="1114"/>
      <c r="U75" s="1115"/>
      <c r="AA75" s="563"/>
      <c r="AE75" s="564"/>
      <c r="AF75" s="564"/>
      <c r="AG75" s="564"/>
      <c r="AH75" s="564"/>
      <c r="AI75" s="564"/>
      <c r="AJ75" s="564"/>
      <c r="AK75" s="564"/>
      <c r="AL75" s="564"/>
      <c r="AM75" s="564"/>
      <c r="AN75" s="564"/>
      <c r="AO75" s="564"/>
      <c r="AU75" s="563"/>
      <c r="AY75" s="564"/>
      <c r="AZ75" s="564"/>
      <c r="BA75" s="564"/>
      <c r="BB75" s="564"/>
      <c r="BC75" s="564"/>
      <c r="BD75" s="564"/>
      <c r="BE75" s="564"/>
      <c r="BF75" s="564"/>
      <c r="BG75" s="564"/>
      <c r="BH75" s="564"/>
      <c r="BI75" s="564"/>
    </row>
    <row r="76" spans="3:61" s="561" customFormat="1" ht="4" customHeight="1">
      <c r="C76" s="560"/>
      <c r="U76" s="562"/>
    </row>
    <row r="77" spans="3:61" s="561" customFormat="1" ht="14" customHeight="1">
      <c r="C77" s="560"/>
      <c r="P77" s="563" t="s">
        <v>3241</v>
      </c>
      <c r="T77" s="565" t="s">
        <v>3242</v>
      </c>
      <c r="U77" s="562"/>
      <c r="AJ77" s="563"/>
      <c r="AN77" s="565"/>
      <c r="BD77" s="563"/>
      <c r="BH77" s="565"/>
    </row>
    <row r="78" spans="3:61" s="561" customFormat="1" ht="13" customHeight="1" thickBot="1">
      <c r="C78" s="566"/>
      <c r="D78" s="567"/>
      <c r="E78" s="567"/>
      <c r="F78" s="567"/>
      <c r="G78" s="567"/>
      <c r="H78" s="567"/>
      <c r="I78" s="567"/>
      <c r="J78" s="567"/>
      <c r="K78" s="567"/>
      <c r="L78" s="567"/>
      <c r="M78" s="567"/>
      <c r="N78" s="567"/>
      <c r="O78" s="567"/>
      <c r="P78" s="567"/>
      <c r="Q78" s="567"/>
      <c r="R78" s="567"/>
      <c r="S78" s="567"/>
      <c r="T78" s="567"/>
      <c r="U78" s="568"/>
      <c r="AO78" s="569"/>
      <c r="BI78" s="569"/>
    </row>
  </sheetData>
  <mergeCells count="68">
    <mergeCell ref="K75:U75"/>
    <mergeCell ref="K60:U60"/>
    <mergeCell ref="D65:D67"/>
    <mergeCell ref="E65:E67"/>
    <mergeCell ref="F65:F67"/>
    <mergeCell ref="G65:G67"/>
    <mergeCell ref="H65:H67"/>
    <mergeCell ref="I65:I67"/>
    <mergeCell ref="J65:J67"/>
    <mergeCell ref="K65:K67"/>
    <mergeCell ref="Q65:T67"/>
    <mergeCell ref="D53:T55"/>
    <mergeCell ref="F56:M58"/>
    <mergeCell ref="N56:O58"/>
    <mergeCell ref="D68:T70"/>
    <mergeCell ref="F71:M73"/>
    <mergeCell ref="N71:O73"/>
    <mergeCell ref="D38:T40"/>
    <mergeCell ref="F41:M43"/>
    <mergeCell ref="N41:O43"/>
    <mergeCell ref="K45:U45"/>
    <mergeCell ref="D50:D52"/>
    <mergeCell ref="E50:E52"/>
    <mergeCell ref="F50:F52"/>
    <mergeCell ref="G50:G52"/>
    <mergeCell ref="H50:H52"/>
    <mergeCell ref="I50:I52"/>
    <mergeCell ref="J50:J52"/>
    <mergeCell ref="K50:K52"/>
    <mergeCell ref="Q50:T52"/>
    <mergeCell ref="K30:U30"/>
    <mergeCell ref="D35:D37"/>
    <mergeCell ref="E35:E37"/>
    <mergeCell ref="F35:F37"/>
    <mergeCell ref="G35:G37"/>
    <mergeCell ref="H35:H37"/>
    <mergeCell ref="I35:I37"/>
    <mergeCell ref="J35:J37"/>
    <mergeCell ref="K35:K37"/>
    <mergeCell ref="Q35:T37"/>
    <mergeCell ref="J20:J22"/>
    <mergeCell ref="K20:K22"/>
    <mergeCell ref="Q20:T22"/>
    <mergeCell ref="D23:T25"/>
    <mergeCell ref="F26:M28"/>
    <mergeCell ref="N26:O28"/>
    <mergeCell ref="D20:D22"/>
    <mergeCell ref="E20:E22"/>
    <mergeCell ref="F20:F22"/>
    <mergeCell ref="G20:G22"/>
    <mergeCell ref="H20:H22"/>
    <mergeCell ref="I20:I22"/>
    <mergeCell ref="K15:U15"/>
    <mergeCell ref="BK4:BR5"/>
    <mergeCell ref="D5:D7"/>
    <mergeCell ref="E5:E7"/>
    <mergeCell ref="F5:F7"/>
    <mergeCell ref="G5:G7"/>
    <mergeCell ref="H5:H7"/>
    <mergeCell ref="I5:I7"/>
    <mergeCell ref="J5:J7"/>
    <mergeCell ref="K5:K7"/>
    <mergeCell ref="Q5:T7"/>
    <mergeCell ref="BK6:BX7"/>
    <mergeCell ref="D8:T10"/>
    <mergeCell ref="BK8:BX9"/>
    <mergeCell ref="F11:M13"/>
    <mergeCell ref="N11:O13"/>
  </mergeCells>
  <phoneticPr fontId="59"/>
  <printOptions horizontalCentered="1" verticalCentered="1"/>
  <pageMargins left="0.23622047244094499" right="0.23622047244094499" top="0.23622047244094499" bottom="0.23622047244094499" header="0" footer="0"/>
  <pageSetup paperSize="9" scale="5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C2:BX78"/>
  <sheetViews>
    <sheetView showGridLines="0" showWhiteSpace="0" view="pageBreakPreview" zoomScale="55" zoomScaleNormal="85" workbookViewId="0"/>
  </sheetViews>
  <sheetFormatPr defaultColWidth="9" defaultRowHeight="12.5"/>
  <cols>
    <col min="1" max="2" width="3.36328125" customWidth="1"/>
    <col min="3" max="3" width="2.81640625" customWidth="1"/>
    <col min="4" max="20" width="4.81640625" customWidth="1"/>
    <col min="21" max="21" width="2.81640625" customWidth="1"/>
    <col min="23" max="23" width="2.81640625" customWidth="1"/>
    <col min="24" max="40" width="4.81640625" customWidth="1"/>
    <col min="41" max="41" width="2.81640625" customWidth="1"/>
    <col min="43" max="43" width="2.81640625" customWidth="1"/>
    <col min="44" max="60" width="4.81640625" customWidth="1"/>
    <col min="61" max="61" width="2.81640625" customWidth="1"/>
  </cols>
  <sheetData>
    <row r="2" spans="3:76" ht="14.4" customHeight="1">
      <c r="D2" s="2">
        <v>80</v>
      </c>
      <c r="E2" s="2">
        <v>81</v>
      </c>
      <c r="F2" s="2">
        <v>82</v>
      </c>
      <c r="G2" s="2">
        <v>83</v>
      </c>
      <c r="H2" s="2">
        <v>84</v>
      </c>
    </row>
    <row r="3" spans="3:76" ht="13.75" customHeight="1">
      <c r="G3" t="s">
        <v>3233</v>
      </c>
    </row>
    <row r="4" spans="3:76" ht="13" customHeight="1">
      <c r="C4" s="3"/>
      <c r="D4" s="4"/>
      <c r="E4" s="4"/>
      <c r="F4" s="4"/>
      <c r="G4" s="4"/>
      <c r="H4" s="4"/>
      <c r="I4" s="4"/>
      <c r="J4" s="4"/>
      <c r="K4" s="4"/>
      <c r="L4" s="4"/>
      <c r="M4" s="4"/>
      <c r="N4" s="4"/>
      <c r="O4" s="4"/>
      <c r="P4" s="4"/>
      <c r="Q4" s="4"/>
      <c r="R4" s="4"/>
      <c r="S4" s="4"/>
      <c r="T4" s="4"/>
      <c r="U4" s="16"/>
      <c r="BK4" s="1131" t="s">
        <v>3234</v>
      </c>
      <c r="BL4" s="1131"/>
      <c r="BM4" s="1131"/>
      <c r="BN4" s="1131"/>
      <c r="BO4" s="1131"/>
      <c r="BP4" s="1131"/>
      <c r="BQ4" s="1131"/>
      <c r="BR4" s="1131"/>
    </row>
    <row r="5" spans="3:76" ht="13" customHeight="1">
      <c r="C5" s="5"/>
      <c r="D5" s="1139" t="str">
        <f>LEFT(VLOOKUP(D$2,購入者リスト!$B:$J,8,FALSE),1)</f>
        <v>5</v>
      </c>
      <c r="E5" s="1139" t="str">
        <f>MID(VLOOKUP(D$2,購入者リスト!$B:$J,8,FALSE),2,1)</f>
        <v>9</v>
      </c>
      <c r="F5" s="1139" t="str">
        <f>MID(VLOOKUP(D$2,購入者リスト!$B:$J,8,FALSE),3,1)</f>
        <v>7</v>
      </c>
      <c r="G5" s="1138"/>
      <c r="H5" s="1135" t="str">
        <f>MID(VLOOKUP(D$2,購入者リスト!$B:$J,8,FALSE),5,1)</f>
        <v>0</v>
      </c>
      <c r="I5" s="1135" t="str">
        <f>MID(VLOOKUP(D$2,購入者リスト!$B:$J,8,FALSE),6,1)</f>
        <v>0</v>
      </c>
      <c r="J5" s="1135" t="str">
        <f>MID(VLOOKUP(D$2,購入者リスト!$B:$J,8,FALSE),7,1)</f>
        <v>3</v>
      </c>
      <c r="K5" s="1135" t="str">
        <f>MID(VLOOKUP(D$2,購入者リスト!$B:$J,8,FALSE),8,1)</f>
        <v>1</v>
      </c>
      <c r="L5" s="12"/>
      <c r="M5" s="12"/>
      <c r="N5" s="12"/>
      <c r="O5" s="12"/>
      <c r="P5" s="12"/>
      <c r="Q5" s="1132" t="s">
        <v>3235</v>
      </c>
      <c r="R5" s="1133"/>
      <c r="S5" s="1133"/>
      <c r="T5" s="1133"/>
      <c r="U5" s="19"/>
      <c r="X5" s="20"/>
      <c r="Y5" s="20"/>
      <c r="Z5" s="20"/>
      <c r="AA5" s="28"/>
      <c r="AB5" s="29"/>
      <c r="AC5" s="29"/>
      <c r="AD5" s="29"/>
      <c r="AE5" s="29"/>
      <c r="AF5" s="12"/>
      <c r="AG5" s="12"/>
      <c r="AH5" s="12"/>
      <c r="AI5" s="12"/>
      <c r="AJ5" s="12"/>
      <c r="AK5" s="17"/>
      <c r="AL5" s="18"/>
      <c r="AM5" s="18"/>
      <c r="AN5" s="18"/>
      <c r="AO5" s="18"/>
      <c r="AR5" s="20"/>
      <c r="AS5" s="20"/>
      <c r="AT5" s="20"/>
      <c r="AU5" s="28"/>
      <c r="AV5" s="29"/>
      <c r="AW5" s="29"/>
      <c r="AX5" s="29"/>
      <c r="AY5" s="29"/>
      <c r="AZ5" s="12"/>
      <c r="BA5" s="12"/>
      <c r="BB5" s="12"/>
      <c r="BC5" s="12"/>
      <c r="BD5" s="12"/>
      <c r="BE5" s="17"/>
      <c r="BF5" s="18"/>
      <c r="BG5" s="18"/>
      <c r="BH5" s="18"/>
      <c r="BI5" s="18"/>
      <c r="BK5" s="1131"/>
      <c r="BL5" s="1131"/>
      <c r="BM5" s="1131"/>
      <c r="BN5" s="1131"/>
      <c r="BO5" s="1131"/>
      <c r="BP5" s="1131"/>
      <c r="BQ5" s="1131"/>
      <c r="BR5" s="1131"/>
    </row>
    <row r="6" spans="3:76" ht="13" customHeight="1">
      <c r="C6" s="5"/>
      <c r="D6" s="1140"/>
      <c r="E6" s="1140"/>
      <c r="F6" s="1140"/>
      <c r="G6" s="1138"/>
      <c r="H6" s="1136"/>
      <c r="I6" s="1136"/>
      <c r="J6" s="1136"/>
      <c r="K6" s="1136"/>
      <c r="L6" s="12"/>
      <c r="M6" s="12"/>
      <c r="N6" s="12"/>
      <c r="O6" s="12"/>
      <c r="P6" s="12"/>
      <c r="Q6" s="1133"/>
      <c r="R6" s="1133"/>
      <c r="S6" s="1133"/>
      <c r="T6" s="1133"/>
      <c r="U6" s="19"/>
      <c r="X6" s="20"/>
      <c r="Y6" s="20"/>
      <c r="Z6" s="20"/>
      <c r="AA6" s="28"/>
      <c r="AB6" s="29"/>
      <c r="AC6" s="29"/>
      <c r="AD6" s="29"/>
      <c r="AE6" s="29"/>
      <c r="AF6" s="12"/>
      <c r="AG6" s="12"/>
      <c r="AH6" s="12"/>
      <c r="AI6" s="12"/>
      <c r="AJ6" s="12"/>
      <c r="AK6" s="18"/>
      <c r="AL6" s="18"/>
      <c r="AM6" s="18"/>
      <c r="AN6" s="18"/>
      <c r="AO6" s="18"/>
      <c r="AR6" s="20"/>
      <c r="AS6" s="20"/>
      <c r="AT6" s="20"/>
      <c r="AU6" s="28"/>
      <c r="AV6" s="29"/>
      <c r="AW6" s="29"/>
      <c r="AX6" s="29"/>
      <c r="AY6" s="29"/>
      <c r="AZ6" s="12"/>
      <c r="BA6" s="12"/>
      <c r="BB6" s="12"/>
      <c r="BC6" s="12"/>
      <c r="BD6" s="12"/>
      <c r="BE6" s="18"/>
      <c r="BF6" s="18"/>
      <c r="BG6" s="18"/>
      <c r="BH6" s="18"/>
      <c r="BI6" s="18"/>
      <c r="BK6" s="1131" t="s">
        <v>3236</v>
      </c>
      <c r="BL6" s="1131"/>
      <c r="BM6" s="1131"/>
      <c r="BN6" s="1131"/>
      <c r="BO6" s="1131"/>
      <c r="BP6" s="1131"/>
      <c r="BQ6" s="1131"/>
      <c r="BR6" s="1131"/>
      <c r="BS6" s="1131"/>
      <c r="BT6" s="1131"/>
      <c r="BU6" s="1131"/>
      <c r="BV6" s="1131"/>
      <c r="BW6" s="1131"/>
      <c r="BX6" s="1131"/>
    </row>
    <row r="7" spans="3:76" ht="13" customHeight="1">
      <c r="C7" s="5"/>
      <c r="D7" s="1141"/>
      <c r="E7" s="1141"/>
      <c r="F7" s="1141"/>
      <c r="G7" s="1138"/>
      <c r="H7" s="1137"/>
      <c r="I7" s="1137"/>
      <c r="J7" s="1137"/>
      <c r="K7" s="1137"/>
      <c r="L7" s="12"/>
      <c r="M7" s="12"/>
      <c r="N7" s="12"/>
      <c r="O7" s="12"/>
      <c r="P7" s="12"/>
      <c r="Q7" s="1133"/>
      <c r="R7" s="1133"/>
      <c r="S7" s="1133"/>
      <c r="T7" s="1133"/>
      <c r="U7" s="19"/>
      <c r="X7" s="20"/>
      <c r="Y7" s="20"/>
      <c r="Z7" s="20"/>
      <c r="AA7" s="28"/>
      <c r="AB7" s="29"/>
      <c r="AC7" s="29"/>
      <c r="AD7" s="29"/>
      <c r="AE7" s="29"/>
      <c r="AF7" s="12"/>
      <c r="AG7" s="12"/>
      <c r="AH7" s="12"/>
      <c r="AI7" s="12"/>
      <c r="AJ7" s="12"/>
      <c r="AK7" s="18"/>
      <c r="AL7" s="18"/>
      <c r="AM7" s="18"/>
      <c r="AN7" s="18"/>
      <c r="AO7" s="18"/>
      <c r="AR7" s="20"/>
      <c r="AS7" s="20"/>
      <c r="AT7" s="20"/>
      <c r="AU7" s="28"/>
      <c r="AV7" s="29"/>
      <c r="AW7" s="29"/>
      <c r="AX7" s="29"/>
      <c r="AY7" s="29"/>
      <c r="AZ7" s="12"/>
      <c r="BA7" s="12"/>
      <c r="BB7" s="12"/>
      <c r="BC7" s="12"/>
      <c r="BD7" s="12"/>
      <c r="BE7" s="18"/>
      <c r="BF7" s="18"/>
      <c r="BG7" s="18"/>
      <c r="BH7" s="18"/>
      <c r="BI7" s="18"/>
      <c r="BK7" s="1131"/>
      <c r="BL7" s="1131"/>
      <c r="BM7" s="1131"/>
      <c r="BN7" s="1131"/>
      <c r="BO7" s="1131"/>
      <c r="BP7" s="1131"/>
      <c r="BQ7" s="1131"/>
      <c r="BR7" s="1131"/>
      <c r="BS7" s="1131"/>
      <c r="BT7" s="1131"/>
      <c r="BU7" s="1131"/>
      <c r="BV7" s="1131"/>
      <c r="BW7" s="1131"/>
      <c r="BX7" s="1131"/>
    </row>
    <row r="8" spans="3:76" ht="13" customHeight="1">
      <c r="C8" s="5"/>
      <c r="D8" s="1134" t="str">
        <f>VLOOKUP(D$2,購入者リスト!$B:$J,9,FALSE)</f>
        <v>大阪府 貝塚市久保 1-15-16 西田様方</v>
      </c>
      <c r="E8" s="1134"/>
      <c r="F8" s="1134"/>
      <c r="G8" s="1134"/>
      <c r="H8" s="1134"/>
      <c r="I8" s="1134"/>
      <c r="J8" s="1134"/>
      <c r="K8" s="1134"/>
      <c r="L8" s="1134"/>
      <c r="M8" s="1134"/>
      <c r="N8" s="1134"/>
      <c r="O8" s="1134"/>
      <c r="P8" s="1134"/>
      <c r="Q8" s="1134"/>
      <c r="R8" s="1134"/>
      <c r="S8" s="1134"/>
      <c r="T8" s="1134"/>
      <c r="U8" s="21"/>
      <c r="X8" s="6"/>
      <c r="Y8" s="6"/>
      <c r="Z8" s="6"/>
      <c r="AA8" s="6"/>
      <c r="AB8" s="6"/>
      <c r="AC8" s="6"/>
      <c r="AD8" s="6"/>
      <c r="AE8" s="6"/>
      <c r="AF8" s="6"/>
      <c r="AG8" s="6"/>
      <c r="AH8" s="6"/>
      <c r="AI8" s="6"/>
      <c r="AJ8" s="6"/>
      <c r="AK8" s="6"/>
      <c r="AL8" s="6"/>
      <c r="AM8" s="6"/>
      <c r="AN8" s="6"/>
      <c r="AR8" s="6"/>
      <c r="AS8" s="6"/>
      <c r="AT8" s="6"/>
      <c r="AU8" s="6"/>
      <c r="AV8" s="6"/>
      <c r="AW8" s="6"/>
      <c r="AX8" s="6"/>
      <c r="AY8" s="6"/>
      <c r="AZ8" s="6"/>
      <c r="BA8" s="6"/>
      <c r="BB8" s="6"/>
      <c r="BC8" s="6"/>
      <c r="BD8" s="6"/>
      <c r="BE8" s="6"/>
      <c r="BF8" s="6"/>
      <c r="BG8" s="6"/>
      <c r="BH8" s="6"/>
      <c r="BK8" s="1131" t="s">
        <v>3237</v>
      </c>
      <c r="BL8" s="1131"/>
      <c r="BM8" s="1131"/>
      <c r="BN8" s="1131"/>
      <c r="BO8" s="1131"/>
      <c r="BP8" s="1131"/>
      <c r="BQ8" s="1131"/>
      <c r="BR8" s="1131"/>
      <c r="BS8" s="1131"/>
      <c r="BT8" s="1131"/>
      <c r="BU8" s="1131"/>
      <c r="BV8" s="1131"/>
      <c r="BW8" s="1131"/>
      <c r="BX8" s="1131"/>
    </row>
    <row r="9" spans="3:76" ht="13" customHeight="1">
      <c r="C9" s="5"/>
      <c r="D9" s="1134"/>
      <c r="E9" s="1134"/>
      <c r="F9" s="1134"/>
      <c r="G9" s="1134"/>
      <c r="H9" s="1134"/>
      <c r="I9" s="1134"/>
      <c r="J9" s="1134"/>
      <c r="K9" s="1134"/>
      <c r="L9" s="1134"/>
      <c r="M9" s="1134"/>
      <c r="N9" s="1134"/>
      <c r="O9" s="1134"/>
      <c r="P9" s="1134"/>
      <c r="Q9" s="1134"/>
      <c r="R9" s="1134"/>
      <c r="S9" s="1134"/>
      <c r="T9" s="1134"/>
      <c r="U9" s="21"/>
      <c r="X9" s="6"/>
      <c r="Y9" s="6"/>
      <c r="Z9" s="6"/>
      <c r="AA9" s="6"/>
      <c r="AB9" s="6"/>
      <c r="AC9" s="6"/>
      <c r="AD9" s="6"/>
      <c r="AE9" s="6"/>
      <c r="AF9" s="6"/>
      <c r="AG9" s="6"/>
      <c r="AH9" s="6"/>
      <c r="AI9" s="6"/>
      <c r="AJ9" s="6"/>
      <c r="AK9" s="6"/>
      <c r="AL9" s="6"/>
      <c r="AM9" s="6"/>
      <c r="AN9" s="6"/>
      <c r="AR9" s="6"/>
      <c r="AS9" s="6"/>
      <c r="AT9" s="6"/>
      <c r="AU9" s="6"/>
      <c r="AV9" s="6"/>
      <c r="AW9" s="6"/>
      <c r="AX9" s="6"/>
      <c r="AY9" s="6"/>
      <c r="AZ9" s="6"/>
      <c r="BA9" s="6"/>
      <c r="BB9" s="6"/>
      <c r="BC9" s="6"/>
      <c r="BD9" s="6"/>
      <c r="BE9" s="6"/>
      <c r="BF9" s="6"/>
      <c r="BG9" s="6"/>
      <c r="BH9" s="6"/>
      <c r="BK9" s="1131"/>
      <c r="BL9" s="1131"/>
      <c r="BM9" s="1131"/>
      <c r="BN9" s="1131"/>
      <c r="BO9" s="1131"/>
      <c r="BP9" s="1131"/>
      <c r="BQ9" s="1131"/>
      <c r="BR9" s="1131"/>
      <c r="BS9" s="1131"/>
      <c r="BT9" s="1131"/>
      <c r="BU9" s="1131"/>
      <c r="BV9" s="1131"/>
      <c r="BW9" s="1131"/>
      <c r="BX9" s="1131"/>
    </row>
    <row r="10" spans="3:76" ht="4" customHeight="1">
      <c r="C10" s="5"/>
      <c r="D10" s="1134"/>
      <c r="E10" s="1134"/>
      <c r="F10" s="1134"/>
      <c r="G10" s="1134"/>
      <c r="H10" s="1134"/>
      <c r="I10" s="1134"/>
      <c r="J10" s="1134"/>
      <c r="K10" s="1134"/>
      <c r="L10" s="1134"/>
      <c r="M10" s="1134"/>
      <c r="N10" s="1134"/>
      <c r="O10" s="1134"/>
      <c r="P10" s="1134"/>
      <c r="Q10" s="1134"/>
      <c r="R10" s="1134"/>
      <c r="S10" s="1134"/>
      <c r="T10" s="1134"/>
      <c r="U10" s="21"/>
      <c r="X10" s="6"/>
      <c r="Y10" s="6"/>
      <c r="Z10" s="6"/>
      <c r="AA10" s="6"/>
      <c r="AB10" s="6"/>
      <c r="AC10" s="6"/>
      <c r="AD10" s="6"/>
      <c r="AE10" s="6"/>
      <c r="AF10" s="6"/>
      <c r="AG10" s="6"/>
      <c r="AH10" s="6"/>
      <c r="AI10" s="6"/>
      <c r="AJ10" s="6"/>
      <c r="AK10" s="6"/>
      <c r="AL10" s="6"/>
      <c r="AM10" s="6"/>
      <c r="AN10" s="6"/>
      <c r="AR10" s="6"/>
      <c r="AS10" s="6"/>
      <c r="AT10" s="6"/>
      <c r="AU10" s="6"/>
      <c r="AV10" s="6"/>
      <c r="AW10" s="6"/>
      <c r="AX10" s="6"/>
      <c r="AY10" s="6"/>
      <c r="AZ10" s="6"/>
      <c r="BA10" s="6"/>
      <c r="BB10" s="6"/>
      <c r="BC10" s="6"/>
      <c r="BD10" s="6"/>
      <c r="BE10" s="6"/>
      <c r="BF10" s="6"/>
      <c r="BG10" s="6"/>
      <c r="BH10" s="6"/>
    </row>
    <row r="11" spans="3:76" ht="13" customHeight="1">
      <c r="C11" s="5"/>
      <c r="F11" s="1142" t="str">
        <f>VLOOKUP(D$2,購入者リスト!$B:$J,7,FALSE)</f>
        <v>三宅 綾子</v>
      </c>
      <c r="G11" s="1142"/>
      <c r="H11" s="1142"/>
      <c r="I11" s="1142"/>
      <c r="J11" s="1142"/>
      <c r="K11" s="1142"/>
      <c r="L11" s="1142"/>
      <c r="M11" s="1142"/>
      <c r="N11" s="1143" t="s">
        <v>3238</v>
      </c>
      <c r="O11" s="1144"/>
      <c r="P11" s="14"/>
      <c r="Q11" s="14"/>
      <c r="R11" s="14"/>
      <c r="S11" s="14"/>
      <c r="U11" s="22"/>
      <c r="Z11" s="7"/>
      <c r="AA11" s="7"/>
      <c r="AB11" s="7"/>
      <c r="AC11" s="7"/>
      <c r="AD11" s="7"/>
      <c r="AE11" s="7"/>
      <c r="AF11" s="7"/>
      <c r="AG11" s="7"/>
      <c r="AH11" s="13"/>
      <c r="AI11" s="14"/>
      <c r="AJ11" s="14"/>
      <c r="AK11" s="14"/>
      <c r="AL11" s="14"/>
      <c r="AM11" s="14"/>
      <c r="AO11" s="30"/>
      <c r="AT11" s="7"/>
      <c r="AU11" s="7"/>
      <c r="AV11" s="7"/>
      <c r="AW11" s="7"/>
      <c r="AX11" s="7"/>
      <c r="AY11" s="7"/>
      <c r="AZ11" s="7"/>
      <c r="BA11" s="7"/>
      <c r="BB11" s="13"/>
      <c r="BC11" s="14"/>
      <c r="BD11" s="14"/>
      <c r="BE11" s="14"/>
      <c r="BF11" s="14"/>
      <c r="BG11" s="14"/>
      <c r="BI11" s="30"/>
    </row>
    <row r="12" spans="3:76" ht="13" customHeight="1">
      <c r="C12" s="5"/>
      <c r="F12" s="1142"/>
      <c r="G12" s="1142"/>
      <c r="H12" s="1142"/>
      <c r="I12" s="1142"/>
      <c r="J12" s="1142"/>
      <c r="K12" s="1142"/>
      <c r="L12" s="1142"/>
      <c r="M12" s="1142"/>
      <c r="N12" s="1144"/>
      <c r="O12" s="1144"/>
      <c r="P12" s="14"/>
      <c r="Q12" s="14"/>
      <c r="R12" s="14"/>
      <c r="S12" s="14"/>
      <c r="U12" s="23"/>
      <c r="Z12" s="7"/>
      <c r="AA12" s="7"/>
      <c r="AB12" s="7"/>
      <c r="AC12" s="7"/>
      <c r="AD12" s="7"/>
      <c r="AE12" s="7"/>
      <c r="AF12" s="7"/>
      <c r="AG12" s="7"/>
      <c r="AH12" s="14"/>
      <c r="AI12" s="14"/>
      <c r="AJ12" s="14"/>
      <c r="AK12" s="14"/>
      <c r="AL12" s="14"/>
      <c r="AM12" s="14"/>
      <c r="AO12" s="31"/>
      <c r="AT12" s="7"/>
      <c r="AU12" s="7"/>
      <c r="AV12" s="7"/>
      <c r="AW12" s="7"/>
      <c r="AX12" s="7"/>
      <c r="AY12" s="7"/>
      <c r="AZ12" s="7"/>
      <c r="BA12" s="7"/>
      <c r="BB12" s="14"/>
      <c r="BC12" s="14"/>
      <c r="BD12" s="14"/>
      <c r="BE12" s="14"/>
      <c r="BF12" s="14"/>
      <c r="BG12" s="14"/>
      <c r="BI12" s="31"/>
    </row>
    <row r="13" spans="3:76" ht="13" customHeight="1">
      <c r="C13" s="5"/>
      <c r="F13" s="1142"/>
      <c r="G13" s="1142"/>
      <c r="H13" s="1142"/>
      <c r="I13" s="1142"/>
      <c r="J13" s="1142"/>
      <c r="K13" s="1142"/>
      <c r="L13" s="1142"/>
      <c r="M13" s="1142"/>
      <c r="N13" s="1144"/>
      <c r="O13" s="1144"/>
      <c r="Q13" s="24"/>
      <c r="U13" s="21"/>
      <c r="Z13" s="7"/>
      <c r="AA13" s="7"/>
      <c r="AB13" s="7"/>
      <c r="AC13" s="7"/>
      <c r="AD13" s="7"/>
      <c r="AE13" s="7"/>
      <c r="AF13" s="7"/>
      <c r="AG13" s="7"/>
      <c r="AH13" s="14"/>
      <c r="AI13" s="14"/>
      <c r="AK13" s="24"/>
      <c r="AT13" s="7"/>
      <c r="AU13" s="7"/>
      <c r="AV13" s="7"/>
      <c r="AW13" s="7"/>
      <c r="AX13" s="7"/>
      <c r="AY13" s="7"/>
      <c r="AZ13" s="7"/>
      <c r="BA13" s="7"/>
      <c r="BB13" s="14"/>
      <c r="BC13" s="14"/>
      <c r="BE13" s="24"/>
    </row>
    <row r="14" spans="3:76" s="1" customFormat="1" ht="4" customHeight="1">
      <c r="C14" s="8"/>
      <c r="U14" s="25"/>
    </row>
    <row r="15" spans="3:76" s="1" customFormat="1" ht="12.65" customHeight="1">
      <c r="C15" s="8"/>
      <c r="G15" s="9" t="s">
        <v>3239</v>
      </c>
      <c r="K15" s="1145" t="s">
        <v>3240</v>
      </c>
      <c r="L15" s="1145"/>
      <c r="M15" s="1145"/>
      <c r="N15" s="1145"/>
      <c r="O15" s="1145"/>
      <c r="P15" s="1145"/>
      <c r="Q15" s="1145"/>
      <c r="R15" s="1145"/>
      <c r="S15" s="1145"/>
      <c r="T15" s="1145"/>
      <c r="U15" s="1146"/>
      <c r="AA15" s="9"/>
      <c r="AE15" s="15"/>
      <c r="AF15" s="15"/>
      <c r="AG15" s="15"/>
      <c r="AH15" s="15"/>
      <c r="AI15" s="15"/>
      <c r="AJ15" s="15"/>
      <c r="AK15" s="15"/>
      <c r="AL15" s="15"/>
      <c r="AM15" s="15"/>
      <c r="AN15" s="15"/>
      <c r="AO15" s="15"/>
      <c r="AU15" s="9"/>
      <c r="AY15" s="15"/>
      <c r="AZ15" s="15"/>
      <c r="BA15" s="15"/>
      <c r="BB15" s="15"/>
      <c r="BC15" s="15"/>
      <c r="BD15" s="15"/>
      <c r="BE15" s="15"/>
      <c r="BF15" s="15"/>
      <c r="BG15" s="15"/>
      <c r="BH15" s="15"/>
      <c r="BI15" s="15"/>
    </row>
    <row r="16" spans="3:76" s="1" customFormat="1" ht="4" customHeight="1">
      <c r="C16" s="8"/>
      <c r="U16" s="25"/>
    </row>
    <row r="17" spans="3:61" s="1" customFormat="1" ht="14" customHeight="1">
      <c r="C17" s="8"/>
      <c r="P17" s="9" t="s">
        <v>3241</v>
      </c>
      <c r="T17" s="26" t="s">
        <v>3242</v>
      </c>
      <c r="U17" s="25"/>
      <c r="AJ17" s="9"/>
      <c r="AN17" s="26"/>
      <c r="BD17" s="9"/>
      <c r="BH17" s="26"/>
    </row>
    <row r="18" spans="3:61" s="1" customFormat="1" ht="13" customHeight="1">
      <c r="C18" s="10"/>
      <c r="D18" s="11"/>
      <c r="E18" s="11"/>
      <c r="F18" s="11"/>
      <c r="G18" s="11"/>
      <c r="H18" s="11"/>
      <c r="I18" s="11"/>
      <c r="J18" s="11"/>
      <c r="K18" s="11"/>
      <c r="L18" s="11"/>
      <c r="M18" s="11"/>
      <c r="N18" s="11"/>
      <c r="O18" s="11"/>
      <c r="P18" s="11"/>
      <c r="Q18" s="11"/>
      <c r="R18" s="11"/>
      <c r="S18" s="11"/>
      <c r="T18" s="11"/>
      <c r="U18" s="27"/>
      <c r="AO18" s="32"/>
      <c r="BI18" s="32"/>
    </row>
    <row r="19" spans="3:61" ht="13" customHeight="1">
      <c r="C19" s="3"/>
      <c r="D19" s="4"/>
      <c r="E19" s="4"/>
      <c r="F19" s="4"/>
      <c r="G19" s="4"/>
      <c r="H19" s="4"/>
      <c r="I19" s="4"/>
      <c r="J19" s="4"/>
      <c r="K19" s="4"/>
      <c r="L19" s="4"/>
      <c r="M19" s="4"/>
      <c r="N19" s="4"/>
      <c r="O19" s="4"/>
      <c r="P19" s="4"/>
      <c r="Q19" s="4"/>
      <c r="R19" s="4"/>
      <c r="S19" s="4"/>
      <c r="T19" s="4"/>
      <c r="U19" s="16"/>
    </row>
    <row r="20" spans="3:61" ht="13" customHeight="1">
      <c r="C20" s="5"/>
      <c r="D20" s="1139" t="str">
        <f>LEFT(VLOOKUP(E$2,購入者リスト!$B:$J,8,FALSE),1)</f>
        <v>2</v>
      </c>
      <c r="E20" s="1139" t="str">
        <f>MID(VLOOKUP(E$2,購入者リスト!$B:$J,8,FALSE),2,1)</f>
        <v>4</v>
      </c>
      <c r="F20" s="1139" t="str">
        <f>MID(VLOOKUP(E$2,購入者リスト!$B:$J,8,FALSE),3,1)</f>
        <v>5</v>
      </c>
      <c r="G20" s="1138"/>
      <c r="H20" s="1135" t="str">
        <f>MID(VLOOKUP(E$2,購入者リスト!$B:$J,8,FALSE),5,1)</f>
        <v>0</v>
      </c>
      <c r="I20" s="1135" t="str">
        <f>MID(VLOOKUP(E$2,購入者リスト!$B:$J,8,FALSE),6,1)</f>
        <v>0</v>
      </c>
      <c r="J20" s="1135" t="str">
        <f>MID(VLOOKUP(E$2,購入者リスト!$B:$J,8,FALSE),7,1)</f>
        <v>5</v>
      </c>
      <c r="K20" s="1135" t="str">
        <f>MID(VLOOKUP(E$2,購入者リスト!$B:$J,8,FALSE),8,1)</f>
        <v>3</v>
      </c>
      <c r="L20" s="12"/>
      <c r="M20" s="12"/>
      <c r="N20" s="12"/>
      <c r="O20" s="12"/>
      <c r="P20" s="12"/>
      <c r="Q20" s="1132" t="s">
        <v>3235</v>
      </c>
      <c r="R20" s="1133"/>
      <c r="S20" s="1133"/>
      <c r="T20" s="1133"/>
      <c r="U20" s="19"/>
      <c r="X20" s="20"/>
      <c r="Y20" s="20"/>
      <c r="Z20" s="20"/>
      <c r="AA20" s="28"/>
      <c r="AB20" s="29"/>
      <c r="AC20" s="29"/>
      <c r="AD20" s="29"/>
      <c r="AE20" s="29"/>
      <c r="AF20" s="12"/>
      <c r="AG20" s="12"/>
      <c r="AH20" s="12"/>
      <c r="AI20" s="12"/>
      <c r="AJ20" s="12"/>
      <c r="AK20" s="17"/>
      <c r="AL20" s="18"/>
      <c r="AM20" s="18"/>
      <c r="AN20" s="18"/>
      <c r="AO20" s="18"/>
      <c r="AR20" s="20"/>
      <c r="AS20" s="20"/>
      <c r="AT20" s="20"/>
      <c r="AU20" s="28"/>
      <c r="AV20" s="29"/>
      <c r="AW20" s="29"/>
      <c r="AX20" s="29"/>
      <c r="AY20" s="29"/>
      <c r="AZ20" s="12"/>
      <c r="BA20" s="12"/>
      <c r="BB20" s="12"/>
      <c r="BC20" s="12"/>
      <c r="BD20" s="12"/>
      <c r="BE20" s="17"/>
      <c r="BF20" s="18"/>
      <c r="BG20" s="18"/>
      <c r="BH20" s="18"/>
      <c r="BI20" s="18"/>
    </row>
    <row r="21" spans="3:61" ht="13" customHeight="1">
      <c r="C21" s="5"/>
      <c r="D21" s="1140"/>
      <c r="E21" s="1140"/>
      <c r="F21" s="1140"/>
      <c r="G21" s="1138"/>
      <c r="H21" s="1136"/>
      <c r="I21" s="1136"/>
      <c r="J21" s="1136"/>
      <c r="K21" s="1136"/>
      <c r="L21" s="12"/>
      <c r="M21" s="12"/>
      <c r="N21" s="12"/>
      <c r="O21" s="12"/>
      <c r="P21" s="12"/>
      <c r="Q21" s="1133"/>
      <c r="R21" s="1133"/>
      <c r="S21" s="1133"/>
      <c r="T21" s="1133"/>
      <c r="U21" s="19"/>
      <c r="X21" s="20"/>
      <c r="Y21" s="20"/>
      <c r="Z21" s="20"/>
      <c r="AA21" s="28"/>
      <c r="AB21" s="29"/>
      <c r="AC21" s="29"/>
      <c r="AD21" s="29"/>
      <c r="AE21" s="29"/>
      <c r="AF21" s="12"/>
      <c r="AG21" s="12"/>
      <c r="AH21" s="12"/>
      <c r="AI21" s="12"/>
      <c r="AJ21" s="12"/>
      <c r="AK21" s="18"/>
      <c r="AL21" s="18"/>
      <c r="AM21" s="18"/>
      <c r="AN21" s="18"/>
      <c r="AO21" s="18"/>
      <c r="AR21" s="20"/>
      <c r="AS21" s="20"/>
      <c r="AT21" s="20"/>
      <c r="AU21" s="28"/>
      <c r="AV21" s="29"/>
      <c r="AW21" s="29"/>
      <c r="AX21" s="29"/>
      <c r="AY21" s="29"/>
      <c r="AZ21" s="12"/>
      <c r="BA21" s="12"/>
      <c r="BB21" s="12"/>
      <c r="BC21" s="12"/>
      <c r="BD21" s="12"/>
      <c r="BE21" s="18"/>
      <c r="BF21" s="18"/>
      <c r="BG21" s="18"/>
      <c r="BH21" s="18"/>
      <c r="BI21" s="18"/>
    </row>
    <row r="22" spans="3:61" ht="13" customHeight="1">
      <c r="C22" s="5"/>
      <c r="D22" s="1141"/>
      <c r="E22" s="1141"/>
      <c r="F22" s="1141"/>
      <c r="G22" s="1138"/>
      <c r="H22" s="1137"/>
      <c r="I22" s="1137"/>
      <c r="J22" s="1137"/>
      <c r="K22" s="1137"/>
      <c r="L22" s="12"/>
      <c r="M22" s="12"/>
      <c r="N22" s="12"/>
      <c r="O22" s="12"/>
      <c r="P22" s="12"/>
      <c r="Q22" s="1133"/>
      <c r="R22" s="1133"/>
      <c r="S22" s="1133"/>
      <c r="T22" s="1133"/>
      <c r="U22" s="19"/>
      <c r="X22" s="20"/>
      <c r="Y22" s="20"/>
      <c r="Z22" s="20"/>
      <c r="AA22" s="28"/>
      <c r="AB22" s="29"/>
      <c r="AC22" s="29"/>
      <c r="AD22" s="29"/>
      <c r="AE22" s="29"/>
      <c r="AF22" s="12"/>
      <c r="AG22" s="12"/>
      <c r="AH22" s="12"/>
      <c r="AI22" s="12"/>
      <c r="AJ22" s="12"/>
      <c r="AK22" s="18"/>
      <c r="AL22" s="18"/>
      <c r="AM22" s="18"/>
      <c r="AN22" s="18"/>
      <c r="AO22" s="18"/>
      <c r="AR22" s="20"/>
      <c r="AS22" s="20"/>
      <c r="AT22" s="20"/>
      <c r="AU22" s="28"/>
      <c r="AV22" s="29"/>
      <c r="AW22" s="29"/>
      <c r="AX22" s="29"/>
      <c r="AY22" s="29"/>
      <c r="AZ22" s="12"/>
      <c r="BA22" s="12"/>
      <c r="BB22" s="12"/>
      <c r="BC22" s="12"/>
      <c r="BD22" s="12"/>
      <c r="BE22" s="18"/>
      <c r="BF22" s="18"/>
      <c r="BG22" s="18"/>
      <c r="BH22" s="18"/>
      <c r="BI22" s="18"/>
    </row>
    <row r="23" spans="3:61" ht="13" customHeight="1">
      <c r="C23" s="5"/>
      <c r="D23" s="1134" t="str">
        <f>VLOOKUP(E$2,購入者リスト!$B:$J,9,FALSE)</f>
        <v>神奈川県 横浜市戸塚区上矢部町 518-17</v>
      </c>
      <c r="E23" s="1134"/>
      <c r="F23" s="1134"/>
      <c r="G23" s="1134"/>
      <c r="H23" s="1134"/>
      <c r="I23" s="1134"/>
      <c r="J23" s="1134"/>
      <c r="K23" s="1134"/>
      <c r="L23" s="1134"/>
      <c r="M23" s="1134"/>
      <c r="N23" s="1134"/>
      <c r="O23" s="1134"/>
      <c r="P23" s="1134"/>
      <c r="Q23" s="1134"/>
      <c r="R23" s="1134"/>
      <c r="S23" s="1134"/>
      <c r="T23" s="1134"/>
      <c r="U23" s="21"/>
      <c r="X23" s="6"/>
      <c r="Y23" s="6"/>
      <c r="Z23" s="6"/>
      <c r="AA23" s="6"/>
      <c r="AB23" s="6"/>
      <c r="AC23" s="6"/>
      <c r="AD23" s="6"/>
      <c r="AE23" s="6"/>
      <c r="AF23" s="6"/>
      <c r="AG23" s="6"/>
      <c r="AH23" s="6"/>
      <c r="AI23" s="6"/>
      <c r="AJ23" s="6"/>
      <c r="AK23" s="6"/>
      <c r="AL23" s="6"/>
      <c r="AM23" s="6"/>
      <c r="AN23" s="6"/>
      <c r="AR23" s="6"/>
      <c r="AS23" s="6"/>
      <c r="AT23" s="6"/>
      <c r="AU23" s="6"/>
      <c r="AV23" s="6"/>
      <c r="AW23" s="6"/>
      <c r="AX23" s="6"/>
      <c r="AY23" s="6"/>
      <c r="AZ23" s="6"/>
      <c r="BA23" s="6"/>
      <c r="BB23" s="6"/>
      <c r="BC23" s="6"/>
      <c r="BD23" s="6"/>
      <c r="BE23" s="6"/>
      <c r="BF23" s="6"/>
      <c r="BG23" s="6"/>
      <c r="BH23" s="6"/>
    </row>
    <row r="24" spans="3:61" ht="13" customHeight="1">
      <c r="C24" s="5"/>
      <c r="D24" s="1134"/>
      <c r="E24" s="1134"/>
      <c r="F24" s="1134"/>
      <c r="G24" s="1134"/>
      <c r="H24" s="1134"/>
      <c r="I24" s="1134"/>
      <c r="J24" s="1134"/>
      <c r="K24" s="1134"/>
      <c r="L24" s="1134"/>
      <c r="M24" s="1134"/>
      <c r="N24" s="1134"/>
      <c r="O24" s="1134"/>
      <c r="P24" s="1134"/>
      <c r="Q24" s="1134"/>
      <c r="R24" s="1134"/>
      <c r="S24" s="1134"/>
      <c r="T24" s="1134"/>
      <c r="U24" s="21"/>
      <c r="X24" s="6"/>
      <c r="Y24" s="6"/>
      <c r="Z24" s="6"/>
      <c r="AA24" s="6"/>
      <c r="AB24" s="6"/>
      <c r="AC24" s="6"/>
      <c r="AD24" s="6"/>
      <c r="AE24" s="6"/>
      <c r="AF24" s="6"/>
      <c r="AG24" s="6"/>
      <c r="AH24" s="6"/>
      <c r="AI24" s="6"/>
      <c r="AJ24" s="6"/>
      <c r="AK24" s="6"/>
      <c r="AL24" s="6"/>
      <c r="AM24" s="6"/>
      <c r="AN24" s="6"/>
      <c r="AR24" s="6"/>
      <c r="AS24" s="6"/>
      <c r="AT24" s="6"/>
      <c r="AU24" s="6"/>
      <c r="AV24" s="6"/>
      <c r="AW24" s="6"/>
      <c r="AX24" s="6"/>
      <c r="AY24" s="6"/>
      <c r="AZ24" s="6"/>
      <c r="BA24" s="6"/>
      <c r="BB24" s="6"/>
      <c r="BC24" s="6"/>
      <c r="BD24" s="6"/>
      <c r="BE24" s="6"/>
      <c r="BF24" s="6"/>
      <c r="BG24" s="6"/>
      <c r="BH24" s="6"/>
    </row>
    <row r="25" spans="3:61" ht="4" customHeight="1">
      <c r="C25" s="5"/>
      <c r="D25" s="1134"/>
      <c r="E25" s="1134"/>
      <c r="F25" s="1134"/>
      <c r="G25" s="1134"/>
      <c r="H25" s="1134"/>
      <c r="I25" s="1134"/>
      <c r="J25" s="1134"/>
      <c r="K25" s="1134"/>
      <c r="L25" s="1134"/>
      <c r="M25" s="1134"/>
      <c r="N25" s="1134"/>
      <c r="O25" s="1134"/>
      <c r="P25" s="1134"/>
      <c r="Q25" s="1134"/>
      <c r="R25" s="1134"/>
      <c r="S25" s="1134"/>
      <c r="T25" s="1134"/>
      <c r="U25" s="21"/>
      <c r="X25" s="6"/>
      <c r="Y25" s="6"/>
      <c r="Z25" s="6"/>
      <c r="AA25" s="6"/>
      <c r="AB25" s="6"/>
      <c r="AC25" s="6"/>
      <c r="AD25" s="6"/>
      <c r="AE25" s="6"/>
      <c r="AF25" s="6"/>
      <c r="AG25" s="6"/>
      <c r="AH25" s="6"/>
      <c r="AI25" s="6"/>
      <c r="AJ25" s="6"/>
      <c r="AK25" s="6"/>
      <c r="AL25" s="6"/>
      <c r="AM25" s="6"/>
      <c r="AN25" s="6"/>
      <c r="AR25" s="6"/>
      <c r="AS25" s="6"/>
      <c r="AT25" s="6"/>
      <c r="AU25" s="6"/>
      <c r="AV25" s="6"/>
      <c r="AW25" s="6"/>
      <c r="AX25" s="6"/>
      <c r="AY25" s="6"/>
      <c r="AZ25" s="6"/>
      <c r="BA25" s="6"/>
      <c r="BB25" s="6"/>
      <c r="BC25" s="6"/>
      <c r="BD25" s="6"/>
      <c r="BE25" s="6"/>
      <c r="BF25" s="6"/>
      <c r="BG25" s="6"/>
      <c r="BH25" s="6"/>
    </row>
    <row r="26" spans="3:61" ht="13" customHeight="1">
      <c r="C26" s="5"/>
      <c r="F26" s="1142" t="str">
        <f>VLOOKUP(E$2,購入者リスト!$B:$J,7,FALSE)</f>
        <v>澤合 博子</v>
      </c>
      <c r="G26" s="1142"/>
      <c r="H26" s="1142"/>
      <c r="I26" s="1142"/>
      <c r="J26" s="1142"/>
      <c r="K26" s="1142"/>
      <c r="L26" s="1142"/>
      <c r="M26" s="1142"/>
      <c r="N26" s="1143" t="s">
        <v>3238</v>
      </c>
      <c r="O26" s="1144"/>
      <c r="P26" s="14"/>
      <c r="Q26" s="14"/>
      <c r="R26" s="14"/>
      <c r="S26" s="14"/>
      <c r="U26" s="22"/>
      <c r="Z26" s="7"/>
      <c r="AA26" s="7"/>
      <c r="AB26" s="7"/>
      <c r="AC26" s="7"/>
      <c r="AD26" s="7"/>
      <c r="AE26" s="7"/>
      <c r="AF26" s="7"/>
      <c r="AG26" s="7"/>
      <c r="AH26" s="13"/>
      <c r="AI26" s="14"/>
      <c r="AJ26" s="14"/>
      <c r="AK26" s="14"/>
      <c r="AL26" s="14"/>
      <c r="AM26" s="14"/>
      <c r="AO26" s="30"/>
      <c r="AT26" s="7"/>
      <c r="AU26" s="7"/>
      <c r="AV26" s="7"/>
      <c r="AW26" s="7"/>
      <c r="AX26" s="7"/>
      <c r="AY26" s="7"/>
      <c r="AZ26" s="7"/>
      <c r="BA26" s="7"/>
      <c r="BB26" s="13"/>
      <c r="BC26" s="14"/>
      <c r="BD26" s="14"/>
      <c r="BE26" s="14"/>
      <c r="BF26" s="14"/>
      <c r="BG26" s="14"/>
      <c r="BI26" s="30"/>
    </row>
    <row r="27" spans="3:61" ht="13" customHeight="1">
      <c r="C27" s="5"/>
      <c r="F27" s="1142"/>
      <c r="G27" s="1142"/>
      <c r="H27" s="1142"/>
      <c r="I27" s="1142"/>
      <c r="J27" s="1142"/>
      <c r="K27" s="1142"/>
      <c r="L27" s="1142"/>
      <c r="M27" s="1142"/>
      <c r="N27" s="1144"/>
      <c r="O27" s="1144"/>
      <c r="P27" s="14"/>
      <c r="Q27" s="14"/>
      <c r="R27" s="14"/>
      <c r="S27" s="14"/>
      <c r="U27" s="23"/>
      <c r="Z27" s="7"/>
      <c r="AA27" s="7"/>
      <c r="AB27" s="7"/>
      <c r="AC27" s="7"/>
      <c r="AD27" s="7"/>
      <c r="AE27" s="7"/>
      <c r="AF27" s="7"/>
      <c r="AG27" s="7"/>
      <c r="AH27" s="14"/>
      <c r="AI27" s="14"/>
      <c r="AJ27" s="14"/>
      <c r="AK27" s="14"/>
      <c r="AL27" s="14"/>
      <c r="AM27" s="14"/>
      <c r="AO27" s="31"/>
      <c r="AT27" s="7"/>
      <c r="AU27" s="7"/>
      <c r="AV27" s="7"/>
      <c r="AW27" s="7"/>
      <c r="AX27" s="7"/>
      <c r="AY27" s="7"/>
      <c r="AZ27" s="7"/>
      <c r="BA27" s="7"/>
      <c r="BB27" s="14"/>
      <c r="BC27" s="14"/>
      <c r="BD27" s="14"/>
      <c r="BE27" s="14"/>
      <c r="BF27" s="14"/>
      <c r="BG27" s="14"/>
      <c r="BI27" s="31"/>
    </row>
    <row r="28" spans="3:61" ht="13" customHeight="1">
      <c r="C28" s="5"/>
      <c r="F28" s="1142"/>
      <c r="G28" s="1142"/>
      <c r="H28" s="1142"/>
      <c r="I28" s="1142"/>
      <c r="J28" s="1142"/>
      <c r="K28" s="1142"/>
      <c r="L28" s="1142"/>
      <c r="M28" s="1142"/>
      <c r="N28" s="1144"/>
      <c r="O28" s="1144"/>
      <c r="Q28" s="24"/>
      <c r="U28" s="21"/>
      <c r="Z28" s="7"/>
      <c r="AA28" s="7"/>
      <c r="AB28" s="7"/>
      <c r="AC28" s="7"/>
      <c r="AD28" s="7"/>
      <c r="AE28" s="7"/>
      <c r="AF28" s="7"/>
      <c r="AG28" s="7"/>
      <c r="AH28" s="14"/>
      <c r="AI28" s="14"/>
      <c r="AK28" s="24"/>
      <c r="AT28" s="7"/>
      <c r="AU28" s="7"/>
      <c r="AV28" s="7"/>
      <c r="AW28" s="7"/>
      <c r="AX28" s="7"/>
      <c r="AY28" s="7"/>
      <c r="AZ28" s="7"/>
      <c r="BA28" s="7"/>
      <c r="BB28" s="14"/>
      <c r="BC28" s="14"/>
      <c r="BE28" s="24"/>
    </row>
    <row r="29" spans="3:61" s="1" customFormat="1" ht="4" customHeight="1">
      <c r="C29" s="8"/>
      <c r="U29" s="25"/>
    </row>
    <row r="30" spans="3:61" s="1" customFormat="1" ht="12.65" customHeight="1">
      <c r="C30" s="8"/>
      <c r="G30" s="9" t="s">
        <v>3239</v>
      </c>
      <c r="K30" s="1145" t="s">
        <v>3240</v>
      </c>
      <c r="L30" s="1145"/>
      <c r="M30" s="1145"/>
      <c r="N30" s="1145"/>
      <c r="O30" s="1145"/>
      <c r="P30" s="1145"/>
      <c r="Q30" s="1145"/>
      <c r="R30" s="1145"/>
      <c r="S30" s="1145"/>
      <c r="T30" s="1145"/>
      <c r="U30" s="1146"/>
      <c r="AA30" s="9"/>
      <c r="AE30" s="15"/>
      <c r="AF30" s="15"/>
      <c r="AG30" s="15"/>
      <c r="AH30" s="15"/>
      <c r="AI30" s="15"/>
      <c r="AJ30" s="15"/>
      <c r="AK30" s="15"/>
      <c r="AL30" s="15"/>
      <c r="AM30" s="15"/>
      <c r="AN30" s="15"/>
      <c r="AO30" s="15"/>
      <c r="AU30" s="9"/>
      <c r="AY30" s="15"/>
      <c r="AZ30" s="15"/>
      <c r="BA30" s="15"/>
      <c r="BB30" s="15"/>
      <c r="BC30" s="15"/>
      <c r="BD30" s="15"/>
      <c r="BE30" s="15"/>
      <c r="BF30" s="15"/>
      <c r="BG30" s="15"/>
      <c r="BH30" s="15"/>
      <c r="BI30" s="15"/>
    </row>
    <row r="31" spans="3:61" s="1" customFormat="1" ht="4" customHeight="1">
      <c r="C31" s="8"/>
      <c r="U31" s="25"/>
    </row>
    <row r="32" spans="3:61" s="1" customFormat="1" ht="14" customHeight="1">
      <c r="C32" s="8"/>
      <c r="P32" s="9" t="s">
        <v>3241</v>
      </c>
      <c r="T32" s="26" t="s">
        <v>3242</v>
      </c>
      <c r="U32" s="25"/>
      <c r="AJ32" s="9"/>
      <c r="AN32" s="26"/>
      <c r="BD32" s="9"/>
      <c r="BH32" s="26"/>
    </row>
    <row r="33" spans="3:61" s="1" customFormat="1" ht="13" customHeight="1">
      <c r="C33" s="10"/>
      <c r="D33" s="11"/>
      <c r="E33" s="11"/>
      <c r="F33" s="11"/>
      <c r="G33" s="11"/>
      <c r="H33" s="11"/>
      <c r="I33" s="11"/>
      <c r="J33" s="11"/>
      <c r="K33" s="11"/>
      <c r="L33" s="11"/>
      <c r="M33" s="11"/>
      <c r="N33" s="11"/>
      <c r="O33" s="11"/>
      <c r="P33" s="11"/>
      <c r="Q33" s="11"/>
      <c r="R33" s="11"/>
      <c r="S33" s="11"/>
      <c r="T33" s="11"/>
      <c r="U33" s="27"/>
      <c r="AO33" s="32"/>
      <c r="BI33" s="32"/>
    </row>
    <row r="34" spans="3:61" ht="13" customHeight="1">
      <c r="C34" s="3"/>
      <c r="D34" s="4"/>
      <c r="E34" s="4"/>
      <c r="F34" s="4"/>
      <c r="G34" s="4"/>
      <c r="H34" s="4"/>
      <c r="I34" s="4"/>
      <c r="J34" s="4"/>
      <c r="K34" s="4"/>
      <c r="L34" s="4"/>
      <c r="M34" s="4"/>
      <c r="N34" s="4"/>
      <c r="O34" s="4"/>
      <c r="P34" s="4"/>
      <c r="Q34" s="4"/>
      <c r="R34" s="4"/>
      <c r="S34" s="4"/>
      <c r="T34" s="4"/>
      <c r="U34" s="16"/>
    </row>
    <row r="35" spans="3:61" ht="13" customHeight="1">
      <c r="C35" s="5"/>
      <c r="D35" s="1139" t="str">
        <f>LEFT(VLOOKUP(F$2,購入者リスト!$B:$J,8,FALSE),1)</f>
        <v>9</v>
      </c>
      <c r="E35" s="1139" t="str">
        <f>MID(VLOOKUP(F$2,購入者リスト!$B:$J,8,FALSE),2,1)</f>
        <v>6</v>
      </c>
      <c r="F35" s="1139" t="str">
        <f>MID(VLOOKUP(F$2,購入者リスト!$B:$J,8,FALSE),3,1)</f>
        <v>5</v>
      </c>
      <c r="G35" s="1138"/>
      <c r="H35" s="1135" t="str">
        <f>MID(VLOOKUP(F$2,購入者リスト!$B:$J,8,FALSE),5,1)</f>
        <v>0</v>
      </c>
      <c r="I35" s="1135" t="str">
        <f>MID(VLOOKUP(F$2,購入者リスト!$B:$J,8,FALSE),6,1)</f>
        <v>0</v>
      </c>
      <c r="J35" s="1135" t="str">
        <f>MID(VLOOKUP(F$2,購入者リスト!$B:$J,8,FALSE),7,1)</f>
        <v>5</v>
      </c>
      <c r="K35" s="1135" t="str">
        <f>MID(VLOOKUP(F$2,購入者リスト!$B:$J,8,FALSE),8,1)</f>
        <v>6</v>
      </c>
      <c r="L35" s="12"/>
      <c r="M35" s="12"/>
      <c r="N35" s="12"/>
      <c r="O35" s="12"/>
      <c r="P35" s="12"/>
      <c r="Q35" s="1132" t="s">
        <v>3235</v>
      </c>
      <c r="R35" s="1133"/>
      <c r="S35" s="1133"/>
      <c r="T35" s="1133"/>
      <c r="U35" s="19"/>
      <c r="X35" s="20"/>
      <c r="Y35" s="20"/>
      <c r="Z35" s="20"/>
      <c r="AA35" s="28"/>
      <c r="AB35" s="29"/>
      <c r="AC35" s="29"/>
      <c r="AD35" s="29"/>
      <c r="AE35" s="29"/>
      <c r="AF35" s="12"/>
      <c r="AG35" s="12"/>
      <c r="AH35" s="12"/>
      <c r="AI35" s="12"/>
      <c r="AJ35" s="12"/>
      <c r="AK35" s="17"/>
      <c r="AL35" s="18"/>
      <c r="AM35" s="18"/>
      <c r="AN35" s="18"/>
      <c r="AO35" s="18"/>
      <c r="AR35" s="20"/>
      <c r="AS35" s="20"/>
      <c r="AT35" s="20"/>
      <c r="AU35" s="28"/>
      <c r="AV35" s="29"/>
      <c r="AW35" s="29"/>
      <c r="AX35" s="29"/>
      <c r="AY35" s="29"/>
      <c r="AZ35" s="12"/>
      <c r="BA35" s="12"/>
      <c r="BB35" s="12"/>
      <c r="BC35" s="12"/>
      <c r="BD35" s="12"/>
      <c r="BE35" s="17"/>
      <c r="BF35" s="18"/>
      <c r="BG35" s="18"/>
      <c r="BH35" s="18"/>
      <c r="BI35" s="18"/>
    </row>
    <row r="36" spans="3:61" ht="13" customHeight="1">
      <c r="C36" s="5"/>
      <c r="D36" s="1140"/>
      <c r="E36" s="1140"/>
      <c r="F36" s="1140"/>
      <c r="G36" s="1138"/>
      <c r="H36" s="1136"/>
      <c r="I36" s="1136"/>
      <c r="J36" s="1136"/>
      <c r="K36" s="1136"/>
      <c r="L36" s="12"/>
      <c r="M36" s="12"/>
      <c r="N36" s="12"/>
      <c r="O36" s="12"/>
      <c r="P36" s="12"/>
      <c r="Q36" s="1133"/>
      <c r="R36" s="1133"/>
      <c r="S36" s="1133"/>
      <c r="T36" s="1133"/>
      <c r="U36" s="19"/>
      <c r="X36" s="20"/>
      <c r="Y36" s="20"/>
      <c r="Z36" s="20"/>
      <c r="AA36" s="28"/>
      <c r="AB36" s="29"/>
      <c r="AC36" s="29"/>
      <c r="AD36" s="29"/>
      <c r="AE36" s="29"/>
      <c r="AF36" s="12"/>
      <c r="AG36" s="12"/>
      <c r="AH36" s="12"/>
      <c r="AI36" s="12"/>
      <c r="AJ36" s="12"/>
      <c r="AK36" s="18"/>
      <c r="AL36" s="18"/>
      <c r="AM36" s="18"/>
      <c r="AN36" s="18"/>
      <c r="AO36" s="18"/>
      <c r="AR36" s="20"/>
      <c r="AS36" s="20"/>
      <c r="AT36" s="20"/>
      <c r="AU36" s="28"/>
      <c r="AV36" s="29"/>
      <c r="AW36" s="29"/>
      <c r="AX36" s="29"/>
      <c r="AY36" s="29"/>
      <c r="AZ36" s="12"/>
      <c r="BA36" s="12"/>
      <c r="BB36" s="12"/>
      <c r="BC36" s="12"/>
      <c r="BD36" s="12"/>
      <c r="BE36" s="18"/>
      <c r="BF36" s="18"/>
      <c r="BG36" s="18"/>
      <c r="BH36" s="18"/>
      <c r="BI36" s="18"/>
    </row>
    <row r="37" spans="3:61" ht="13" customHeight="1">
      <c r="C37" s="5"/>
      <c r="D37" s="1141"/>
      <c r="E37" s="1141"/>
      <c r="F37" s="1141"/>
      <c r="G37" s="1138"/>
      <c r="H37" s="1137"/>
      <c r="I37" s="1137"/>
      <c r="J37" s="1137"/>
      <c r="K37" s="1137"/>
      <c r="L37" s="12"/>
      <c r="M37" s="12"/>
      <c r="N37" s="12"/>
      <c r="O37" s="12"/>
      <c r="P37" s="12"/>
      <c r="Q37" s="1133"/>
      <c r="R37" s="1133"/>
      <c r="S37" s="1133"/>
      <c r="T37" s="1133"/>
      <c r="U37" s="19"/>
      <c r="X37" s="20"/>
      <c r="Y37" s="20"/>
      <c r="Z37" s="20"/>
      <c r="AA37" s="28"/>
      <c r="AB37" s="29"/>
      <c r="AC37" s="29"/>
      <c r="AD37" s="29"/>
      <c r="AE37" s="29"/>
      <c r="AF37" s="12"/>
      <c r="AG37" s="12"/>
      <c r="AH37" s="12"/>
      <c r="AI37" s="12"/>
      <c r="AJ37" s="12"/>
      <c r="AK37" s="18"/>
      <c r="AL37" s="18"/>
      <c r="AM37" s="18"/>
      <c r="AN37" s="18"/>
      <c r="AO37" s="18"/>
      <c r="AR37" s="20"/>
      <c r="AS37" s="20"/>
      <c r="AT37" s="20"/>
      <c r="AU37" s="28"/>
      <c r="AV37" s="29"/>
      <c r="AW37" s="29"/>
      <c r="AX37" s="29"/>
      <c r="AY37" s="29"/>
      <c r="AZ37" s="12"/>
      <c r="BA37" s="12"/>
      <c r="BB37" s="12"/>
      <c r="BC37" s="12"/>
      <c r="BD37" s="12"/>
      <c r="BE37" s="18"/>
      <c r="BF37" s="18"/>
      <c r="BG37" s="18"/>
      <c r="BH37" s="18"/>
      <c r="BI37" s="18"/>
    </row>
    <row r="38" spans="3:61" ht="13" customHeight="1">
      <c r="C38" s="5"/>
      <c r="D38" s="1134" t="str">
        <f>VLOOKUP(F$2,購入者リスト!$B:$J,9,FALSE)</f>
        <v>福島県 会津若松市 金川町7-23</v>
      </c>
      <c r="E38" s="1134"/>
      <c r="F38" s="1134"/>
      <c r="G38" s="1134"/>
      <c r="H38" s="1134"/>
      <c r="I38" s="1134"/>
      <c r="J38" s="1134"/>
      <c r="K38" s="1134"/>
      <c r="L38" s="1134"/>
      <c r="M38" s="1134"/>
      <c r="N38" s="1134"/>
      <c r="O38" s="1134"/>
      <c r="P38" s="1134"/>
      <c r="Q38" s="1134"/>
      <c r="R38" s="1134"/>
      <c r="S38" s="1134"/>
      <c r="T38" s="1134"/>
      <c r="U38" s="21"/>
      <c r="X38" s="6"/>
      <c r="Y38" s="6"/>
      <c r="Z38" s="6"/>
      <c r="AA38" s="6"/>
      <c r="AB38" s="6"/>
      <c r="AC38" s="6"/>
      <c r="AD38" s="6"/>
      <c r="AE38" s="6"/>
      <c r="AF38" s="6"/>
      <c r="AG38" s="6"/>
      <c r="AH38" s="6"/>
      <c r="AI38" s="6"/>
      <c r="AJ38" s="6"/>
      <c r="AK38" s="6"/>
      <c r="AL38" s="6"/>
      <c r="AM38" s="6"/>
      <c r="AN38" s="6"/>
      <c r="AR38" s="6"/>
      <c r="AS38" s="6"/>
      <c r="AT38" s="6"/>
      <c r="AU38" s="6"/>
      <c r="AV38" s="6"/>
      <c r="AW38" s="6"/>
      <c r="AX38" s="6"/>
      <c r="AY38" s="6"/>
      <c r="AZ38" s="6"/>
      <c r="BA38" s="6"/>
      <c r="BB38" s="6"/>
      <c r="BC38" s="6"/>
      <c r="BD38" s="6"/>
      <c r="BE38" s="6"/>
      <c r="BF38" s="6"/>
      <c r="BG38" s="6"/>
      <c r="BH38" s="6"/>
    </row>
    <row r="39" spans="3:61" ht="13" customHeight="1">
      <c r="C39" s="5"/>
      <c r="D39" s="1134"/>
      <c r="E39" s="1134"/>
      <c r="F39" s="1134"/>
      <c r="G39" s="1134"/>
      <c r="H39" s="1134"/>
      <c r="I39" s="1134"/>
      <c r="J39" s="1134"/>
      <c r="K39" s="1134"/>
      <c r="L39" s="1134"/>
      <c r="M39" s="1134"/>
      <c r="N39" s="1134"/>
      <c r="O39" s="1134"/>
      <c r="P39" s="1134"/>
      <c r="Q39" s="1134"/>
      <c r="R39" s="1134"/>
      <c r="S39" s="1134"/>
      <c r="T39" s="1134"/>
      <c r="U39" s="21"/>
      <c r="X39" s="6"/>
      <c r="Y39" s="6"/>
      <c r="Z39" s="6"/>
      <c r="AA39" s="6"/>
      <c r="AB39" s="6"/>
      <c r="AC39" s="6"/>
      <c r="AD39" s="6"/>
      <c r="AE39" s="6"/>
      <c r="AF39" s="6"/>
      <c r="AG39" s="6"/>
      <c r="AH39" s="6"/>
      <c r="AI39" s="6"/>
      <c r="AJ39" s="6"/>
      <c r="AK39" s="6"/>
      <c r="AL39" s="6"/>
      <c r="AM39" s="6"/>
      <c r="AN39" s="6"/>
      <c r="AR39" s="6"/>
      <c r="AS39" s="6"/>
      <c r="AT39" s="6"/>
      <c r="AU39" s="6"/>
      <c r="AV39" s="6"/>
      <c r="AW39" s="6"/>
      <c r="AX39" s="6"/>
      <c r="AY39" s="6"/>
      <c r="AZ39" s="6"/>
      <c r="BA39" s="6"/>
      <c r="BB39" s="6"/>
      <c r="BC39" s="6"/>
      <c r="BD39" s="6"/>
      <c r="BE39" s="6"/>
      <c r="BF39" s="6"/>
      <c r="BG39" s="6"/>
      <c r="BH39" s="6"/>
    </row>
    <row r="40" spans="3:61" ht="4" customHeight="1">
      <c r="C40" s="5"/>
      <c r="D40" s="1134"/>
      <c r="E40" s="1134"/>
      <c r="F40" s="1134"/>
      <c r="G40" s="1134"/>
      <c r="H40" s="1134"/>
      <c r="I40" s="1134"/>
      <c r="J40" s="1134"/>
      <c r="K40" s="1134"/>
      <c r="L40" s="1134"/>
      <c r="M40" s="1134"/>
      <c r="N40" s="1134"/>
      <c r="O40" s="1134"/>
      <c r="P40" s="1134"/>
      <c r="Q40" s="1134"/>
      <c r="R40" s="1134"/>
      <c r="S40" s="1134"/>
      <c r="T40" s="1134"/>
      <c r="U40" s="21"/>
      <c r="X40" s="6"/>
      <c r="Y40" s="6"/>
      <c r="Z40" s="6"/>
      <c r="AA40" s="6"/>
      <c r="AB40" s="6"/>
      <c r="AC40" s="6"/>
      <c r="AD40" s="6"/>
      <c r="AE40" s="6"/>
      <c r="AF40" s="6"/>
      <c r="AG40" s="6"/>
      <c r="AH40" s="6"/>
      <c r="AI40" s="6"/>
      <c r="AJ40" s="6"/>
      <c r="AK40" s="6"/>
      <c r="AL40" s="6"/>
      <c r="AM40" s="6"/>
      <c r="AN40" s="6"/>
      <c r="AR40" s="6"/>
      <c r="AS40" s="6"/>
      <c r="AT40" s="6"/>
      <c r="AU40" s="6"/>
      <c r="AV40" s="6"/>
      <c r="AW40" s="6"/>
      <c r="AX40" s="6"/>
      <c r="AY40" s="6"/>
      <c r="AZ40" s="6"/>
      <c r="BA40" s="6"/>
      <c r="BB40" s="6"/>
      <c r="BC40" s="6"/>
      <c r="BD40" s="6"/>
      <c r="BE40" s="6"/>
      <c r="BF40" s="6"/>
      <c r="BG40" s="6"/>
      <c r="BH40" s="6"/>
    </row>
    <row r="41" spans="3:61" ht="13" customHeight="1">
      <c r="C41" s="5"/>
      <c r="F41" s="1142" t="str">
        <f>VLOOKUP(F$2,購入者リスト!$B:$J,7,FALSE)</f>
        <v>穴澤 千佳</v>
      </c>
      <c r="G41" s="1142"/>
      <c r="H41" s="1142"/>
      <c r="I41" s="1142"/>
      <c r="J41" s="1142"/>
      <c r="K41" s="1142"/>
      <c r="L41" s="1142"/>
      <c r="M41" s="1142"/>
      <c r="N41" s="1143" t="s">
        <v>3238</v>
      </c>
      <c r="O41" s="1144"/>
      <c r="P41" s="14"/>
      <c r="Q41" s="14"/>
      <c r="R41" s="14"/>
      <c r="S41" s="14"/>
      <c r="U41" s="22"/>
      <c r="Z41" s="7"/>
      <c r="AA41" s="7"/>
      <c r="AB41" s="7"/>
      <c r="AC41" s="7"/>
      <c r="AD41" s="7"/>
      <c r="AE41" s="7"/>
      <c r="AF41" s="7"/>
      <c r="AG41" s="7"/>
      <c r="AH41" s="13"/>
      <c r="AI41" s="14"/>
      <c r="AJ41" s="14"/>
      <c r="AK41" s="14"/>
      <c r="AL41" s="14"/>
      <c r="AM41" s="14"/>
      <c r="AO41" s="30"/>
      <c r="AT41" s="7"/>
      <c r="AU41" s="7"/>
      <c r="AV41" s="7"/>
      <c r="AW41" s="7"/>
      <c r="AX41" s="7"/>
      <c r="AY41" s="7"/>
      <c r="AZ41" s="7"/>
      <c r="BA41" s="7"/>
      <c r="BB41" s="13"/>
      <c r="BC41" s="14"/>
      <c r="BD41" s="14"/>
      <c r="BE41" s="14"/>
      <c r="BF41" s="14"/>
      <c r="BG41" s="14"/>
      <c r="BI41" s="30"/>
    </row>
    <row r="42" spans="3:61" ht="13" customHeight="1">
      <c r="C42" s="5"/>
      <c r="F42" s="1142"/>
      <c r="G42" s="1142"/>
      <c r="H42" s="1142"/>
      <c r="I42" s="1142"/>
      <c r="J42" s="1142"/>
      <c r="K42" s="1142"/>
      <c r="L42" s="1142"/>
      <c r="M42" s="1142"/>
      <c r="N42" s="1144"/>
      <c r="O42" s="1144"/>
      <c r="P42" s="14"/>
      <c r="Q42" s="14"/>
      <c r="R42" s="14"/>
      <c r="S42" s="14"/>
      <c r="U42" s="23"/>
      <c r="Z42" s="7"/>
      <c r="AA42" s="7"/>
      <c r="AB42" s="7"/>
      <c r="AC42" s="7"/>
      <c r="AD42" s="7"/>
      <c r="AE42" s="7"/>
      <c r="AF42" s="7"/>
      <c r="AG42" s="7"/>
      <c r="AH42" s="14"/>
      <c r="AI42" s="14"/>
      <c r="AJ42" s="14"/>
      <c r="AK42" s="14"/>
      <c r="AL42" s="14"/>
      <c r="AM42" s="14"/>
      <c r="AO42" s="31"/>
      <c r="AT42" s="7"/>
      <c r="AU42" s="7"/>
      <c r="AV42" s="7"/>
      <c r="AW42" s="7"/>
      <c r="AX42" s="7"/>
      <c r="AY42" s="7"/>
      <c r="AZ42" s="7"/>
      <c r="BA42" s="7"/>
      <c r="BB42" s="14"/>
      <c r="BC42" s="14"/>
      <c r="BD42" s="14"/>
      <c r="BE42" s="14"/>
      <c r="BF42" s="14"/>
      <c r="BG42" s="14"/>
      <c r="BI42" s="31"/>
    </row>
    <row r="43" spans="3:61" ht="13" customHeight="1">
      <c r="C43" s="5"/>
      <c r="F43" s="1142"/>
      <c r="G43" s="1142"/>
      <c r="H43" s="1142"/>
      <c r="I43" s="1142"/>
      <c r="J43" s="1142"/>
      <c r="K43" s="1142"/>
      <c r="L43" s="1142"/>
      <c r="M43" s="1142"/>
      <c r="N43" s="1144"/>
      <c r="O43" s="1144"/>
      <c r="Q43" s="24"/>
      <c r="U43" s="21"/>
      <c r="Z43" s="7"/>
      <c r="AA43" s="7"/>
      <c r="AB43" s="7"/>
      <c r="AC43" s="7"/>
      <c r="AD43" s="7"/>
      <c r="AE43" s="7"/>
      <c r="AF43" s="7"/>
      <c r="AG43" s="7"/>
      <c r="AH43" s="14"/>
      <c r="AI43" s="14"/>
      <c r="AK43" s="24"/>
      <c r="AT43" s="7"/>
      <c r="AU43" s="7"/>
      <c r="AV43" s="7"/>
      <c r="AW43" s="7"/>
      <c r="AX43" s="7"/>
      <c r="AY43" s="7"/>
      <c r="AZ43" s="7"/>
      <c r="BA43" s="7"/>
      <c r="BB43" s="14"/>
      <c r="BC43" s="14"/>
      <c r="BE43" s="24"/>
    </row>
    <row r="44" spans="3:61" s="1" customFormat="1" ht="4" customHeight="1">
      <c r="C44" s="8"/>
      <c r="U44" s="25"/>
    </row>
    <row r="45" spans="3:61" s="1" customFormat="1" ht="12.65" customHeight="1">
      <c r="C45" s="8"/>
      <c r="G45" s="9" t="s">
        <v>3239</v>
      </c>
      <c r="K45" s="1145" t="s">
        <v>3240</v>
      </c>
      <c r="L45" s="1145"/>
      <c r="M45" s="1145"/>
      <c r="N45" s="1145"/>
      <c r="O45" s="1145"/>
      <c r="P45" s="1145"/>
      <c r="Q45" s="1145"/>
      <c r="R45" s="1145"/>
      <c r="S45" s="1145"/>
      <c r="T45" s="1145"/>
      <c r="U45" s="1146"/>
      <c r="AA45" s="9"/>
      <c r="AE45" s="15"/>
      <c r="AF45" s="15"/>
      <c r="AG45" s="15"/>
      <c r="AH45" s="15"/>
      <c r="AI45" s="15"/>
      <c r="AJ45" s="15"/>
      <c r="AK45" s="15"/>
      <c r="AL45" s="15"/>
      <c r="AM45" s="15"/>
      <c r="AN45" s="15"/>
      <c r="AO45" s="15"/>
      <c r="AU45" s="9"/>
      <c r="AY45" s="15"/>
      <c r="AZ45" s="15"/>
      <c r="BA45" s="15"/>
      <c r="BB45" s="15"/>
      <c r="BC45" s="15"/>
      <c r="BD45" s="15"/>
      <c r="BE45" s="15"/>
      <c r="BF45" s="15"/>
      <c r="BG45" s="15"/>
      <c r="BH45" s="15"/>
      <c r="BI45" s="15"/>
    </row>
    <row r="46" spans="3:61" s="1" customFormat="1" ht="4" customHeight="1">
      <c r="C46" s="8"/>
      <c r="U46" s="25"/>
    </row>
    <row r="47" spans="3:61" s="1" customFormat="1" ht="14" customHeight="1">
      <c r="C47" s="8"/>
      <c r="P47" s="9" t="s">
        <v>3241</v>
      </c>
      <c r="T47" s="26" t="s">
        <v>3242</v>
      </c>
      <c r="U47" s="25"/>
      <c r="AJ47" s="9"/>
      <c r="AN47" s="26"/>
      <c r="BD47" s="9"/>
      <c r="BH47" s="26"/>
    </row>
    <row r="48" spans="3:61" s="1" customFormat="1" ht="13" customHeight="1">
      <c r="C48" s="10"/>
      <c r="D48" s="11"/>
      <c r="E48" s="11"/>
      <c r="F48" s="11"/>
      <c r="G48" s="11"/>
      <c r="H48" s="11"/>
      <c r="I48" s="11"/>
      <c r="J48" s="11"/>
      <c r="K48" s="11"/>
      <c r="L48" s="11"/>
      <c r="M48" s="11"/>
      <c r="N48" s="11"/>
      <c r="O48" s="11"/>
      <c r="P48" s="11"/>
      <c r="Q48" s="11"/>
      <c r="R48" s="11"/>
      <c r="S48" s="11"/>
      <c r="T48" s="11"/>
      <c r="U48" s="27"/>
      <c r="AO48" s="32"/>
      <c r="BI48" s="32"/>
    </row>
    <row r="49" spans="3:61" ht="13" customHeight="1">
      <c r="C49" s="3"/>
      <c r="D49" s="4"/>
      <c r="E49" s="4"/>
      <c r="F49" s="4"/>
      <c r="G49" s="4"/>
      <c r="H49" s="4"/>
      <c r="I49" s="4"/>
      <c r="J49" s="4"/>
      <c r="K49" s="4"/>
      <c r="L49" s="4"/>
      <c r="M49" s="4"/>
      <c r="N49" s="4"/>
      <c r="O49" s="4"/>
      <c r="P49" s="4"/>
      <c r="Q49" s="4"/>
      <c r="R49" s="4"/>
      <c r="S49" s="4"/>
      <c r="T49" s="4"/>
      <c r="U49" s="16"/>
    </row>
    <row r="50" spans="3:61" ht="13" customHeight="1">
      <c r="C50" s="5"/>
      <c r="D50" s="1139" t="str">
        <f>LEFT(VLOOKUP(G$2,購入者リスト!$B:$J,8,FALSE),1)</f>
        <v>9</v>
      </c>
      <c r="E50" s="1139" t="str">
        <f>MID(VLOOKUP(G$2,購入者リスト!$B:$J,8,FALSE),2,1)</f>
        <v>6</v>
      </c>
      <c r="F50" s="1139" t="str">
        <f>MID(VLOOKUP(G$2,購入者リスト!$B:$J,8,FALSE),3,1)</f>
        <v>5</v>
      </c>
      <c r="G50" s="1138"/>
      <c r="H50" s="1135" t="str">
        <f>MID(VLOOKUP(G$2,購入者リスト!$B:$J,8,FALSE),5,1)</f>
        <v>0</v>
      </c>
      <c r="I50" s="1135" t="str">
        <f>MID(VLOOKUP(G$2,購入者リスト!$B:$J,8,FALSE),6,1)</f>
        <v>0</v>
      </c>
      <c r="J50" s="1135" t="str">
        <f>MID(VLOOKUP(G$2,購入者リスト!$B:$J,8,FALSE),7,1)</f>
        <v>5</v>
      </c>
      <c r="K50" s="1135" t="str">
        <f>MID(VLOOKUP(G$2,購入者リスト!$B:$J,8,FALSE),8,1)</f>
        <v>6</v>
      </c>
      <c r="L50" s="12"/>
      <c r="M50" s="12"/>
      <c r="N50" s="12"/>
      <c r="O50" s="12"/>
      <c r="P50" s="12"/>
      <c r="Q50" s="1132" t="s">
        <v>3235</v>
      </c>
      <c r="R50" s="1133"/>
      <c r="S50" s="1133"/>
      <c r="T50" s="1133"/>
      <c r="U50" s="19"/>
      <c r="X50" s="20"/>
      <c r="Y50" s="20"/>
      <c r="Z50" s="20"/>
      <c r="AA50" s="28"/>
      <c r="AB50" s="29"/>
      <c r="AC50" s="29"/>
      <c r="AD50" s="29"/>
      <c r="AE50" s="29"/>
      <c r="AF50" s="12"/>
      <c r="AG50" s="12"/>
      <c r="AH50" s="12"/>
      <c r="AI50" s="12"/>
      <c r="AJ50" s="12"/>
      <c r="AK50" s="17"/>
      <c r="AL50" s="18"/>
      <c r="AM50" s="18"/>
      <c r="AN50" s="18"/>
      <c r="AO50" s="18"/>
      <c r="AR50" s="20"/>
      <c r="AS50" s="20"/>
      <c r="AT50" s="20"/>
      <c r="AU50" s="28"/>
      <c r="AV50" s="29"/>
      <c r="AW50" s="29"/>
      <c r="AX50" s="29"/>
      <c r="AY50" s="29"/>
      <c r="AZ50" s="12"/>
      <c r="BA50" s="12"/>
      <c r="BB50" s="12"/>
      <c r="BC50" s="12"/>
      <c r="BD50" s="12"/>
      <c r="BE50" s="17"/>
      <c r="BF50" s="18"/>
      <c r="BG50" s="18"/>
      <c r="BH50" s="18"/>
      <c r="BI50" s="18"/>
    </row>
    <row r="51" spans="3:61" ht="13" customHeight="1">
      <c r="C51" s="5"/>
      <c r="D51" s="1140"/>
      <c r="E51" s="1140"/>
      <c r="F51" s="1140"/>
      <c r="G51" s="1138"/>
      <c r="H51" s="1136"/>
      <c r="I51" s="1136"/>
      <c r="J51" s="1136"/>
      <c r="K51" s="1136"/>
      <c r="L51" s="12"/>
      <c r="M51" s="12"/>
      <c r="N51" s="12"/>
      <c r="O51" s="12"/>
      <c r="P51" s="12"/>
      <c r="Q51" s="1133"/>
      <c r="R51" s="1133"/>
      <c r="S51" s="1133"/>
      <c r="T51" s="1133"/>
      <c r="U51" s="19"/>
      <c r="X51" s="20"/>
      <c r="Y51" s="20"/>
      <c r="Z51" s="20"/>
      <c r="AA51" s="28"/>
      <c r="AB51" s="29"/>
      <c r="AC51" s="29"/>
      <c r="AD51" s="29"/>
      <c r="AE51" s="29"/>
      <c r="AF51" s="12"/>
      <c r="AG51" s="12"/>
      <c r="AH51" s="12"/>
      <c r="AI51" s="12"/>
      <c r="AJ51" s="12"/>
      <c r="AK51" s="18"/>
      <c r="AL51" s="18"/>
      <c r="AM51" s="18"/>
      <c r="AN51" s="18"/>
      <c r="AO51" s="18"/>
      <c r="AR51" s="20"/>
      <c r="AS51" s="20"/>
      <c r="AT51" s="20"/>
      <c r="AU51" s="28"/>
      <c r="AV51" s="29"/>
      <c r="AW51" s="29"/>
      <c r="AX51" s="29"/>
      <c r="AY51" s="29"/>
      <c r="AZ51" s="12"/>
      <c r="BA51" s="12"/>
      <c r="BB51" s="12"/>
      <c r="BC51" s="12"/>
      <c r="BD51" s="12"/>
      <c r="BE51" s="18"/>
      <c r="BF51" s="18"/>
      <c r="BG51" s="18"/>
      <c r="BH51" s="18"/>
      <c r="BI51" s="18"/>
    </row>
    <row r="52" spans="3:61" ht="13" customHeight="1">
      <c r="C52" s="5"/>
      <c r="D52" s="1141"/>
      <c r="E52" s="1141"/>
      <c r="F52" s="1141"/>
      <c r="G52" s="1138"/>
      <c r="H52" s="1137"/>
      <c r="I52" s="1137"/>
      <c r="J52" s="1137"/>
      <c r="K52" s="1137"/>
      <c r="L52" s="12"/>
      <c r="M52" s="12"/>
      <c r="N52" s="12"/>
      <c r="O52" s="12"/>
      <c r="P52" s="12"/>
      <c r="Q52" s="1133"/>
      <c r="R52" s="1133"/>
      <c r="S52" s="1133"/>
      <c r="T52" s="1133"/>
      <c r="U52" s="19"/>
      <c r="X52" s="20"/>
      <c r="Y52" s="20"/>
      <c r="Z52" s="20"/>
      <c r="AA52" s="28"/>
      <c r="AB52" s="29"/>
      <c r="AC52" s="29"/>
      <c r="AD52" s="29"/>
      <c r="AE52" s="29"/>
      <c r="AF52" s="12"/>
      <c r="AG52" s="12"/>
      <c r="AH52" s="12"/>
      <c r="AI52" s="12"/>
      <c r="AJ52" s="12"/>
      <c r="AK52" s="18"/>
      <c r="AL52" s="18"/>
      <c r="AM52" s="18"/>
      <c r="AN52" s="18"/>
      <c r="AO52" s="18"/>
      <c r="AR52" s="20"/>
      <c r="AS52" s="20"/>
      <c r="AT52" s="20"/>
      <c r="AU52" s="28"/>
      <c r="AV52" s="29"/>
      <c r="AW52" s="29"/>
      <c r="AX52" s="29"/>
      <c r="AY52" s="29"/>
      <c r="AZ52" s="12"/>
      <c r="BA52" s="12"/>
      <c r="BB52" s="12"/>
      <c r="BC52" s="12"/>
      <c r="BD52" s="12"/>
      <c r="BE52" s="18"/>
      <c r="BF52" s="18"/>
      <c r="BG52" s="18"/>
      <c r="BH52" s="18"/>
      <c r="BI52" s="18"/>
    </row>
    <row r="53" spans="3:61" ht="13" customHeight="1">
      <c r="C53" s="5"/>
      <c r="D53" s="1134" t="str">
        <f>VLOOKUP(G$2,購入者リスト!$B:$J,9,FALSE)</f>
        <v>福島県 会津若松市 金川町7-23</v>
      </c>
      <c r="E53" s="1134"/>
      <c r="F53" s="1134"/>
      <c r="G53" s="1134"/>
      <c r="H53" s="1134"/>
      <c r="I53" s="1134"/>
      <c r="J53" s="1134"/>
      <c r="K53" s="1134"/>
      <c r="L53" s="1134"/>
      <c r="M53" s="1134"/>
      <c r="N53" s="1134"/>
      <c r="O53" s="1134"/>
      <c r="P53" s="1134"/>
      <c r="Q53" s="1134"/>
      <c r="R53" s="1134"/>
      <c r="S53" s="1134"/>
      <c r="T53" s="1134"/>
      <c r="U53" s="21"/>
      <c r="X53" s="6"/>
      <c r="Y53" s="6"/>
      <c r="Z53" s="6"/>
      <c r="AA53" s="6"/>
      <c r="AB53" s="6"/>
      <c r="AC53" s="6"/>
      <c r="AD53" s="6"/>
      <c r="AE53" s="6"/>
      <c r="AF53" s="6"/>
      <c r="AG53" s="6"/>
      <c r="AH53" s="6"/>
      <c r="AI53" s="6"/>
      <c r="AJ53" s="6"/>
      <c r="AK53" s="6"/>
      <c r="AL53" s="6"/>
      <c r="AM53" s="6"/>
      <c r="AN53" s="6"/>
      <c r="AR53" s="6"/>
      <c r="AS53" s="6"/>
      <c r="AT53" s="6"/>
      <c r="AU53" s="6"/>
      <c r="AV53" s="6"/>
      <c r="AW53" s="6"/>
      <c r="AX53" s="6"/>
      <c r="AY53" s="6"/>
      <c r="AZ53" s="6"/>
      <c r="BA53" s="6"/>
      <c r="BB53" s="6"/>
      <c r="BC53" s="6"/>
      <c r="BD53" s="6"/>
      <c r="BE53" s="6"/>
      <c r="BF53" s="6"/>
      <c r="BG53" s="6"/>
      <c r="BH53" s="6"/>
    </row>
    <row r="54" spans="3:61" ht="13" customHeight="1">
      <c r="C54" s="5"/>
      <c r="D54" s="1134"/>
      <c r="E54" s="1134"/>
      <c r="F54" s="1134"/>
      <c r="G54" s="1134"/>
      <c r="H54" s="1134"/>
      <c r="I54" s="1134"/>
      <c r="J54" s="1134"/>
      <c r="K54" s="1134"/>
      <c r="L54" s="1134"/>
      <c r="M54" s="1134"/>
      <c r="N54" s="1134"/>
      <c r="O54" s="1134"/>
      <c r="P54" s="1134"/>
      <c r="Q54" s="1134"/>
      <c r="R54" s="1134"/>
      <c r="S54" s="1134"/>
      <c r="T54" s="1134"/>
      <c r="U54" s="21"/>
      <c r="X54" s="6"/>
      <c r="Y54" s="6"/>
      <c r="Z54" s="6"/>
      <c r="AA54" s="6"/>
      <c r="AB54" s="6"/>
      <c r="AC54" s="6"/>
      <c r="AD54" s="6"/>
      <c r="AE54" s="6"/>
      <c r="AF54" s="6"/>
      <c r="AG54" s="6"/>
      <c r="AH54" s="6"/>
      <c r="AI54" s="6"/>
      <c r="AJ54" s="6"/>
      <c r="AK54" s="6"/>
      <c r="AL54" s="6"/>
      <c r="AM54" s="6"/>
      <c r="AN54" s="6"/>
      <c r="AR54" s="6"/>
      <c r="AS54" s="6"/>
      <c r="AT54" s="6"/>
      <c r="AU54" s="6"/>
      <c r="AV54" s="6"/>
      <c r="AW54" s="6"/>
      <c r="AX54" s="6"/>
      <c r="AY54" s="6"/>
      <c r="AZ54" s="6"/>
      <c r="BA54" s="6"/>
      <c r="BB54" s="6"/>
      <c r="BC54" s="6"/>
      <c r="BD54" s="6"/>
      <c r="BE54" s="6"/>
      <c r="BF54" s="6"/>
      <c r="BG54" s="6"/>
      <c r="BH54" s="6"/>
    </row>
    <row r="55" spans="3:61" ht="4" customHeight="1">
      <c r="C55" s="5"/>
      <c r="D55" s="1134"/>
      <c r="E55" s="1134"/>
      <c r="F55" s="1134"/>
      <c r="G55" s="1134"/>
      <c r="H55" s="1134"/>
      <c r="I55" s="1134"/>
      <c r="J55" s="1134"/>
      <c r="K55" s="1134"/>
      <c r="L55" s="1134"/>
      <c r="M55" s="1134"/>
      <c r="N55" s="1134"/>
      <c r="O55" s="1134"/>
      <c r="P55" s="1134"/>
      <c r="Q55" s="1134"/>
      <c r="R55" s="1134"/>
      <c r="S55" s="1134"/>
      <c r="T55" s="1134"/>
      <c r="U55" s="21"/>
      <c r="X55" s="6"/>
      <c r="Y55" s="6"/>
      <c r="Z55" s="6"/>
      <c r="AA55" s="6"/>
      <c r="AB55" s="6"/>
      <c r="AC55" s="6"/>
      <c r="AD55" s="6"/>
      <c r="AE55" s="6"/>
      <c r="AF55" s="6"/>
      <c r="AG55" s="6"/>
      <c r="AH55" s="6"/>
      <c r="AI55" s="6"/>
      <c r="AJ55" s="6"/>
      <c r="AK55" s="6"/>
      <c r="AL55" s="6"/>
      <c r="AM55" s="6"/>
      <c r="AN55" s="6"/>
      <c r="AR55" s="6"/>
      <c r="AS55" s="6"/>
      <c r="AT55" s="6"/>
      <c r="AU55" s="6"/>
      <c r="AV55" s="6"/>
      <c r="AW55" s="6"/>
      <c r="AX55" s="6"/>
      <c r="AY55" s="6"/>
      <c r="AZ55" s="6"/>
      <c r="BA55" s="6"/>
      <c r="BB55" s="6"/>
      <c r="BC55" s="6"/>
      <c r="BD55" s="6"/>
      <c r="BE55" s="6"/>
      <c r="BF55" s="6"/>
      <c r="BG55" s="6"/>
      <c r="BH55" s="6"/>
    </row>
    <row r="56" spans="3:61" ht="13" customHeight="1">
      <c r="C56" s="5"/>
      <c r="F56" s="1142" t="str">
        <f>VLOOKUP(G$2,購入者リスト!$B:$J,7,FALSE)</f>
        <v>穴澤 千佳</v>
      </c>
      <c r="G56" s="1142"/>
      <c r="H56" s="1142"/>
      <c r="I56" s="1142"/>
      <c r="J56" s="1142"/>
      <c r="K56" s="1142"/>
      <c r="L56" s="1142"/>
      <c r="M56" s="1142"/>
      <c r="N56" s="1143" t="s">
        <v>3238</v>
      </c>
      <c r="O56" s="1144"/>
      <c r="P56" s="14"/>
      <c r="Q56" s="14"/>
      <c r="R56" s="14"/>
      <c r="S56" s="14"/>
      <c r="U56" s="22"/>
      <c r="Z56" s="7"/>
      <c r="AA56" s="7"/>
      <c r="AB56" s="7"/>
      <c r="AC56" s="7"/>
      <c r="AD56" s="7"/>
      <c r="AE56" s="7"/>
      <c r="AF56" s="7"/>
      <c r="AG56" s="7"/>
      <c r="AH56" s="13"/>
      <c r="AI56" s="14"/>
      <c r="AJ56" s="14"/>
      <c r="AK56" s="14"/>
      <c r="AL56" s="14"/>
      <c r="AM56" s="14"/>
      <c r="AO56" s="30"/>
      <c r="AT56" s="7"/>
      <c r="AU56" s="7"/>
      <c r="AV56" s="7"/>
      <c r="AW56" s="7"/>
      <c r="AX56" s="7"/>
      <c r="AY56" s="7"/>
      <c r="AZ56" s="7"/>
      <c r="BA56" s="7"/>
      <c r="BB56" s="13"/>
      <c r="BC56" s="14"/>
      <c r="BD56" s="14"/>
      <c r="BE56" s="14"/>
      <c r="BF56" s="14"/>
      <c r="BG56" s="14"/>
      <c r="BI56" s="30"/>
    </row>
    <row r="57" spans="3:61" ht="13" customHeight="1">
      <c r="C57" s="5"/>
      <c r="F57" s="1142"/>
      <c r="G57" s="1142"/>
      <c r="H57" s="1142"/>
      <c r="I57" s="1142"/>
      <c r="J57" s="1142"/>
      <c r="K57" s="1142"/>
      <c r="L57" s="1142"/>
      <c r="M57" s="1142"/>
      <c r="N57" s="1144"/>
      <c r="O57" s="1144"/>
      <c r="P57" s="14"/>
      <c r="Q57" s="14"/>
      <c r="R57" s="14"/>
      <c r="S57" s="14"/>
      <c r="U57" s="23"/>
      <c r="Z57" s="7"/>
      <c r="AA57" s="7"/>
      <c r="AB57" s="7"/>
      <c r="AC57" s="7"/>
      <c r="AD57" s="7"/>
      <c r="AE57" s="7"/>
      <c r="AF57" s="7"/>
      <c r="AG57" s="7"/>
      <c r="AH57" s="14"/>
      <c r="AI57" s="14"/>
      <c r="AJ57" s="14"/>
      <c r="AK57" s="14"/>
      <c r="AL57" s="14"/>
      <c r="AM57" s="14"/>
      <c r="AO57" s="31"/>
      <c r="AT57" s="7"/>
      <c r="AU57" s="7"/>
      <c r="AV57" s="7"/>
      <c r="AW57" s="7"/>
      <c r="AX57" s="7"/>
      <c r="AY57" s="7"/>
      <c r="AZ57" s="7"/>
      <c r="BA57" s="7"/>
      <c r="BB57" s="14"/>
      <c r="BC57" s="14"/>
      <c r="BD57" s="14"/>
      <c r="BE57" s="14"/>
      <c r="BF57" s="14"/>
      <c r="BG57" s="14"/>
      <c r="BI57" s="31"/>
    </row>
    <row r="58" spans="3:61" ht="13" customHeight="1">
      <c r="C58" s="5"/>
      <c r="F58" s="1142"/>
      <c r="G58" s="1142"/>
      <c r="H58" s="1142"/>
      <c r="I58" s="1142"/>
      <c r="J58" s="1142"/>
      <c r="K58" s="1142"/>
      <c r="L58" s="1142"/>
      <c r="M58" s="1142"/>
      <c r="N58" s="1144"/>
      <c r="O58" s="1144"/>
      <c r="Q58" s="24"/>
      <c r="U58" s="21"/>
      <c r="Z58" s="7"/>
      <c r="AA58" s="7"/>
      <c r="AB58" s="7"/>
      <c r="AC58" s="7"/>
      <c r="AD58" s="7"/>
      <c r="AE58" s="7"/>
      <c r="AF58" s="7"/>
      <c r="AG58" s="7"/>
      <c r="AH58" s="14"/>
      <c r="AI58" s="14"/>
      <c r="AK58" s="24"/>
      <c r="AT58" s="7"/>
      <c r="AU58" s="7"/>
      <c r="AV58" s="7"/>
      <c r="AW58" s="7"/>
      <c r="AX58" s="7"/>
      <c r="AY58" s="7"/>
      <c r="AZ58" s="7"/>
      <c r="BA58" s="7"/>
      <c r="BB58" s="14"/>
      <c r="BC58" s="14"/>
      <c r="BE58" s="24"/>
    </row>
    <row r="59" spans="3:61" s="1" customFormat="1" ht="4" customHeight="1">
      <c r="C59" s="8"/>
      <c r="U59" s="25"/>
    </row>
    <row r="60" spans="3:61" s="1" customFormat="1" ht="12.65" customHeight="1">
      <c r="C60" s="8"/>
      <c r="G60" s="9" t="s">
        <v>3239</v>
      </c>
      <c r="K60" s="1145" t="s">
        <v>3240</v>
      </c>
      <c r="L60" s="1145"/>
      <c r="M60" s="1145"/>
      <c r="N60" s="1145"/>
      <c r="O60" s="1145"/>
      <c r="P60" s="1145"/>
      <c r="Q60" s="1145"/>
      <c r="R60" s="1145"/>
      <c r="S60" s="1145"/>
      <c r="T60" s="1145"/>
      <c r="U60" s="1146"/>
      <c r="AA60" s="9"/>
      <c r="AE60" s="15"/>
      <c r="AF60" s="15"/>
      <c r="AG60" s="15"/>
      <c r="AH60" s="15"/>
      <c r="AI60" s="15"/>
      <c r="AJ60" s="15"/>
      <c r="AK60" s="15"/>
      <c r="AL60" s="15"/>
      <c r="AM60" s="15"/>
      <c r="AN60" s="15"/>
      <c r="AO60" s="15"/>
      <c r="AU60" s="9"/>
      <c r="AY60" s="15"/>
      <c r="AZ60" s="15"/>
      <c r="BA60" s="15"/>
      <c r="BB60" s="15"/>
      <c r="BC60" s="15"/>
      <c r="BD60" s="15"/>
      <c r="BE60" s="15"/>
      <c r="BF60" s="15"/>
      <c r="BG60" s="15"/>
      <c r="BH60" s="15"/>
      <c r="BI60" s="15"/>
    </row>
    <row r="61" spans="3:61" s="1" customFormat="1" ht="4" customHeight="1">
      <c r="C61" s="8"/>
      <c r="U61" s="25"/>
    </row>
    <row r="62" spans="3:61" s="1" customFormat="1" ht="14" customHeight="1">
      <c r="C62" s="8"/>
      <c r="P62" s="9" t="s">
        <v>3241</v>
      </c>
      <c r="T62" s="26" t="s">
        <v>3242</v>
      </c>
      <c r="U62" s="25"/>
      <c r="AJ62" s="9"/>
      <c r="AN62" s="26"/>
      <c r="BD62" s="9"/>
      <c r="BH62" s="26"/>
    </row>
    <row r="63" spans="3:61" s="1" customFormat="1" ht="13" customHeight="1">
      <c r="C63" s="10"/>
      <c r="D63" s="11"/>
      <c r="E63" s="11"/>
      <c r="F63" s="11"/>
      <c r="G63" s="11"/>
      <c r="H63" s="11"/>
      <c r="I63" s="11"/>
      <c r="J63" s="11"/>
      <c r="K63" s="11"/>
      <c r="L63" s="11"/>
      <c r="M63" s="11"/>
      <c r="N63" s="11"/>
      <c r="O63" s="11"/>
      <c r="P63" s="11"/>
      <c r="Q63" s="11"/>
      <c r="R63" s="11"/>
      <c r="S63" s="11"/>
      <c r="T63" s="11"/>
      <c r="U63" s="27"/>
      <c r="AO63" s="32"/>
      <c r="BI63" s="32"/>
    </row>
    <row r="64" spans="3:61" ht="13" customHeight="1">
      <c r="C64" s="3"/>
      <c r="D64" s="4"/>
      <c r="E64" s="4"/>
      <c r="F64" s="4"/>
      <c r="G64" s="4"/>
      <c r="H64" s="4"/>
      <c r="I64" s="4"/>
      <c r="J64" s="4"/>
      <c r="K64" s="4"/>
      <c r="L64" s="4"/>
      <c r="M64" s="4"/>
      <c r="N64" s="4"/>
      <c r="O64" s="4"/>
      <c r="P64" s="4"/>
      <c r="Q64" s="4"/>
      <c r="R64" s="4"/>
      <c r="S64" s="4"/>
      <c r="T64" s="4"/>
      <c r="U64" s="16"/>
    </row>
    <row r="65" spans="3:61" ht="13" customHeight="1">
      <c r="C65" s="5"/>
      <c r="D65" s="1139" t="str">
        <f>LEFT(VLOOKUP(H$2,購入者リスト!$B:$J,8,FALSE),1)</f>
        <v>8</v>
      </c>
      <c r="E65" s="1139" t="str">
        <f>MID(VLOOKUP(H$2,購入者リスト!$B:$J,8,FALSE),2,1)</f>
        <v>6</v>
      </c>
      <c r="F65" s="1139" t="str">
        <f>MID(VLOOKUP(H$2,購入者リスト!$B:$J,8,FALSE),3,1)</f>
        <v>4</v>
      </c>
      <c r="G65" s="1138"/>
      <c r="H65" s="1135" t="str">
        <f>MID(VLOOKUP(H$2,購入者リスト!$B:$J,8,FALSE),5,1)</f>
        <v>0</v>
      </c>
      <c r="I65" s="1135" t="str">
        <f>MID(VLOOKUP(H$2,購入者リスト!$B:$J,8,FALSE),6,1)</f>
        <v>0</v>
      </c>
      <c r="J65" s="1135" t="str">
        <f>MID(VLOOKUP(H$2,購入者リスト!$B:$J,8,FALSE),7,1)</f>
        <v>0</v>
      </c>
      <c r="K65" s="1135" t="str">
        <f>MID(VLOOKUP(H$2,購入者リスト!$B:$J,8,FALSE),8,1)</f>
        <v>2</v>
      </c>
      <c r="L65" s="12"/>
      <c r="M65" s="12"/>
      <c r="N65" s="12"/>
      <c r="O65" s="12"/>
      <c r="P65" s="12"/>
      <c r="Q65" s="1132" t="s">
        <v>3235</v>
      </c>
      <c r="R65" s="1133"/>
      <c r="S65" s="1133"/>
      <c r="T65" s="1133"/>
      <c r="U65" s="19"/>
      <c r="X65" s="20"/>
      <c r="Y65" s="20"/>
      <c r="Z65" s="20"/>
      <c r="AA65" s="28"/>
      <c r="AB65" s="29"/>
      <c r="AC65" s="29"/>
      <c r="AD65" s="29"/>
      <c r="AE65" s="29"/>
      <c r="AF65" s="12"/>
      <c r="AG65" s="12"/>
      <c r="AH65" s="12"/>
      <c r="AI65" s="12"/>
      <c r="AJ65" s="12"/>
      <c r="AK65" s="17"/>
      <c r="AL65" s="18"/>
      <c r="AM65" s="18"/>
      <c r="AN65" s="18"/>
      <c r="AO65" s="18"/>
      <c r="AR65" s="20"/>
      <c r="AS65" s="20"/>
      <c r="AT65" s="20"/>
      <c r="AU65" s="28"/>
      <c r="AV65" s="29"/>
      <c r="AW65" s="29"/>
      <c r="AX65" s="29"/>
      <c r="AY65" s="29"/>
      <c r="AZ65" s="12"/>
      <c r="BA65" s="12"/>
      <c r="BB65" s="12"/>
      <c r="BC65" s="12"/>
      <c r="BD65" s="12"/>
      <c r="BE65" s="17"/>
      <c r="BF65" s="18"/>
      <c r="BG65" s="18"/>
      <c r="BH65" s="18"/>
      <c r="BI65" s="18"/>
    </row>
    <row r="66" spans="3:61" ht="13" customHeight="1">
      <c r="C66" s="5"/>
      <c r="D66" s="1140"/>
      <c r="E66" s="1140"/>
      <c r="F66" s="1140"/>
      <c r="G66" s="1138"/>
      <c r="H66" s="1136"/>
      <c r="I66" s="1136"/>
      <c r="J66" s="1136"/>
      <c r="K66" s="1136"/>
      <c r="L66" s="12"/>
      <c r="M66" s="12"/>
      <c r="N66" s="12"/>
      <c r="O66" s="12"/>
      <c r="P66" s="12"/>
      <c r="Q66" s="1133"/>
      <c r="R66" s="1133"/>
      <c r="S66" s="1133"/>
      <c r="T66" s="1133"/>
      <c r="U66" s="19"/>
      <c r="X66" s="20"/>
      <c r="Y66" s="20"/>
      <c r="Z66" s="20"/>
      <c r="AA66" s="28"/>
      <c r="AB66" s="29"/>
      <c r="AC66" s="29"/>
      <c r="AD66" s="29"/>
      <c r="AE66" s="29"/>
      <c r="AF66" s="12"/>
      <c r="AG66" s="12"/>
      <c r="AH66" s="12"/>
      <c r="AI66" s="12"/>
      <c r="AJ66" s="12"/>
      <c r="AK66" s="18"/>
      <c r="AL66" s="18"/>
      <c r="AM66" s="18"/>
      <c r="AN66" s="18"/>
      <c r="AO66" s="18"/>
      <c r="AR66" s="20"/>
      <c r="AS66" s="20"/>
      <c r="AT66" s="20"/>
      <c r="AU66" s="28"/>
      <c r="AV66" s="29"/>
      <c r="AW66" s="29"/>
      <c r="AX66" s="29"/>
      <c r="AY66" s="29"/>
      <c r="AZ66" s="12"/>
      <c r="BA66" s="12"/>
      <c r="BB66" s="12"/>
      <c r="BC66" s="12"/>
      <c r="BD66" s="12"/>
      <c r="BE66" s="18"/>
      <c r="BF66" s="18"/>
      <c r="BG66" s="18"/>
      <c r="BH66" s="18"/>
      <c r="BI66" s="18"/>
    </row>
    <row r="67" spans="3:61" ht="13" customHeight="1">
      <c r="C67" s="5"/>
      <c r="D67" s="1141"/>
      <c r="E67" s="1141"/>
      <c r="F67" s="1141"/>
      <c r="G67" s="1138"/>
      <c r="H67" s="1137"/>
      <c r="I67" s="1137"/>
      <c r="J67" s="1137"/>
      <c r="K67" s="1137"/>
      <c r="L67" s="12"/>
      <c r="M67" s="12"/>
      <c r="N67" s="12"/>
      <c r="O67" s="12"/>
      <c r="P67" s="12"/>
      <c r="Q67" s="1133"/>
      <c r="R67" s="1133"/>
      <c r="S67" s="1133"/>
      <c r="T67" s="1133"/>
      <c r="U67" s="19"/>
      <c r="X67" s="20"/>
      <c r="Y67" s="20"/>
      <c r="Z67" s="20"/>
      <c r="AA67" s="28"/>
      <c r="AB67" s="29"/>
      <c r="AC67" s="29"/>
      <c r="AD67" s="29"/>
      <c r="AE67" s="29"/>
      <c r="AF67" s="12"/>
      <c r="AG67" s="12"/>
      <c r="AH67" s="12"/>
      <c r="AI67" s="12"/>
      <c r="AJ67" s="12"/>
      <c r="AK67" s="18"/>
      <c r="AL67" s="18"/>
      <c r="AM67" s="18"/>
      <c r="AN67" s="18"/>
      <c r="AO67" s="18"/>
      <c r="AR67" s="20"/>
      <c r="AS67" s="20"/>
      <c r="AT67" s="20"/>
      <c r="AU67" s="28"/>
      <c r="AV67" s="29"/>
      <c r="AW67" s="29"/>
      <c r="AX67" s="29"/>
      <c r="AY67" s="29"/>
      <c r="AZ67" s="12"/>
      <c r="BA67" s="12"/>
      <c r="BB67" s="12"/>
      <c r="BC67" s="12"/>
      <c r="BD67" s="12"/>
      <c r="BE67" s="18"/>
      <c r="BF67" s="18"/>
      <c r="BG67" s="18"/>
      <c r="BH67" s="18"/>
      <c r="BI67" s="18"/>
    </row>
    <row r="68" spans="3:61" ht="13" customHeight="1">
      <c r="C68" s="5"/>
      <c r="D68" s="1134" t="str">
        <f>VLOOKUP(H$2,購入者リスト!$B:$J,9,FALSE)</f>
        <v>熊本県 荒尾市万田 433-20</v>
      </c>
      <c r="E68" s="1134"/>
      <c r="F68" s="1134"/>
      <c r="G68" s="1134"/>
      <c r="H68" s="1134"/>
      <c r="I68" s="1134"/>
      <c r="J68" s="1134"/>
      <c r="K68" s="1134"/>
      <c r="L68" s="1134"/>
      <c r="M68" s="1134"/>
      <c r="N68" s="1134"/>
      <c r="O68" s="1134"/>
      <c r="P68" s="1134"/>
      <c r="Q68" s="1134"/>
      <c r="R68" s="1134"/>
      <c r="S68" s="1134"/>
      <c r="T68" s="1134"/>
      <c r="U68" s="21"/>
      <c r="X68" s="6"/>
      <c r="Y68" s="6"/>
      <c r="Z68" s="6"/>
      <c r="AA68" s="6"/>
      <c r="AB68" s="6"/>
      <c r="AC68" s="6"/>
      <c r="AD68" s="6"/>
      <c r="AE68" s="6"/>
      <c r="AF68" s="6"/>
      <c r="AG68" s="6"/>
      <c r="AH68" s="6"/>
      <c r="AI68" s="6"/>
      <c r="AJ68" s="6"/>
      <c r="AK68" s="6"/>
      <c r="AL68" s="6"/>
      <c r="AM68" s="6"/>
      <c r="AN68" s="6"/>
      <c r="AR68" s="6"/>
      <c r="AS68" s="6"/>
      <c r="AT68" s="6"/>
      <c r="AU68" s="6"/>
      <c r="AV68" s="6"/>
      <c r="AW68" s="6"/>
      <c r="AX68" s="6"/>
      <c r="AY68" s="6"/>
      <c r="AZ68" s="6"/>
      <c r="BA68" s="6"/>
      <c r="BB68" s="6"/>
      <c r="BC68" s="6"/>
      <c r="BD68" s="6"/>
      <c r="BE68" s="6"/>
      <c r="BF68" s="6"/>
      <c r="BG68" s="6"/>
      <c r="BH68" s="6"/>
    </row>
    <row r="69" spans="3:61" ht="13" customHeight="1">
      <c r="C69" s="5"/>
      <c r="D69" s="1134"/>
      <c r="E69" s="1134"/>
      <c r="F69" s="1134"/>
      <c r="G69" s="1134"/>
      <c r="H69" s="1134"/>
      <c r="I69" s="1134"/>
      <c r="J69" s="1134"/>
      <c r="K69" s="1134"/>
      <c r="L69" s="1134"/>
      <c r="M69" s="1134"/>
      <c r="N69" s="1134"/>
      <c r="O69" s="1134"/>
      <c r="P69" s="1134"/>
      <c r="Q69" s="1134"/>
      <c r="R69" s="1134"/>
      <c r="S69" s="1134"/>
      <c r="T69" s="1134"/>
      <c r="U69" s="21"/>
      <c r="X69" s="6"/>
      <c r="Y69" s="6"/>
      <c r="Z69" s="6"/>
      <c r="AA69" s="6"/>
      <c r="AB69" s="6"/>
      <c r="AC69" s="6"/>
      <c r="AD69" s="6"/>
      <c r="AE69" s="6"/>
      <c r="AF69" s="6"/>
      <c r="AG69" s="6"/>
      <c r="AH69" s="6"/>
      <c r="AI69" s="6"/>
      <c r="AJ69" s="6"/>
      <c r="AK69" s="6"/>
      <c r="AL69" s="6"/>
      <c r="AM69" s="6"/>
      <c r="AN69" s="6"/>
      <c r="AR69" s="6"/>
      <c r="AS69" s="6"/>
      <c r="AT69" s="6"/>
      <c r="AU69" s="6"/>
      <c r="AV69" s="6"/>
      <c r="AW69" s="6"/>
      <c r="AX69" s="6"/>
      <c r="AY69" s="6"/>
      <c r="AZ69" s="6"/>
      <c r="BA69" s="6"/>
      <c r="BB69" s="6"/>
      <c r="BC69" s="6"/>
      <c r="BD69" s="6"/>
      <c r="BE69" s="6"/>
      <c r="BF69" s="6"/>
      <c r="BG69" s="6"/>
      <c r="BH69" s="6"/>
    </row>
    <row r="70" spans="3:61" ht="4" customHeight="1">
      <c r="C70" s="5"/>
      <c r="D70" s="1134"/>
      <c r="E70" s="1134"/>
      <c r="F70" s="1134"/>
      <c r="G70" s="1134"/>
      <c r="H70" s="1134"/>
      <c r="I70" s="1134"/>
      <c r="J70" s="1134"/>
      <c r="K70" s="1134"/>
      <c r="L70" s="1134"/>
      <c r="M70" s="1134"/>
      <c r="N70" s="1134"/>
      <c r="O70" s="1134"/>
      <c r="P70" s="1134"/>
      <c r="Q70" s="1134"/>
      <c r="R70" s="1134"/>
      <c r="S70" s="1134"/>
      <c r="T70" s="1134"/>
      <c r="U70" s="21"/>
      <c r="X70" s="6"/>
      <c r="Y70" s="6"/>
      <c r="Z70" s="6"/>
      <c r="AA70" s="6"/>
      <c r="AB70" s="6"/>
      <c r="AC70" s="6"/>
      <c r="AD70" s="6"/>
      <c r="AE70" s="6"/>
      <c r="AF70" s="6"/>
      <c r="AG70" s="6"/>
      <c r="AH70" s="6"/>
      <c r="AI70" s="6"/>
      <c r="AJ70" s="6"/>
      <c r="AK70" s="6"/>
      <c r="AL70" s="6"/>
      <c r="AM70" s="6"/>
      <c r="AN70" s="6"/>
      <c r="AR70" s="6"/>
      <c r="AS70" s="6"/>
      <c r="AT70" s="6"/>
      <c r="AU70" s="6"/>
      <c r="AV70" s="6"/>
      <c r="AW70" s="6"/>
      <c r="AX70" s="6"/>
      <c r="AY70" s="6"/>
      <c r="AZ70" s="6"/>
      <c r="BA70" s="6"/>
      <c r="BB70" s="6"/>
      <c r="BC70" s="6"/>
      <c r="BD70" s="6"/>
      <c r="BE70" s="6"/>
      <c r="BF70" s="6"/>
      <c r="BG70" s="6"/>
      <c r="BH70" s="6"/>
    </row>
    <row r="71" spans="3:61" ht="13" customHeight="1">
      <c r="C71" s="5"/>
      <c r="F71" s="1142" t="str">
        <f>VLOOKUP(H$2,購入者リスト!$B:$J,7,FALSE)</f>
        <v>西山 ふみこ</v>
      </c>
      <c r="G71" s="1142"/>
      <c r="H71" s="1142"/>
      <c r="I71" s="1142"/>
      <c r="J71" s="1142"/>
      <c r="K71" s="1142"/>
      <c r="L71" s="1142"/>
      <c r="M71" s="1142"/>
      <c r="N71" s="1143" t="s">
        <v>3238</v>
      </c>
      <c r="O71" s="1144"/>
      <c r="P71" s="14"/>
      <c r="Q71" s="14"/>
      <c r="R71" s="14"/>
      <c r="S71" s="14"/>
      <c r="U71" s="22"/>
      <c r="Z71" s="7"/>
      <c r="AA71" s="7"/>
      <c r="AB71" s="7"/>
      <c r="AC71" s="7"/>
      <c r="AD71" s="7"/>
      <c r="AE71" s="7"/>
      <c r="AF71" s="7"/>
      <c r="AG71" s="7"/>
      <c r="AH71" s="13"/>
      <c r="AI71" s="14"/>
      <c r="AJ71" s="14"/>
      <c r="AK71" s="14"/>
      <c r="AL71" s="14"/>
      <c r="AM71" s="14"/>
      <c r="AO71" s="30"/>
      <c r="AT71" s="7"/>
      <c r="AU71" s="7"/>
      <c r="AV71" s="7"/>
      <c r="AW71" s="7"/>
      <c r="AX71" s="7"/>
      <c r="AY71" s="7"/>
      <c r="AZ71" s="7"/>
      <c r="BA71" s="7"/>
      <c r="BB71" s="13"/>
      <c r="BC71" s="14"/>
      <c r="BD71" s="14"/>
      <c r="BE71" s="14"/>
      <c r="BF71" s="14"/>
      <c r="BG71" s="14"/>
      <c r="BI71" s="30"/>
    </row>
    <row r="72" spans="3:61" ht="13" customHeight="1">
      <c r="C72" s="5"/>
      <c r="F72" s="1142"/>
      <c r="G72" s="1142"/>
      <c r="H72" s="1142"/>
      <c r="I72" s="1142"/>
      <c r="J72" s="1142"/>
      <c r="K72" s="1142"/>
      <c r="L72" s="1142"/>
      <c r="M72" s="1142"/>
      <c r="N72" s="1144"/>
      <c r="O72" s="1144"/>
      <c r="P72" s="14"/>
      <c r="Q72" s="14"/>
      <c r="R72" s="14"/>
      <c r="S72" s="14"/>
      <c r="U72" s="23"/>
      <c r="Z72" s="7"/>
      <c r="AA72" s="7"/>
      <c r="AB72" s="7"/>
      <c r="AC72" s="7"/>
      <c r="AD72" s="7"/>
      <c r="AE72" s="7"/>
      <c r="AF72" s="7"/>
      <c r="AG72" s="7"/>
      <c r="AH72" s="14"/>
      <c r="AI72" s="14"/>
      <c r="AJ72" s="14"/>
      <c r="AK72" s="14"/>
      <c r="AL72" s="14"/>
      <c r="AM72" s="14"/>
      <c r="AO72" s="31"/>
      <c r="AT72" s="7"/>
      <c r="AU72" s="7"/>
      <c r="AV72" s="7"/>
      <c r="AW72" s="7"/>
      <c r="AX72" s="7"/>
      <c r="AY72" s="7"/>
      <c r="AZ72" s="7"/>
      <c r="BA72" s="7"/>
      <c r="BB72" s="14"/>
      <c r="BC72" s="14"/>
      <c r="BD72" s="14"/>
      <c r="BE72" s="14"/>
      <c r="BF72" s="14"/>
      <c r="BG72" s="14"/>
      <c r="BI72" s="31"/>
    </row>
    <row r="73" spans="3:61" ht="13" customHeight="1">
      <c r="C73" s="5"/>
      <c r="F73" s="1142"/>
      <c r="G73" s="1142"/>
      <c r="H73" s="1142"/>
      <c r="I73" s="1142"/>
      <c r="J73" s="1142"/>
      <c r="K73" s="1142"/>
      <c r="L73" s="1142"/>
      <c r="M73" s="1142"/>
      <c r="N73" s="1144"/>
      <c r="O73" s="1144"/>
      <c r="Q73" s="24"/>
      <c r="U73" s="21"/>
      <c r="Z73" s="7"/>
      <c r="AA73" s="7"/>
      <c r="AB73" s="7"/>
      <c r="AC73" s="7"/>
      <c r="AD73" s="7"/>
      <c r="AE73" s="7"/>
      <c r="AF73" s="7"/>
      <c r="AG73" s="7"/>
      <c r="AH73" s="14"/>
      <c r="AI73" s="14"/>
      <c r="AK73" s="24"/>
      <c r="AT73" s="7"/>
      <c r="AU73" s="7"/>
      <c r="AV73" s="7"/>
      <c r="AW73" s="7"/>
      <c r="AX73" s="7"/>
      <c r="AY73" s="7"/>
      <c r="AZ73" s="7"/>
      <c r="BA73" s="7"/>
      <c r="BB73" s="14"/>
      <c r="BC73" s="14"/>
      <c r="BE73" s="24"/>
    </row>
    <row r="74" spans="3:61" s="1" customFormat="1" ht="4" customHeight="1">
      <c r="C74" s="8"/>
      <c r="U74" s="25"/>
    </row>
    <row r="75" spans="3:61" s="1" customFormat="1" ht="12.65" customHeight="1">
      <c r="C75" s="8"/>
      <c r="G75" s="9" t="s">
        <v>3239</v>
      </c>
      <c r="K75" s="1145" t="s">
        <v>3240</v>
      </c>
      <c r="L75" s="1145"/>
      <c r="M75" s="1145"/>
      <c r="N75" s="1145"/>
      <c r="O75" s="1145"/>
      <c r="P75" s="1145"/>
      <c r="Q75" s="1145"/>
      <c r="R75" s="1145"/>
      <c r="S75" s="1145"/>
      <c r="T75" s="1145"/>
      <c r="U75" s="1146"/>
      <c r="AA75" s="9"/>
      <c r="AE75" s="15"/>
      <c r="AF75" s="15"/>
      <c r="AG75" s="15"/>
      <c r="AH75" s="15"/>
      <c r="AI75" s="15"/>
      <c r="AJ75" s="15"/>
      <c r="AK75" s="15"/>
      <c r="AL75" s="15"/>
      <c r="AM75" s="15"/>
      <c r="AN75" s="15"/>
      <c r="AO75" s="15"/>
      <c r="AU75" s="9"/>
      <c r="AY75" s="15"/>
      <c r="AZ75" s="15"/>
      <c r="BA75" s="15"/>
      <c r="BB75" s="15"/>
      <c r="BC75" s="15"/>
      <c r="BD75" s="15"/>
      <c r="BE75" s="15"/>
      <c r="BF75" s="15"/>
      <c r="BG75" s="15"/>
      <c r="BH75" s="15"/>
      <c r="BI75" s="15"/>
    </row>
    <row r="76" spans="3:61" s="1" customFormat="1" ht="4" customHeight="1">
      <c r="C76" s="8"/>
      <c r="U76" s="25"/>
    </row>
    <row r="77" spans="3:61" s="1" customFormat="1" ht="14" customHeight="1">
      <c r="C77" s="8"/>
      <c r="P77" s="9" t="s">
        <v>3241</v>
      </c>
      <c r="T77" s="26" t="s">
        <v>3242</v>
      </c>
      <c r="U77" s="25"/>
      <c r="AJ77" s="9"/>
      <c r="AN77" s="26"/>
      <c r="BD77" s="9"/>
      <c r="BH77" s="26"/>
    </row>
    <row r="78" spans="3:61" s="1" customFormat="1" ht="13" customHeight="1">
      <c r="C78" s="10"/>
      <c r="D78" s="11"/>
      <c r="E78" s="11"/>
      <c r="F78" s="11"/>
      <c r="G78" s="11"/>
      <c r="H78" s="11"/>
      <c r="I78" s="11"/>
      <c r="J78" s="11"/>
      <c r="K78" s="11"/>
      <c r="L78" s="11"/>
      <c r="M78" s="11"/>
      <c r="N78" s="11"/>
      <c r="O78" s="11"/>
      <c r="P78" s="11"/>
      <c r="Q78" s="11"/>
      <c r="R78" s="11"/>
      <c r="S78" s="11"/>
      <c r="T78" s="11"/>
      <c r="U78" s="27"/>
      <c r="AO78" s="32"/>
      <c r="BI78" s="32"/>
    </row>
  </sheetData>
  <mergeCells count="68">
    <mergeCell ref="K75:U75"/>
    <mergeCell ref="D68:T70"/>
    <mergeCell ref="F71:M73"/>
    <mergeCell ref="N71:O73"/>
    <mergeCell ref="E35:E37"/>
    <mergeCell ref="E50:E52"/>
    <mergeCell ref="E65:E67"/>
    <mergeCell ref="G35:G37"/>
    <mergeCell ref="G50:G52"/>
    <mergeCell ref="G65:G67"/>
    <mergeCell ref="I50:I52"/>
    <mergeCell ref="I65:I67"/>
    <mergeCell ref="K35:K37"/>
    <mergeCell ref="D35:D37"/>
    <mergeCell ref="D50:D52"/>
    <mergeCell ref="D65:D67"/>
    <mergeCell ref="K30:U30"/>
    <mergeCell ref="K45:U45"/>
    <mergeCell ref="K60:U60"/>
    <mergeCell ref="H50:H52"/>
    <mergeCell ref="H65:H67"/>
    <mergeCell ref="Q35:T37"/>
    <mergeCell ref="J35:J37"/>
    <mergeCell ref="J50:J52"/>
    <mergeCell ref="J65:J67"/>
    <mergeCell ref="I35:I37"/>
    <mergeCell ref="K50:K52"/>
    <mergeCell ref="K65:K67"/>
    <mergeCell ref="F35:F37"/>
    <mergeCell ref="F50:F52"/>
    <mergeCell ref="F65:F67"/>
    <mergeCell ref="D38:T40"/>
    <mergeCell ref="F41:M43"/>
    <mergeCell ref="N41:O43"/>
    <mergeCell ref="Q50:T52"/>
    <mergeCell ref="D53:T55"/>
    <mergeCell ref="F56:M58"/>
    <mergeCell ref="N56:O58"/>
    <mergeCell ref="Q65:T67"/>
    <mergeCell ref="H35:H37"/>
    <mergeCell ref="D23:T25"/>
    <mergeCell ref="F26:M28"/>
    <mergeCell ref="N26:O28"/>
    <mergeCell ref="F11:M13"/>
    <mergeCell ref="K20:K22"/>
    <mergeCell ref="J20:J22"/>
    <mergeCell ref="I20:I22"/>
    <mergeCell ref="G20:G22"/>
    <mergeCell ref="E20:E22"/>
    <mergeCell ref="K15:U15"/>
    <mergeCell ref="H20:H22"/>
    <mergeCell ref="D20:D22"/>
    <mergeCell ref="F20:F22"/>
    <mergeCell ref="N11:O13"/>
    <mergeCell ref="Q20:T22"/>
    <mergeCell ref="BK4:BR5"/>
    <mergeCell ref="Q5:T7"/>
    <mergeCell ref="BK6:BX7"/>
    <mergeCell ref="D8:T10"/>
    <mergeCell ref="BK8:BX9"/>
    <mergeCell ref="K5:K7"/>
    <mergeCell ref="J5:J7"/>
    <mergeCell ref="I5:I7"/>
    <mergeCell ref="G5:G7"/>
    <mergeCell ref="E5:E7"/>
    <mergeCell ref="H5:H7"/>
    <mergeCell ref="D5:D7"/>
    <mergeCell ref="F5:F7"/>
  </mergeCells>
  <phoneticPr fontId="59"/>
  <printOptions horizontalCentered="1" verticalCentered="1"/>
  <pageMargins left="0.23622047244094499" right="0.23622047244094499" top="0.23622047244094499" bottom="0.23622047244094499" header="0" footer="0"/>
  <pageSetup paperSize="9" scale="50" orientation="landscape" r:id="rId1"/>
  <headerFooter scaleWithDoc="0"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pageSetUpPr fitToPage="1"/>
  </sheetPr>
  <dimension ref="C2:BX78"/>
  <sheetViews>
    <sheetView showGridLines="0" showWhiteSpace="0" view="pageBreakPreview" zoomScale="55" zoomScaleNormal="85" workbookViewId="0">
      <selection activeCell="H3" sqref="H3"/>
    </sheetView>
  </sheetViews>
  <sheetFormatPr defaultColWidth="9" defaultRowHeight="12.5"/>
  <cols>
    <col min="1" max="2" width="3.36328125" customWidth="1"/>
    <col min="3" max="3" width="2.81640625" customWidth="1"/>
    <col min="4" max="20" width="4.81640625" customWidth="1"/>
    <col min="21" max="21" width="2.81640625" customWidth="1"/>
    <col min="23" max="23" width="2.81640625" customWidth="1"/>
    <col min="24" max="40" width="4.81640625" customWidth="1"/>
    <col min="41" max="41" width="2.81640625" customWidth="1"/>
    <col min="43" max="43" width="2.81640625" customWidth="1"/>
    <col min="44" max="60" width="4.81640625" customWidth="1"/>
    <col min="61" max="61" width="2.81640625" customWidth="1"/>
  </cols>
  <sheetData>
    <row r="2" spans="3:76" ht="14.4" customHeight="1">
      <c r="D2" s="2">
        <v>75</v>
      </c>
      <c r="E2" s="2">
        <v>76</v>
      </c>
      <c r="F2" s="2">
        <v>77</v>
      </c>
      <c r="G2" s="2">
        <v>78</v>
      </c>
      <c r="H2" s="2">
        <v>79</v>
      </c>
    </row>
    <row r="3" spans="3:76" ht="13.75" customHeight="1">
      <c r="G3" t="s">
        <v>3233</v>
      </c>
    </row>
    <row r="4" spans="3:76" ht="13" customHeight="1">
      <c r="C4" s="3"/>
      <c r="D4" s="4"/>
      <c r="E4" s="4"/>
      <c r="F4" s="4"/>
      <c r="G4" s="4"/>
      <c r="H4" s="4"/>
      <c r="I4" s="4"/>
      <c r="J4" s="4"/>
      <c r="K4" s="4"/>
      <c r="L4" s="4"/>
      <c r="M4" s="4"/>
      <c r="N4" s="4"/>
      <c r="O4" s="4"/>
      <c r="P4" s="4"/>
      <c r="Q4" s="4"/>
      <c r="R4" s="4"/>
      <c r="S4" s="4"/>
      <c r="T4" s="4"/>
      <c r="U4" s="16"/>
      <c r="BK4" s="1131" t="s">
        <v>3234</v>
      </c>
      <c r="BL4" s="1131"/>
      <c r="BM4" s="1131"/>
      <c r="BN4" s="1131"/>
      <c r="BO4" s="1131"/>
      <c r="BP4" s="1131"/>
      <c r="BQ4" s="1131"/>
      <c r="BR4" s="1131"/>
    </row>
    <row r="5" spans="3:76" ht="13" customHeight="1">
      <c r="C5" s="5"/>
      <c r="D5" s="1139" t="str">
        <f>LEFT(VLOOKUP(D$2,購入者リスト!$B:$J,8,FALSE),1)</f>
        <v>7</v>
      </c>
      <c r="E5" s="1139" t="str">
        <f>MID(VLOOKUP(D$2,購入者リスト!$B:$J,8,FALSE),2,1)</f>
        <v>6</v>
      </c>
      <c r="F5" s="1139" t="str">
        <f>MID(VLOOKUP(D$2,購入者リスト!$B:$J,8,FALSE),3,1)</f>
        <v>8</v>
      </c>
      <c r="G5" s="1138"/>
      <c r="H5" s="1135" t="str">
        <f>MID(VLOOKUP(D$2,購入者リスト!$B:$J,8,FALSE),5,1)</f>
        <v>0</v>
      </c>
      <c r="I5" s="1135" t="str">
        <f>MID(VLOOKUP(D$2,購入者リスト!$B:$J,8,FALSE),6,1)</f>
        <v>0</v>
      </c>
      <c r="J5" s="1135" t="str">
        <f>MID(VLOOKUP(D$2,購入者リスト!$B:$J,8,FALSE),7,1)</f>
        <v>6</v>
      </c>
      <c r="K5" s="1135" t="str">
        <f>MID(VLOOKUP(D$2,購入者リスト!$B:$J,8,FALSE),8,1)</f>
        <v>0</v>
      </c>
      <c r="L5" s="12"/>
      <c r="M5" s="12"/>
      <c r="N5" s="12"/>
      <c r="O5" s="12"/>
      <c r="P5" s="12"/>
      <c r="Q5" s="1132" t="s">
        <v>3235</v>
      </c>
      <c r="R5" s="1133"/>
      <c r="S5" s="1133"/>
      <c r="T5" s="1133"/>
      <c r="U5" s="19"/>
      <c r="X5" s="20"/>
      <c r="Y5" s="20"/>
      <c r="Z5" s="20"/>
      <c r="AA5" s="28"/>
      <c r="AB5" s="29"/>
      <c r="AC5" s="29"/>
      <c r="AD5" s="29"/>
      <c r="AE5" s="29"/>
      <c r="AF5" s="12"/>
      <c r="AG5" s="12"/>
      <c r="AH5" s="12"/>
      <c r="AI5" s="12"/>
      <c r="AJ5" s="12"/>
      <c r="AK5" s="17"/>
      <c r="AL5" s="18"/>
      <c r="AM5" s="18"/>
      <c r="AN5" s="18"/>
      <c r="AO5" s="18"/>
      <c r="AR5" s="20"/>
      <c r="AS5" s="20"/>
      <c r="AT5" s="20"/>
      <c r="AU5" s="28"/>
      <c r="AV5" s="29"/>
      <c r="AW5" s="29"/>
      <c r="AX5" s="29"/>
      <c r="AY5" s="29"/>
      <c r="AZ5" s="12"/>
      <c r="BA5" s="12"/>
      <c r="BB5" s="12"/>
      <c r="BC5" s="12"/>
      <c r="BD5" s="12"/>
      <c r="BE5" s="17"/>
      <c r="BF5" s="18"/>
      <c r="BG5" s="18"/>
      <c r="BH5" s="18"/>
      <c r="BI5" s="18"/>
      <c r="BK5" s="1131"/>
      <c r="BL5" s="1131"/>
      <c r="BM5" s="1131"/>
      <c r="BN5" s="1131"/>
      <c r="BO5" s="1131"/>
      <c r="BP5" s="1131"/>
      <c r="BQ5" s="1131"/>
      <c r="BR5" s="1131"/>
    </row>
    <row r="6" spans="3:76" ht="13" customHeight="1">
      <c r="C6" s="5"/>
      <c r="D6" s="1140"/>
      <c r="E6" s="1140"/>
      <c r="F6" s="1140"/>
      <c r="G6" s="1138"/>
      <c r="H6" s="1136"/>
      <c r="I6" s="1136"/>
      <c r="J6" s="1136"/>
      <c r="K6" s="1136"/>
      <c r="L6" s="12"/>
      <c r="M6" s="12"/>
      <c r="N6" s="12"/>
      <c r="O6" s="12"/>
      <c r="P6" s="12"/>
      <c r="Q6" s="1133"/>
      <c r="R6" s="1133"/>
      <c r="S6" s="1133"/>
      <c r="T6" s="1133"/>
      <c r="U6" s="19"/>
      <c r="X6" s="20"/>
      <c r="Y6" s="20"/>
      <c r="Z6" s="20"/>
      <c r="AA6" s="28"/>
      <c r="AB6" s="29"/>
      <c r="AC6" s="29"/>
      <c r="AD6" s="29"/>
      <c r="AE6" s="29"/>
      <c r="AF6" s="12"/>
      <c r="AG6" s="12"/>
      <c r="AH6" s="12"/>
      <c r="AI6" s="12"/>
      <c r="AJ6" s="12"/>
      <c r="AK6" s="18"/>
      <c r="AL6" s="18"/>
      <c r="AM6" s="18"/>
      <c r="AN6" s="18"/>
      <c r="AO6" s="18"/>
      <c r="AR6" s="20"/>
      <c r="AS6" s="20"/>
      <c r="AT6" s="20"/>
      <c r="AU6" s="28"/>
      <c r="AV6" s="29"/>
      <c r="AW6" s="29"/>
      <c r="AX6" s="29"/>
      <c r="AY6" s="29"/>
      <c r="AZ6" s="12"/>
      <c r="BA6" s="12"/>
      <c r="BB6" s="12"/>
      <c r="BC6" s="12"/>
      <c r="BD6" s="12"/>
      <c r="BE6" s="18"/>
      <c r="BF6" s="18"/>
      <c r="BG6" s="18"/>
      <c r="BH6" s="18"/>
      <c r="BI6" s="18"/>
      <c r="BK6" s="1131" t="s">
        <v>3236</v>
      </c>
      <c r="BL6" s="1131"/>
      <c r="BM6" s="1131"/>
      <c r="BN6" s="1131"/>
      <c r="BO6" s="1131"/>
      <c r="BP6" s="1131"/>
      <c r="BQ6" s="1131"/>
      <c r="BR6" s="1131"/>
      <c r="BS6" s="1131"/>
      <c r="BT6" s="1131"/>
      <c r="BU6" s="1131"/>
      <c r="BV6" s="1131"/>
      <c r="BW6" s="1131"/>
      <c r="BX6" s="1131"/>
    </row>
    <row r="7" spans="3:76" ht="13" customHeight="1">
      <c r="C7" s="5"/>
      <c r="D7" s="1141"/>
      <c r="E7" s="1141"/>
      <c r="F7" s="1141"/>
      <c r="G7" s="1138"/>
      <c r="H7" s="1137"/>
      <c r="I7" s="1137"/>
      <c r="J7" s="1137"/>
      <c r="K7" s="1137"/>
      <c r="L7" s="12"/>
      <c r="M7" s="12"/>
      <c r="N7" s="12"/>
      <c r="O7" s="12"/>
      <c r="P7" s="12"/>
      <c r="Q7" s="1133"/>
      <c r="R7" s="1133"/>
      <c r="S7" s="1133"/>
      <c r="T7" s="1133"/>
      <c r="U7" s="19"/>
      <c r="X7" s="20"/>
      <c r="Y7" s="20"/>
      <c r="Z7" s="20"/>
      <c r="AA7" s="28"/>
      <c r="AB7" s="29"/>
      <c r="AC7" s="29"/>
      <c r="AD7" s="29"/>
      <c r="AE7" s="29"/>
      <c r="AF7" s="12"/>
      <c r="AG7" s="12"/>
      <c r="AH7" s="12"/>
      <c r="AI7" s="12"/>
      <c r="AJ7" s="12"/>
      <c r="AK7" s="18"/>
      <c r="AL7" s="18"/>
      <c r="AM7" s="18"/>
      <c r="AN7" s="18"/>
      <c r="AO7" s="18"/>
      <c r="AR7" s="20"/>
      <c r="AS7" s="20"/>
      <c r="AT7" s="20"/>
      <c r="AU7" s="28"/>
      <c r="AV7" s="29"/>
      <c r="AW7" s="29"/>
      <c r="AX7" s="29"/>
      <c r="AY7" s="29"/>
      <c r="AZ7" s="12"/>
      <c r="BA7" s="12"/>
      <c r="BB7" s="12"/>
      <c r="BC7" s="12"/>
      <c r="BD7" s="12"/>
      <c r="BE7" s="18"/>
      <c r="BF7" s="18"/>
      <c r="BG7" s="18"/>
      <c r="BH7" s="18"/>
      <c r="BI7" s="18"/>
      <c r="BK7" s="1131"/>
      <c r="BL7" s="1131"/>
      <c r="BM7" s="1131"/>
      <c r="BN7" s="1131"/>
      <c r="BO7" s="1131"/>
      <c r="BP7" s="1131"/>
      <c r="BQ7" s="1131"/>
      <c r="BR7" s="1131"/>
      <c r="BS7" s="1131"/>
      <c r="BT7" s="1131"/>
      <c r="BU7" s="1131"/>
      <c r="BV7" s="1131"/>
      <c r="BW7" s="1131"/>
      <c r="BX7" s="1131"/>
    </row>
    <row r="8" spans="3:76" ht="13" customHeight="1">
      <c r="C8" s="5"/>
      <c r="D8" s="1134" t="str">
        <f>VLOOKUP(D$2,購入者リスト!$B:$J,9,FALSE)</f>
        <v>香川県 観音寺市 観音寺町甲2906-5</v>
      </c>
      <c r="E8" s="1134"/>
      <c r="F8" s="1134"/>
      <c r="G8" s="1134"/>
      <c r="H8" s="1134"/>
      <c r="I8" s="1134"/>
      <c r="J8" s="1134"/>
      <c r="K8" s="1134"/>
      <c r="L8" s="1134"/>
      <c r="M8" s="1134"/>
      <c r="N8" s="1134"/>
      <c r="O8" s="1134"/>
      <c r="P8" s="1134"/>
      <c r="Q8" s="1134"/>
      <c r="R8" s="1134"/>
      <c r="S8" s="1134"/>
      <c r="T8" s="1134"/>
      <c r="U8" s="21"/>
      <c r="X8" s="6"/>
      <c r="Y8" s="6"/>
      <c r="Z8" s="6"/>
      <c r="AA8" s="6"/>
      <c r="AB8" s="6"/>
      <c r="AC8" s="6"/>
      <c r="AD8" s="6"/>
      <c r="AE8" s="6"/>
      <c r="AF8" s="6"/>
      <c r="AG8" s="6"/>
      <c r="AH8" s="6"/>
      <c r="AI8" s="6"/>
      <c r="AJ8" s="6"/>
      <c r="AK8" s="6"/>
      <c r="AL8" s="6"/>
      <c r="AM8" s="6"/>
      <c r="AN8" s="6"/>
      <c r="AR8" s="6"/>
      <c r="AS8" s="6"/>
      <c r="AT8" s="6"/>
      <c r="AU8" s="6"/>
      <c r="AV8" s="6"/>
      <c r="AW8" s="6"/>
      <c r="AX8" s="6"/>
      <c r="AY8" s="6"/>
      <c r="AZ8" s="6"/>
      <c r="BA8" s="6"/>
      <c r="BB8" s="6"/>
      <c r="BC8" s="6"/>
      <c r="BD8" s="6"/>
      <c r="BE8" s="6"/>
      <c r="BF8" s="6"/>
      <c r="BG8" s="6"/>
      <c r="BH8" s="6"/>
      <c r="BK8" s="1131" t="s">
        <v>3237</v>
      </c>
      <c r="BL8" s="1131"/>
      <c r="BM8" s="1131"/>
      <c r="BN8" s="1131"/>
      <c r="BO8" s="1131"/>
      <c r="BP8" s="1131"/>
      <c r="BQ8" s="1131"/>
      <c r="BR8" s="1131"/>
      <c r="BS8" s="1131"/>
      <c r="BT8" s="1131"/>
      <c r="BU8" s="1131"/>
      <c r="BV8" s="1131"/>
      <c r="BW8" s="1131"/>
      <c r="BX8" s="1131"/>
    </row>
    <row r="9" spans="3:76" ht="13" customHeight="1">
      <c r="C9" s="5"/>
      <c r="D9" s="1134"/>
      <c r="E9" s="1134"/>
      <c r="F9" s="1134"/>
      <c r="G9" s="1134"/>
      <c r="H9" s="1134"/>
      <c r="I9" s="1134"/>
      <c r="J9" s="1134"/>
      <c r="K9" s="1134"/>
      <c r="L9" s="1134"/>
      <c r="M9" s="1134"/>
      <c r="N9" s="1134"/>
      <c r="O9" s="1134"/>
      <c r="P9" s="1134"/>
      <c r="Q9" s="1134"/>
      <c r="R9" s="1134"/>
      <c r="S9" s="1134"/>
      <c r="T9" s="1134"/>
      <c r="U9" s="21"/>
      <c r="X9" s="6"/>
      <c r="Y9" s="6"/>
      <c r="Z9" s="6"/>
      <c r="AA9" s="6"/>
      <c r="AB9" s="6"/>
      <c r="AC9" s="6"/>
      <c r="AD9" s="6"/>
      <c r="AE9" s="6"/>
      <c r="AF9" s="6"/>
      <c r="AG9" s="6"/>
      <c r="AH9" s="6"/>
      <c r="AI9" s="6"/>
      <c r="AJ9" s="6"/>
      <c r="AK9" s="6"/>
      <c r="AL9" s="6"/>
      <c r="AM9" s="6"/>
      <c r="AN9" s="6"/>
      <c r="AR9" s="6"/>
      <c r="AS9" s="6"/>
      <c r="AT9" s="6"/>
      <c r="AU9" s="6"/>
      <c r="AV9" s="6"/>
      <c r="AW9" s="6"/>
      <c r="AX9" s="6"/>
      <c r="AY9" s="6"/>
      <c r="AZ9" s="6"/>
      <c r="BA9" s="6"/>
      <c r="BB9" s="6"/>
      <c r="BC9" s="6"/>
      <c r="BD9" s="6"/>
      <c r="BE9" s="6"/>
      <c r="BF9" s="6"/>
      <c r="BG9" s="6"/>
      <c r="BH9" s="6"/>
      <c r="BK9" s="1131"/>
      <c r="BL9" s="1131"/>
      <c r="BM9" s="1131"/>
      <c r="BN9" s="1131"/>
      <c r="BO9" s="1131"/>
      <c r="BP9" s="1131"/>
      <c r="BQ9" s="1131"/>
      <c r="BR9" s="1131"/>
      <c r="BS9" s="1131"/>
      <c r="BT9" s="1131"/>
      <c r="BU9" s="1131"/>
      <c r="BV9" s="1131"/>
      <c r="BW9" s="1131"/>
      <c r="BX9" s="1131"/>
    </row>
    <row r="10" spans="3:76" ht="4" customHeight="1">
      <c r="C10" s="5"/>
      <c r="D10" s="1134"/>
      <c r="E10" s="1134"/>
      <c r="F10" s="1134"/>
      <c r="G10" s="1134"/>
      <c r="H10" s="1134"/>
      <c r="I10" s="1134"/>
      <c r="J10" s="1134"/>
      <c r="K10" s="1134"/>
      <c r="L10" s="1134"/>
      <c r="M10" s="1134"/>
      <c r="N10" s="1134"/>
      <c r="O10" s="1134"/>
      <c r="P10" s="1134"/>
      <c r="Q10" s="1134"/>
      <c r="R10" s="1134"/>
      <c r="S10" s="1134"/>
      <c r="T10" s="1134"/>
      <c r="U10" s="21"/>
      <c r="X10" s="6"/>
      <c r="Y10" s="6"/>
      <c r="Z10" s="6"/>
      <c r="AA10" s="6"/>
      <c r="AB10" s="6"/>
      <c r="AC10" s="6"/>
      <c r="AD10" s="6"/>
      <c r="AE10" s="6"/>
      <c r="AF10" s="6"/>
      <c r="AG10" s="6"/>
      <c r="AH10" s="6"/>
      <c r="AI10" s="6"/>
      <c r="AJ10" s="6"/>
      <c r="AK10" s="6"/>
      <c r="AL10" s="6"/>
      <c r="AM10" s="6"/>
      <c r="AN10" s="6"/>
      <c r="AR10" s="6"/>
      <c r="AS10" s="6"/>
      <c r="AT10" s="6"/>
      <c r="AU10" s="6"/>
      <c r="AV10" s="6"/>
      <c r="AW10" s="6"/>
      <c r="AX10" s="6"/>
      <c r="AY10" s="6"/>
      <c r="AZ10" s="6"/>
      <c r="BA10" s="6"/>
      <c r="BB10" s="6"/>
      <c r="BC10" s="6"/>
      <c r="BD10" s="6"/>
      <c r="BE10" s="6"/>
      <c r="BF10" s="6"/>
      <c r="BG10" s="6"/>
      <c r="BH10" s="6"/>
    </row>
    <row r="11" spans="3:76" ht="13" customHeight="1">
      <c r="C11" s="5"/>
      <c r="F11" s="1142" t="str">
        <f>VLOOKUP(D$2,購入者リスト!$B:$J,7,FALSE)</f>
        <v>山下 亜里子</v>
      </c>
      <c r="G11" s="1142"/>
      <c r="H11" s="1142"/>
      <c r="I11" s="1142"/>
      <c r="J11" s="1142"/>
      <c r="K11" s="1142"/>
      <c r="L11" s="1142"/>
      <c r="M11" s="1142"/>
      <c r="N11" s="1143" t="s">
        <v>3238</v>
      </c>
      <c r="O11" s="1144"/>
      <c r="P11" s="14"/>
      <c r="Q11" s="14"/>
      <c r="R11" s="14"/>
      <c r="S11" s="14"/>
      <c r="U11" s="22"/>
      <c r="Z11" s="7"/>
      <c r="AA11" s="7"/>
      <c r="AB11" s="7"/>
      <c r="AC11" s="7"/>
      <c r="AD11" s="7"/>
      <c r="AE11" s="7"/>
      <c r="AF11" s="7"/>
      <c r="AG11" s="7"/>
      <c r="AH11" s="13"/>
      <c r="AI11" s="14"/>
      <c r="AJ11" s="14"/>
      <c r="AK11" s="14"/>
      <c r="AL11" s="14"/>
      <c r="AM11" s="14"/>
      <c r="AO11" s="30"/>
      <c r="AT11" s="7"/>
      <c r="AU11" s="7"/>
      <c r="AV11" s="7"/>
      <c r="AW11" s="7"/>
      <c r="AX11" s="7"/>
      <c r="AY11" s="7"/>
      <c r="AZ11" s="7"/>
      <c r="BA11" s="7"/>
      <c r="BB11" s="13"/>
      <c r="BC11" s="14"/>
      <c r="BD11" s="14"/>
      <c r="BE11" s="14"/>
      <c r="BF11" s="14"/>
      <c r="BG11" s="14"/>
      <c r="BI11" s="30"/>
    </row>
    <row r="12" spans="3:76" ht="13" customHeight="1">
      <c r="C12" s="5"/>
      <c r="F12" s="1142"/>
      <c r="G12" s="1142"/>
      <c r="H12" s="1142"/>
      <c r="I12" s="1142"/>
      <c r="J12" s="1142"/>
      <c r="K12" s="1142"/>
      <c r="L12" s="1142"/>
      <c r="M12" s="1142"/>
      <c r="N12" s="1144"/>
      <c r="O12" s="1144"/>
      <c r="P12" s="14"/>
      <c r="Q12" s="14"/>
      <c r="R12" s="14"/>
      <c r="S12" s="14"/>
      <c r="U12" s="23"/>
      <c r="Z12" s="7"/>
      <c r="AA12" s="7"/>
      <c r="AB12" s="7"/>
      <c r="AC12" s="7"/>
      <c r="AD12" s="7"/>
      <c r="AE12" s="7"/>
      <c r="AF12" s="7"/>
      <c r="AG12" s="7"/>
      <c r="AH12" s="14"/>
      <c r="AI12" s="14"/>
      <c r="AJ12" s="14"/>
      <c r="AK12" s="14"/>
      <c r="AL12" s="14"/>
      <c r="AM12" s="14"/>
      <c r="AO12" s="31"/>
      <c r="AT12" s="7"/>
      <c r="AU12" s="7"/>
      <c r="AV12" s="7"/>
      <c r="AW12" s="7"/>
      <c r="AX12" s="7"/>
      <c r="AY12" s="7"/>
      <c r="AZ12" s="7"/>
      <c r="BA12" s="7"/>
      <c r="BB12" s="14"/>
      <c r="BC12" s="14"/>
      <c r="BD12" s="14"/>
      <c r="BE12" s="14"/>
      <c r="BF12" s="14"/>
      <c r="BG12" s="14"/>
      <c r="BI12" s="31"/>
    </row>
    <row r="13" spans="3:76" ht="13" customHeight="1">
      <c r="C13" s="5"/>
      <c r="F13" s="1142"/>
      <c r="G13" s="1142"/>
      <c r="H13" s="1142"/>
      <c r="I13" s="1142"/>
      <c r="J13" s="1142"/>
      <c r="K13" s="1142"/>
      <c r="L13" s="1142"/>
      <c r="M13" s="1142"/>
      <c r="N13" s="1144"/>
      <c r="O13" s="1144"/>
      <c r="Q13" s="24"/>
      <c r="U13" s="21"/>
      <c r="Z13" s="7"/>
      <c r="AA13" s="7"/>
      <c r="AB13" s="7"/>
      <c r="AC13" s="7"/>
      <c r="AD13" s="7"/>
      <c r="AE13" s="7"/>
      <c r="AF13" s="7"/>
      <c r="AG13" s="7"/>
      <c r="AH13" s="14"/>
      <c r="AI13" s="14"/>
      <c r="AK13" s="24"/>
      <c r="AT13" s="7"/>
      <c r="AU13" s="7"/>
      <c r="AV13" s="7"/>
      <c r="AW13" s="7"/>
      <c r="AX13" s="7"/>
      <c r="AY13" s="7"/>
      <c r="AZ13" s="7"/>
      <c r="BA13" s="7"/>
      <c r="BB13" s="14"/>
      <c r="BC13" s="14"/>
      <c r="BE13" s="24"/>
    </row>
    <row r="14" spans="3:76" s="1" customFormat="1" ht="4" customHeight="1">
      <c r="C14" s="8"/>
      <c r="U14" s="25"/>
    </row>
    <row r="15" spans="3:76" s="1" customFormat="1" ht="12.65" customHeight="1">
      <c r="C15" s="8"/>
      <c r="G15" s="9" t="s">
        <v>3239</v>
      </c>
      <c r="K15" s="1145" t="s">
        <v>3240</v>
      </c>
      <c r="L15" s="1145"/>
      <c r="M15" s="1145"/>
      <c r="N15" s="1145"/>
      <c r="O15" s="1145"/>
      <c r="P15" s="1145"/>
      <c r="Q15" s="1145"/>
      <c r="R15" s="1145"/>
      <c r="S15" s="1145"/>
      <c r="T15" s="1145"/>
      <c r="U15" s="1146"/>
      <c r="AA15" s="9"/>
      <c r="AE15" s="15"/>
      <c r="AF15" s="15"/>
      <c r="AG15" s="15"/>
      <c r="AH15" s="15"/>
      <c r="AI15" s="15"/>
      <c r="AJ15" s="15"/>
      <c r="AK15" s="15"/>
      <c r="AL15" s="15"/>
      <c r="AM15" s="15"/>
      <c r="AN15" s="15"/>
      <c r="AO15" s="15"/>
      <c r="AU15" s="9"/>
      <c r="AY15" s="15"/>
      <c r="AZ15" s="15"/>
      <c r="BA15" s="15"/>
      <c r="BB15" s="15"/>
      <c r="BC15" s="15"/>
      <c r="BD15" s="15"/>
      <c r="BE15" s="15"/>
      <c r="BF15" s="15"/>
      <c r="BG15" s="15"/>
      <c r="BH15" s="15"/>
      <c r="BI15" s="15"/>
    </row>
    <row r="16" spans="3:76" s="1" customFormat="1" ht="4" customHeight="1">
      <c r="C16" s="8"/>
      <c r="U16" s="25"/>
    </row>
    <row r="17" spans="3:61" s="1" customFormat="1" ht="14" customHeight="1">
      <c r="C17" s="8"/>
      <c r="P17" s="9" t="s">
        <v>3241</v>
      </c>
      <c r="T17" s="26" t="s">
        <v>3242</v>
      </c>
      <c r="U17" s="25"/>
      <c r="AJ17" s="9"/>
      <c r="AN17" s="26"/>
      <c r="BD17" s="9"/>
      <c r="BH17" s="26"/>
    </row>
    <row r="18" spans="3:61" s="1" customFormat="1" ht="13" customHeight="1">
      <c r="C18" s="10"/>
      <c r="D18" s="11"/>
      <c r="E18" s="11"/>
      <c r="F18" s="11"/>
      <c r="G18" s="11"/>
      <c r="H18" s="11"/>
      <c r="I18" s="11"/>
      <c r="J18" s="11"/>
      <c r="K18" s="11"/>
      <c r="L18" s="11"/>
      <c r="M18" s="11"/>
      <c r="N18" s="11"/>
      <c r="O18" s="11"/>
      <c r="P18" s="11"/>
      <c r="Q18" s="11"/>
      <c r="R18" s="11"/>
      <c r="S18" s="11"/>
      <c r="T18" s="11"/>
      <c r="U18" s="27"/>
      <c r="AO18" s="32"/>
      <c r="BI18" s="32"/>
    </row>
    <row r="19" spans="3:61" ht="13" customHeight="1">
      <c r="C19" s="3"/>
      <c r="D19" s="4"/>
      <c r="E19" s="4"/>
      <c r="F19" s="4"/>
      <c r="G19" s="4"/>
      <c r="H19" s="4"/>
      <c r="I19" s="4"/>
      <c r="J19" s="4"/>
      <c r="K19" s="4"/>
      <c r="L19" s="4"/>
      <c r="M19" s="4"/>
      <c r="N19" s="4"/>
      <c r="O19" s="4"/>
      <c r="P19" s="4"/>
      <c r="Q19" s="4"/>
      <c r="R19" s="4"/>
      <c r="S19" s="4"/>
      <c r="T19" s="4"/>
      <c r="U19" s="16"/>
    </row>
    <row r="20" spans="3:61" ht="13" customHeight="1">
      <c r="C20" s="5"/>
      <c r="D20" s="1139" t="str">
        <f>LEFT(VLOOKUP(E$2,購入者リスト!$B:$J,8,FALSE),1)</f>
        <v>2</v>
      </c>
      <c r="E20" s="1139" t="str">
        <f>MID(VLOOKUP(E$2,購入者リスト!$B:$J,8,FALSE),2,1)</f>
        <v>5</v>
      </c>
      <c r="F20" s="1139" t="str">
        <f>MID(VLOOKUP(E$2,購入者リスト!$B:$J,8,FALSE),3,1)</f>
        <v>7</v>
      </c>
      <c r="G20" s="1138"/>
      <c r="H20" s="1135" t="str">
        <f>MID(VLOOKUP(E$2,購入者リスト!$B:$J,8,FALSE),5,1)</f>
        <v>0</v>
      </c>
      <c r="I20" s="1135" t="str">
        <f>MID(VLOOKUP(E$2,購入者リスト!$B:$J,8,FALSE),6,1)</f>
        <v>0</v>
      </c>
      <c r="J20" s="1135" t="str">
        <f>MID(VLOOKUP(E$2,購入者リスト!$B:$J,8,FALSE),7,1)</f>
        <v>0</v>
      </c>
      <c r="K20" s="1135" t="str">
        <f>MID(VLOOKUP(E$2,購入者リスト!$B:$J,8,FALSE),8,1)</f>
        <v>6</v>
      </c>
      <c r="L20" s="12"/>
      <c r="M20" s="12"/>
      <c r="N20" s="12"/>
      <c r="O20" s="12"/>
      <c r="P20" s="12"/>
      <c r="Q20" s="1132" t="s">
        <v>3235</v>
      </c>
      <c r="R20" s="1133"/>
      <c r="S20" s="1133"/>
      <c r="T20" s="1133"/>
      <c r="U20" s="19"/>
      <c r="X20" s="20"/>
      <c r="Y20" s="20"/>
      <c r="Z20" s="20"/>
      <c r="AA20" s="28"/>
      <c r="AB20" s="29"/>
      <c r="AC20" s="29"/>
      <c r="AD20" s="29"/>
      <c r="AE20" s="29"/>
      <c r="AF20" s="12"/>
      <c r="AG20" s="12"/>
      <c r="AH20" s="12"/>
      <c r="AI20" s="12"/>
      <c r="AJ20" s="12"/>
      <c r="AK20" s="17"/>
      <c r="AL20" s="18"/>
      <c r="AM20" s="18"/>
      <c r="AN20" s="18"/>
      <c r="AO20" s="18"/>
      <c r="AR20" s="20"/>
      <c r="AS20" s="20"/>
      <c r="AT20" s="20"/>
      <c r="AU20" s="28"/>
      <c r="AV20" s="29"/>
      <c r="AW20" s="29"/>
      <c r="AX20" s="29"/>
      <c r="AY20" s="29"/>
      <c r="AZ20" s="12"/>
      <c r="BA20" s="12"/>
      <c r="BB20" s="12"/>
      <c r="BC20" s="12"/>
      <c r="BD20" s="12"/>
      <c r="BE20" s="17"/>
      <c r="BF20" s="18"/>
      <c r="BG20" s="18"/>
      <c r="BH20" s="18"/>
      <c r="BI20" s="18"/>
    </row>
    <row r="21" spans="3:61" ht="13" customHeight="1">
      <c r="C21" s="5"/>
      <c r="D21" s="1140"/>
      <c r="E21" s="1140"/>
      <c r="F21" s="1140"/>
      <c r="G21" s="1138"/>
      <c r="H21" s="1136"/>
      <c r="I21" s="1136"/>
      <c r="J21" s="1136"/>
      <c r="K21" s="1136"/>
      <c r="L21" s="12"/>
      <c r="M21" s="12"/>
      <c r="N21" s="12"/>
      <c r="O21" s="12"/>
      <c r="P21" s="12"/>
      <c r="Q21" s="1133"/>
      <c r="R21" s="1133"/>
      <c r="S21" s="1133"/>
      <c r="T21" s="1133"/>
      <c r="U21" s="19"/>
      <c r="X21" s="20"/>
      <c r="Y21" s="20"/>
      <c r="Z21" s="20"/>
      <c r="AA21" s="28"/>
      <c r="AB21" s="29"/>
      <c r="AC21" s="29"/>
      <c r="AD21" s="29"/>
      <c r="AE21" s="29"/>
      <c r="AF21" s="12"/>
      <c r="AG21" s="12"/>
      <c r="AH21" s="12"/>
      <c r="AI21" s="12"/>
      <c r="AJ21" s="12"/>
      <c r="AK21" s="18"/>
      <c r="AL21" s="18"/>
      <c r="AM21" s="18"/>
      <c r="AN21" s="18"/>
      <c r="AO21" s="18"/>
      <c r="AR21" s="20"/>
      <c r="AS21" s="20"/>
      <c r="AT21" s="20"/>
      <c r="AU21" s="28"/>
      <c r="AV21" s="29"/>
      <c r="AW21" s="29"/>
      <c r="AX21" s="29"/>
      <c r="AY21" s="29"/>
      <c r="AZ21" s="12"/>
      <c r="BA21" s="12"/>
      <c r="BB21" s="12"/>
      <c r="BC21" s="12"/>
      <c r="BD21" s="12"/>
      <c r="BE21" s="18"/>
      <c r="BF21" s="18"/>
      <c r="BG21" s="18"/>
      <c r="BH21" s="18"/>
      <c r="BI21" s="18"/>
    </row>
    <row r="22" spans="3:61" ht="13" customHeight="1">
      <c r="C22" s="5"/>
      <c r="D22" s="1141"/>
      <c r="E22" s="1141"/>
      <c r="F22" s="1141"/>
      <c r="G22" s="1138"/>
      <c r="H22" s="1137"/>
      <c r="I22" s="1137"/>
      <c r="J22" s="1137"/>
      <c r="K22" s="1137"/>
      <c r="L22" s="12"/>
      <c r="M22" s="12"/>
      <c r="N22" s="12"/>
      <c r="O22" s="12"/>
      <c r="P22" s="12"/>
      <c r="Q22" s="1133"/>
      <c r="R22" s="1133"/>
      <c r="S22" s="1133"/>
      <c r="T22" s="1133"/>
      <c r="U22" s="19"/>
      <c r="X22" s="20"/>
      <c r="Y22" s="20"/>
      <c r="Z22" s="20"/>
      <c r="AA22" s="28"/>
      <c r="AB22" s="29"/>
      <c r="AC22" s="29"/>
      <c r="AD22" s="29"/>
      <c r="AE22" s="29"/>
      <c r="AF22" s="12"/>
      <c r="AG22" s="12"/>
      <c r="AH22" s="12"/>
      <c r="AI22" s="12"/>
      <c r="AJ22" s="12"/>
      <c r="AK22" s="18"/>
      <c r="AL22" s="18"/>
      <c r="AM22" s="18"/>
      <c r="AN22" s="18"/>
      <c r="AO22" s="18"/>
      <c r="AR22" s="20"/>
      <c r="AS22" s="20"/>
      <c r="AT22" s="20"/>
      <c r="AU22" s="28"/>
      <c r="AV22" s="29"/>
      <c r="AW22" s="29"/>
      <c r="AX22" s="29"/>
      <c r="AY22" s="29"/>
      <c r="AZ22" s="12"/>
      <c r="BA22" s="12"/>
      <c r="BB22" s="12"/>
      <c r="BC22" s="12"/>
      <c r="BD22" s="12"/>
      <c r="BE22" s="18"/>
      <c r="BF22" s="18"/>
      <c r="BG22" s="18"/>
      <c r="BH22" s="18"/>
      <c r="BI22" s="18"/>
    </row>
    <row r="23" spans="3:61" ht="13" customHeight="1">
      <c r="C23" s="5"/>
      <c r="D23" s="1134" t="str">
        <f>VLOOKUP(E$2,購入者リスト!$B:$J,9,FALSE)</f>
        <v>神奈川県 秦野市 北矢名767-5</v>
      </c>
      <c r="E23" s="1134"/>
      <c r="F23" s="1134"/>
      <c r="G23" s="1134"/>
      <c r="H23" s="1134"/>
      <c r="I23" s="1134"/>
      <c r="J23" s="1134"/>
      <c r="K23" s="1134"/>
      <c r="L23" s="1134"/>
      <c r="M23" s="1134"/>
      <c r="N23" s="1134"/>
      <c r="O23" s="1134"/>
      <c r="P23" s="1134"/>
      <c r="Q23" s="1134"/>
      <c r="R23" s="1134"/>
      <c r="S23" s="1134"/>
      <c r="T23" s="1134"/>
      <c r="U23" s="21"/>
      <c r="X23" s="6"/>
      <c r="Y23" s="6"/>
      <c r="Z23" s="6"/>
      <c r="AA23" s="6"/>
      <c r="AB23" s="6"/>
      <c r="AC23" s="6"/>
      <c r="AD23" s="6"/>
      <c r="AE23" s="6"/>
      <c r="AF23" s="6"/>
      <c r="AG23" s="6"/>
      <c r="AH23" s="6"/>
      <c r="AI23" s="6"/>
      <c r="AJ23" s="6"/>
      <c r="AK23" s="6"/>
      <c r="AL23" s="6"/>
      <c r="AM23" s="6"/>
      <c r="AN23" s="6"/>
      <c r="AR23" s="6"/>
      <c r="AS23" s="6"/>
      <c r="AT23" s="6"/>
      <c r="AU23" s="6"/>
      <c r="AV23" s="6"/>
      <c r="AW23" s="6"/>
      <c r="AX23" s="6"/>
      <c r="AY23" s="6"/>
      <c r="AZ23" s="6"/>
      <c r="BA23" s="6"/>
      <c r="BB23" s="6"/>
      <c r="BC23" s="6"/>
      <c r="BD23" s="6"/>
      <c r="BE23" s="6"/>
      <c r="BF23" s="6"/>
      <c r="BG23" s="6"/>
      <c r="BH23" s="6"/>
    </row>
    <row r="24" spans="3:61" ht="13" customHeight="1">
      <c r="C24" s="5"/>
      <c r="D24" s="1134"/>
      <c r="E24" s="1134"/>
      <c r="F24" s="1134"/>
      <c r="G24" s="1134"/>
      <c r="H24" s="1134"/>
      <c r="I24" s="1134"/>
      <c r="J24" s="1134"/>
      <c r="K24" s="1134"/>
      <c r="L24" s="1134"/>
      <c r="M24" s="1134"/>
      <c r="N24" s="1134"/>
      <c r="O24" s="1134"/>
      <c r="P24" s="1134"/>
      <c r="Q24" s="1134"/>
      <c r="R24" s="1134"/>
      <c r="S24" s="1134"/>
      <c r="T24" s="1134"/>
      <c r="U24" s="21"/>
      <c r="X24" s="6"/>
      <c r="Y24" s="6"/>
      <c r="Z24" s="6"/>
      <c r="AA24" s="6"/>
      <c r="AB24" s="6"/>
      <c r="AC24" s="6"/>
      <c r="AD24" s="6"/>
      <c r="AE24" s="6"/>
      <c r="AF24" s="6"/>
      <c r="AG24" s="6"/>
      <c r="AH24" s="6"/>
      <c r="AI24" s="6"/>
      <c r="AJ24" s="6"/>
      <c r="AK24" s="6"/>
      <c r="AL24" s="6"/>
      <c r="AM24" s="6"/>
      <c r="AN24" s="6"/>
      <c r="AR24" s="6"/>
      <c r="AS24" s="6"/>
      <c r="AT24" s="6"/>
      <c r="AU24" s="6"/>
      <c r="AV24" s="6"/>
      <c r="AW24" s="6"/>
      <c r="AX24" s="6"/>
      <c r="AY24" s="6"/>
      <c r="AZ24" s="6"/>
      <c r="BA24" s="6"/>
      <c r="BB24" s="6"/>
      <c r="BC24" s="6"/>
      <c r="BD24" s="6"/>
      <c r="BE24" s="6"/>
      <c r="BF24" s="6"/>
      <c r="BG24" s="6"/>
      <c r="BH24" s="6"/>
    </row>
    <row r="25" spans="3:61" ht="4" customHeight="1">
      <c r="C25" s="5"/>
      <c r="D25" s="1134"/>
      <c r="E25" s="1134"/>
      <c r="F25" s="1134"/>
      <c r="G25" s="1134"/>
      <c r="H25" s="1134"/>
      <c r="I25" s="1134"/>
      <c r="J25" s="1134"/>
      <c r="K25" s="1134"/>
      <c r="L25" s="1134"/>
      <c r="M25" s="1134"/>
      <c r="N25" s="1134"/>
      <c r="O25" s="1134"/>
      <c r="P25" s="1134"/>
      <c r="Q25" s="1134"/>
      <c r="R25" s="1134"/>
      <c r="S25" s="1134"/>
      <c r="T25" s="1134"/>
      <c r="U25" s="21"/>
      <c r="X25" s="6"/>
      <c r="Y25" s="6"/>
      <c r="Z25" s="6"/>
      <c r="AA25" s="6"/>
      <c r="AB25" s="6"/>
      <c r="AC25" s="6"/>
      <c r="AD25" s="6"/>
      <c r="AE25" s="6"/>
      <c r="AF25" s="6"/>
      <c r="AG25" s="6"/>
      <c r="AH25" s="6"/>
      <c r="AI25" s="6"/>
      <c r="AJ25" s="6"/>
      <c r="AK25" s="6"/>
      <c r="AL25" s="6"/>
      <c r="AM25" s="6"/>
      <c r="AN25" s="6"/>
      <c r="AR25" s="6"/>
      <c r="AS25" s="6"/>
      <c r="AT25" s="6"/>
      <c r="AU25" s="6"/>
      <c r="AV25" s="6"/>
      <c r="AW25" s="6"/>
      <c r="AX25" s="6"/>
      <c r="AY25" s="6"/>
      <c r="AZ25" s="6"/>
      <c r="BA25" s="6"/>
      <c r="BB25" s="6"/>
      <c r="BC25" s="6"/>
      <c r="BD25" s="6"/>
      <c r="BE25" s="6"/>
      <c r="BF25" s="6"/>
      <c r="BG25" s="6"/>
      <c r="BH25" s="6"/>
    </row>
    <row r="26" spans="3:61" ht="13" customHeight="1">
      <c r="C26" s="5"/>
      <c r="F26" s="1142" t="str">
        <f>VLOOKUP(E$2,購入者リスト!$B:$J,7,FALSE)</f>
        <v>岡本 義信</v>
      </c>
      <c r="G26" s="1142"/>
      <c r="H26" s="1142"/>
      <c r="I26" s="1142"/>
      <c r="J26" s="1142"/>
      <c r="K26" s="1142"/>
      <c r="L26" s="1142"/>
      <c r="M26" s="1142"/>
      <c r="N26" s="1143" t="s">
        <v>3238</v>
      </c>
      <c r="O26" s="1144"/>
      <c r="P26" s="14"/>
      <c r="Q26" s="14"/>
      <c r="R26" s="14"/>
      <c r="S26" s="14"/>
      <c r="U26" s="22"/>
      <c r="Z26" s="7"/>
      <c r="AA26" s="7"/>
      <c r="AB26" s="7"/>
      <c r="AC26" s="7"/>
      <c r="AD26" s="7"/>
      <c r="AE26" s="7"/>
      <c r="AF26" s="7"/>
      <c r="AG26" s="7"/>
      <c r="AH26" s="13"/>
      <c r="AI26" s="14"/>
      <c r="AJ26" s="14"/>
      <c r="AK26" s="14"/>
      <c r="AL26" s="14"/>
      <c r="AM26" s="14"/>
      <c r="AO26" s="30"/>
      <c r="AT26" s="7"/>
      <c r="AU26" s="7"/>
      <c r="AV26" s="7"/>
      <c r="AW26" s="7"/>
      <c r="AX26" s="7"/>
      <c r="AY26" s="7"/>
      <c r="AZ26" s="7"/>
      <c r="BA26" s="7"/>
      <c r="BB26" s="13"/>
      <c r="BC26" s="14"/>
      <c r="BD26" s="14"/>
      <c r="BE26" s="14"/>
      <c r="BF26" s="14"/>
      <c r="BG26" s="14"/>
      <c r="BI26" s="30"/>
    </row>
    <row r="27" spans="3:61" ht="13" customHeight="1">
      <c r="C27" s="5"/>
      <c r="F27" s="1142"/>
      <c r="G27" s="1142"/>
      <c r="H27" s="1142"/>
      <c r="I27" s="1142"/>
      <c r="J27" s="1142"/>
      <c r="K27" s="1142"/>
      <c r="L27" s="1142"/>
      <c r="M27" s="1142"/>
      <c r="N27" s="1144"/>
      <c r="O27" s="1144"/>
      <c r="P27" s="14"/>
      <c r="Q27" s="14"/>
      <c r="R27" s="14"/>
      <c r="S27" s="14"/>
      <c r="U27" s="23"/>
      <c r="Z27" s="7"/>
      <c r="AA27" s="7"/>
      <c r="AB27" s="7"/>
      <c r="AC27" s="7"/>
      <c r="AD27" s="7"/>
      <c r="AE27" s="7"/>
      <c r="AF27" s="7"/>
      <c r="AG27" s="7"/>
      <c r="AH27" s="14"/>
      <c r="AI27" s="14"/>
      <c r="AJ27" s="14"/>
      <c r="AK27" s="14"/>
      <c r="AL27" s="14"/>
      <c r="AM27" s="14"/>
      <c r="AO27" s="31"/>
      <c r="AT27" s="7"/>
      <c r="AU27" s="7"/>
      <c r="AV27" s="7"/>
      <c r="AW27" s="7"/>
      <c r="AX27" s="7"/>
      <c r="AY27" s="7"/>
      <c r="AZ27" s="7"/>
      <c r="BA27" s="7"/>
      <c r="BB27" s="14"/>
      <c r="BC27" s="14"/>
      <c r="BD27" s="14"/>
      <c r="BE27" s="14"/>
      <c r="BF27" s="14"/>
      <c r="BG27" s="14"/>
      <c r="BI27" s="31"/>
    </row>
    <row r="28" spans="3:61" ht="13" customHeight="1">
      <c r="C28" s="5"/>
      <c r="F28" s="1142"/>
      <c r="G28" s="1142"/>
      <c r="H28" s="1142"/>
      <c r="I28" s="1142"/>
      <c r="J28" s="1142"/>
      <c r="K28" s="1142"/>
      <c r="L28" s="1142"/>
      <c r="M28" s="1142"/>
      <c r="N28" s="1144"/>
      <c r="O28" s="1144"/>
      <c r="Q28" s="24"/>
      <c r="U28" s="21"/>
      <c r="Z28" s="7"/>
      <c r="AA28" s="7"/>
      <c r="AB28" s="7"/>
      <c r="AC28" s="7"/>
      <c r="AD28" s="7"/>
      <c r="AE28" s="7"/>
      <c r="AF28" s="7"/>
      <c r="AG28" s="7"/>
      <c r="AH28" s="14"/>
      <c r="AI28" s="14"/>
      <c r="AK28" s="24"/>
      <c r="AT28" s="7"/>
      <c r="AU28" s="7"/>
      <c r="AV28" s="7"/>
      <c r="AW28" s="7"/>
      <c r="AX28" s="7"/>
      <c r="AY28" s="7"/>
      <c r="AZ28" s="7"/>
      <c r="BA28" s="7"/>
      <c r="BB28" s="14"/>
      <c r="BC28" s="14"/>
      <c r="BE28" s="24"/>
    </row>
    <row r="29" spans="3:61" s="1" customFormat="1" ht="4" customHeight="1">
      <c r="C29" s="8"/>
      <c r="U29" s="25"/>
    </row>
    <row r="30" spans="3:61" s="1" customFormat="1" ht="12.65" customHeight="1">
      <c r="C30" s="8"/>
      <c r="G30" s="9" t="s">
        <v>3239</v>
      </c>
      <c r="K30" s="1145" t="s">
        <v>3240</v>
      </c>
      <c r="L30" s="1145"/>
      <c r="M30" s="1145"/>
      <c r="N30" s="1145"/>
      <c r="O30" s="1145"/>
      <c r="P30" s="1145"/>
      <c r="Q30" s="1145"/>
      <c r="R30" s="1145"/>
      <c r="S30" s="1145"/>
      <c r="T30" s="1145"/>
      <c r="U30" s="1146"/>
      <c r="AA30" s="9"/>
      <c r="AE30" s="15"/>
      <c r="AF30" s="15"/>
      <c r="AG30" s="15"/>
      <c r="AH30" s="15"/>
      <c r="AI30" s="15"/>
      <c r="AJ30" s="15"/>
      <c r="AK30" s="15"/>
      <c r="AL30" s="15"/>
      <c r="AM30" s="15"/>
      <c r="AN30" s="15"/>
      <c r="AO30" s="15"/>
      <c r="AU30" s="9"/>
      <c r="AY30" s="15"/>
      <c r="AZ30" s="15"/>
      <c r="BA30" s="15"/>
      <c r="BB30" s="15"/>
      <c r="BC30" s="15"/>
      <c r="BD30" s="15"/>
      <c r="BE30" s="15"/>
      <c r="BF30" s="15"/>
      <c r="BG30" s="15"/>
      <c r="BH30" s="15"/>
      <c r="BI30" s="15"/>
    </row>
    <row r="31" spans="3:61" s="1" customFormat="1" ht="4" customHeight="1">
      <c r="C31" s="8"/>
      <c r="U31" s="25"/>
    </row>
    <row r="32" spans="3:61" s="1" customFormat="1" ht="14" customHeight="1">
      <c r="C32" s="8"/>
      <c r="P32" s="9" t="s">
        <v>3241</v>
      </c>
      <c r="T32" s="26" t="s">
        <v>3242</v>
      </c>
      <c r="U32" s="25"/>
      <c r="AJ32" s="9"/>
      <c r="AN32" s="26"/>
      <c r="BD32" s="9"/>
      <c r="BH32" s="26"/>
    </row>
    <row r="33" spans="3:61" s="1" customFormat="1" ht="13" customHeight="1">
      <c r="C33" s="10"/>
      <c r="D33" s="11"/>
      <c r="E33" s="11"/>
      <c r="F33" s="11"/>
      <c r="G33" s="11"/>
      <c r="H33" s="11"/>
      <c r="I33" s="11"/>
      <c r="J33" s="11"/>
      <c r="K33" s="11"/>
      <c r="L33" s="11"/>
      <c r="M33" s="11"/>
      <c r="N33" s="11"/>
      <c r="O33" s="11"/>
      <c r="P33" s="11"/>
      <c r="Q33" s="11"/>
      <c r="R33" s="11"/>
      <c r="S33" s="11"/>
      <c r="T33" s="11"/>
      <c r="U33" s="27"/>
      <c r="AO33" s="32"/>
      <c r="BI33" s="32"/>
    </row>
    <row r="34" spans="3:61" ht="13" customHeight="1">
      <c r="C34" s="3"/>
      <c r="D34" s="4"/>
      <c r="E34" s="4"/>
      <c r="F34" s="4"/>
      <c r="G34" s="4"/>
      <c r="H34" s="4"/>
      <c r="I34" s="4"/>
      <c r="J34" s="4"/>
      <c r="K34" s="4"/>
      <c r="L34" s="4"/>
      <c r="M34" s="4"/>
      <c r="N34" s="4"/>
      <c r="O34" s="4"/>
      <c r="P34" s="4"/>
      <c r="Q34" s="4"/>
      <c r="R34" s="4"/>
      <c r="S34" s="4"/>
      <c r="T34" s="4"/>
      <c r="U34" s="16"/>
    </row>
    <row r="35" spans="3:61" ht="13" customHeight="1">
      <c r="C35" s="5"/>
      <c r="D35" s="1139" t="str">
        <f>LEFT(VLOOKUP(F$2,購入者リスト!$B:$J,8,FALSE),1)</f>
        <v>8</v>
      </c>
      <c r="E35" s="1139" t="str">
        <f>MID(VLOOKUP(F$2,購入者リスト!$B:$J,8,FALSE),2,1)</f>
        <v>4</v>
      </c>
      <c r="F35" s="1139" t="str">
        <f>MID(VLOOKUP(F$2,購入者リスト!$B:$J,8,FALSE),3,1)</f>
        <v>3</v>
      </c>
      <c r="G35" s="1138"/>
      <c r="H35" s="1135" t="str">
        <f>MID(VLOOKUP(F$2,購入者リスト!$B:$J,8,FALSE),5,1)</f>
        <v>0</v>
      </c>
      <c r="I35" s="1135" t="str">
        <f>MID(VLOOKUP(F$2,購入者リスト!$B:$J,8,FALSE),6,1)</f>
        <v>0</v>
      </c>
      <c r="J35" s="1135" t="str">
        <f>MID(VLOOKUP(F$2,購入者リスト!$B:$J,8,FALSE),7,1)</f>
        <v>2</v>
      </c>
      <c r="K35" s="1135" t="str">
        <f>MID(VLOOKUP(F$2,購入者リスト!$B:$J,8,FALSE),8,1)</f>
        <v>2</v>
      </c>
      <c r="L35" s="12"/>
      <c r="M35" s="12"/>
      <c r="N35" s="12"/>
      <c r="O35" s="12"/>
      <c r="P35" s="12"/>
      <c r="Q35" s="1132" t="s">
        <v>3235</v>
      </c>
      <c r="R35" s="1133"/>
      <c r="S35" s="1133"/>
      <c r="T35" s="1133"/>
      <c r="U35" s="19"/>
      <c r="X35" s="20"/>
      <c r="Y35" s="20"/>
      <c r="Z35" s="20"/>
      <c r="AA35" s="28"/>
      <c r="AB35" s="29"/>
      <c r="AC35" s="29"/>
      <c r="AD35" s="29"/>
      <c r="AE35" s="29"/>
      <c r="AF35" s="12"/>
      <c r="AG35" s="12"/>
      <c r="AH35" s="12"/>
      <c r="AI35" s="12"/>
      <c r="AJ35" s="12"/>
      <c r="AK35" s="17"/>
      <c r="AL35" s="18"/>
      <c r="AM35" s="18"/>
      <c r="AN35" s="18"/>
      <c r="AO35" s="18"/>
      <c r="AR35" s="20"/>
      <c r="AS35" s="20"/>
      <c r="AT35" s="20"/>
      <c r="AU35" s="28"/>
      <c r="AV35" s="29"/>
      <c r="AW35" s="29"/>
      <c r="AX35" s="29"/>
      <c r="AY35" s="29"/>
      <c r="AZ35" s="12"/>
      <c r="BA35" s="12"/>
      <c r="BB35" s="12"/>
      <c r="BC35" s="12"/>
      <c r="BD35" s="12"/>
      <c r="BE35" s="17"/>
      <c r="BF35" s="18"/>
      <c r="BG35" s="18"/>
      <c r="BH35" s="18"/>
      <c r="BI35" s="18"/>
    </row>
    <row r="36" spans="3:61" ht="13" customHeight="1">
      <c r="C36" s="5"/>
      <c r="D36" s="1140"/>
      <c r="E36" s="1140"/>
      <c r="F36" s="1140"/>
      <c r="G36" s="1138"/>
      <c r="H36" s="1136"/>
      <c r="I36" s="1136"/>
      <c r="J36" s="1136"/>
      <c r="K36" s="1136"/>
      <c r="L36" s="12"/>
      <c r="M36" s="12"/>
      <c r="N36" s="12"/>
      <c r="O36" s="12"/>
      <c r="P36" s="12"/>
      <c r="Q36" s="1133"/>
      <c r="R36" s="1133"/>
      <c r="S36" s="1133"/>
      <c r="T36" s="1133"/>
      <c r="U36" s="19"/>
      <c r="X36" s="20"/>
      <c r="Y36" s="20"/>
      <c r="Z36" s="20"/>
      <c r="AA36" s="28"/>
      <c r="AB36" s="29"/>
      <c r="AC36" s="29"/>
      <c r="AD36" s="29"/>
      <c r="AE36" s="29"/>
      <c r="AF36" s="12"/>
      <c r="AG36" s="12"/>
      <c r="AH36" s="12"/>
      <c r="AI36" s="12"/>
      <c r="AJ36" s="12"/>
      <c r="AK36" s="18"/>
      <c r="AL36" s="18"/>
      <c r="AM36" s="18"/>
      <c r="AN36" s="18"/>
      <c r="AO36" s="18"/>
      <c r="AR36" s="20"/>
      <c r="AS36" s="20"/>
      <c r="AT36" s="20"/>
      <c r="AU36" s="28"/>
      <c r="AV36" s="29"/>
      <c r="AW36" s="29"/>
      <c r="AX36" s="29"/>
      <c r="AY36" s="29"/>
      <c r="AZ36" s="12"/>
      <c r="BA36" s="12"/>
      <c r="BB36" s="12"/>
      <c r="BC36" s="12"/>
      <c r="BD36" s="12"/>
      <c r="BE36" s="18"/>
      <c r="BF36" s="18"/>
      <c r="BG36" s="18"/>
      <c r="BH36" s="18"/>
      <c r="BI36" s="18"/>
    </row>
    <row r="37" spans="3:61" ht="13" customHeight="1">
      <c r="C37" s="5"/>
      <c r="D37" s="1141"/>
      <c r="E37" s="1141"/>
      <c r="F37" s="1141"/>
      <c r="G37" s="1138"/>
      <c r="H37" s="1137"/>
      <c r="I37" s="1137"/>
      <c r="J37" s="1137"/>
      <c r="K37" s="1137"/>
      <c r="L37" s="12"/>
      <c r="M37" s="12"/>
      <c r="N37" s="12"/>
      <c r="O37" s="12"/>
      <c r="P37" s="12"/>
      <c r="Q37" s="1133"/>
      <c r="R37" s="1133"/>
      <c r="S37" s="1133"/>
      <c r="T37" s="1133"/>
      <c r="U37" s="19"/>
      <c r="X37" s="20"/>
      <c r="Y37" s="20"/>
      <c r="Z37" s="20"/>
      <c r="AA37" s="28"/>
      <c r="AB37" s="29"/>
      <c r="AC37" s="29"/>
      <c r="AD37" s="29"/>
      <c r="AE37" s="29"/>
      <c r="AF37" s="12"/>
      <c r="AG37" s="12"/>
      <c r="AH37" s="12"/>
      <c r="AI37" s="12"/>
      <c r="AJ37" s="12"/>
      <c r="AK37" s="18"/>
      <c r="AL37" s="18"/>
      <c r="AM37" s="18"/>
      <c r="AN37" s="18"/>
      <c r="AO37" s="18"/>
      <c r="AR37" s="20"/>
      <c r="AS37" s="20"/>
      <c r="AT37" s="20"/>
      <c r="AU37" s="28"/>
      <c r="AV37" s="29"/>
      <c r="AW37" s="29"/>
      <c r="AX37" s="29"/>
      <c r="AY37" s="29"/>
      <c r="AZ37" s="12"/>
      <c r="BA37" s="12"/>
      <c r="BB37" s="12"/>
      <c r="BC37" s="12"/>
      <c r="BD37" s="12"/>
      <c r="BE37" s="18"/>
      <c r="BF37" s="18"/>
      <c r="BG37" s="18"/>
      <c r="BH37" s="18"/>
      <c r="BI37" s="18"/>
    </row>
    <row r="38" spans="3:61" ht="13" customHeight="1">
      <c r="C38" s="5"/>
      <c r="D38" s="1134" t="str">
        <f>VLOOKUP(F$2,購入者リスト!$B:$J,9,FALSE)</f>
        <v>佐賀県 武雄市 武雄町武雄4359</v>
      </c>
      <c r="E38" s="1134"/>
      <c r="F38" s="1134"/>
      <c r="G38" s="1134"/>
      <c r="H38" s="1134"/>
      <c r="I38" s="1134"/>
      <c r="J38" s="1134"/>
      <c r="K38" s="1134"/>
      <c r="L38" s="1134"/>
      <c r="M38" s="1134"/>
      <c r="N38" s="1134"/>
      <c r="O38" s="1134"/>
      <c r="P38" s="1134"/>
      <c r="Q38" s="1134"/>
      <c r="R38" s="1134"/>
      <c r="S38" s="1134"/>
      <c r="T38" s="1134"/>
      <c r="U38" s="21"/>
      <c r="X38" s="6"/>
      <c r="Y38" s="6"/>
      <c r="Z38" s="6"/>
      <c r="AA38" s="6"/>
      <c r="AB38" s="6"/>
      <c r="AC38" s="6"/>
      <c r="AD38" s="6"/>
      <c r="AE38" s="6"/>
      <c r="AF38" s="6"/>
      <c r="AG38" s="6"/>
      <c r="AH38" s="6"/>
      <c r="AI38" s="6"/>
      <c r="AJ38" s="6"/>
      <c r="AK38" s="6"/>
      <c r="AL38" s="6"/>
      <c r="AM38" s="6"/>
      <c r="AN38" s="6"/>
      <c r="AR38" s="6"/>
      <c r="AS38" s="6"/>
      <c r="AT38" s="6"/>
      <c r="AU38" s="6"/>
      <c r="AV38" s="6"/>
      <c r="AW38" s="6"/>
      <c r="AX38" s="6"/>
      <c r="AY38" s="6"/>
      <c r="AZ38" s="6"/>
      <c r="BA38" s="6"/>
      <c r="BB38" s="6"/>
      <c r="BC38" s="6"/>
      <c r="BD38" s="6"/>
      <c r="BE38" s="6"/>
      <c r="BF38" s="6"/>
      <c r="BG38" s="6"/>
      <c r="BH38" s="6"/>
    </row>
    <row r="39" spans="3:61" ht="13" customHeight="1">
      <c r="C39" s="5"/>
      <c r="D39" s="1134"/>
      <c r="E39" s="1134"/>
      <c r="F39" s="1134"/>
      <c r="G39" s="1134"/>
      <c r="H39" s="1134"/>
      <c r="I39" s="1134"/>
      <c r="J39" s="1134"/>
      <c r="K39" s="1134"/>
      <c r="L39" s="1134"/>
      <c r="M39" s="1134"/>
      <c r="N39" s="1134"/>
      <c r="O39" s="1134"/>
      <c r="P39" s="1134"/>
      <c r="Q39" s="1134"/>
      <c r="R39" s="1134"/>
      <c r="S39" s="1134"/>
      <c r="T39" s="1134"/>
      <c r="U39" s="21"/>
      <c r="X39" s="6"/>
      <c r="Y39" s="6"/>
      <c r="Z39" s="6"/>
      <c r="AA39" s="6"/>
      <c r="AB39" s="6"/>
      <c r="AC39" s="6"/>
      <c r="AD39" s="6"/>
      <c r="AE39" s="6"/>
      <c r="AF39" s="6"/>
      <c r="AG39" s="6"/>
      <c r="AH39" s="6"/>
      <c r="AI39" s="6"/>
      <c r="AJ39" s="6"/>
      <c r="AK39" s="6"/>
      <c r="AL39" s="6"/>
      <c r="AM39" s="6"/>
      <c r="AN39" s="6"/>
      <c r="AR39" s="6"/>
      <c r="AS39" s="6"/>
      <c r="AT39" s="6"/>
      <c r="AU39" s="6"/>
      <c r="AV39" s="6"/>
      <c r="AW39" s="6"/>
      <c r="AX39" s="6"/>
      <c r="AY39" s="6"/>
      <c r="AZ39" s="6"/>
      <c r="BA39" s="6"/>
      <c r="BB39" s="6"/>
      <c r="BC39" s="6"/>
      <c r="BD39" s="6"/>
      <c r="BE39" s="6"/>
      <c r="BF39" s="6"/>
      <c r="BG39" s="6"/>
      <c r="BH39" s="6"/>
    </row>
    <row r="40" spans="3:61" ht="4" customHeight="1">
      <c r="C40" s="5"/>
      <c r="D40" s="1134"/>
      <c r="E40" s="1134"/>
      <c r="F40" s="1134"/>
      <c r="G40" s="1134"/>
      <c r="H40" s="1134"/>
      <c r="I40" s="1134"/>
      <c r="J40" s="1134"/>
      <c r="K40" s="1134"/>
      <c r="L40" s="1134"/>
      <c r="M40" s="1134"/>
      <c r="N40" s="1134"/>
      <c r="O40" s="1134"/>
      <c r="P40" s="1134"/>
      <c r="Q40" s="1134"/>
      <c r="R40" s="1134"/>
      <c r="S40" s="1134"/>
      <c r="T40" s="1134"/>
      <c r="U40" s="21"/>
      <c r="X40" s="6"/>
      <c r="Y40" s="6"/>
      <c r="Z40" s="6"/>
      <c r="AA40" s="6"/>
      <c r="AB40" s="6"/>
      <c r="AC40" s="6"/>
      <c r="AD40" s="6"/>
      <c r="AE40" s="6"/>
      <c r="AF40" s="6"/>
      <c r="AG40" s="6"/>
      <c r="AH40" s="6"/>
      <c r="AI40" s="6"/>
      <c r="AJ40" s="6"/>
      <c r="AK40" s="6"/>
      <c r="AL40" s="6"/>
      <c r="AM40" s="6"/>
      <c r="AN40" s="6"/>
      <c r="AR40" s="6"/>
      <c r="AS40" s="6"/>
      <c r="AT40" s="6"/>
      <c r="AU40" s="6"/>
      <c r="AV40" s="6"/>
      <c r="AW40" s="6"/>
      <c r="AX40" s="6"/>
      <c r="AY40" s="6"/>
      <c r="AZ40" s="6"/>
      <c r="BA40" s="6"/>
      <c r="BB40" s="6"/>
      <c r="BC40" s="6"/>
      <c r="BD40" s="6"/>
      <c r="BE40" s="6"/>
      <c r="BF40" s="6"/>
      <c r="BG40" s="6"/>
      <c r="BH40" s="6"/>
    </row>
    <row r="41" spans="3:61" ht="13" customHeight="1">
      <c r="C41" s="5"/>
      <c r="F41" s="1142" t="str">
        <f>VLOOKUP(F$2,購入者リスト!$B:$J,7,FALSE)</f>
        <v>大島 千穂</v>
      </c>
      <c r="G41" s="1142"/>
      <c r="H41" s="1142"/>
      <c r="I41" s="1142"/>
      <c r="J41" s="1142"/>
      <c r="K41" s="1142"/>
      <c r="L41" s="1142"/>
      <c r="M41" s="1142"/>
      <c r="N41" s="1143" t="s">
        <v>3238</v>
      </c>
      <c r="O41" s="1144"/>
      <c r="P41" s="14"/>
      <c r="Q41" s="14"/>
      <c r="R41" s="14"/>
      <c r="S41" s="14"/>
      <c r="U41" s="22"/>
      <c r="Z41" s="7"/>
      <c r="AA41" s="7"/>
      <c r="AB41" s="7"/>
      <c r="AC41" s="7"/>
      <c r="AD41" s="7"/>
      <c r="AE41" s="7"/>
      <c r="AF41" s="7"/>
      <c r="AG41" s="7"/>
      <c r="AH41" s="13"/>
      <c r="AI41" s="14"/>
      <c r="AJ41" s="14"/>
      <c r="AK41" s="14"/>
      <c r="AL41" s="14"/>
      <c r="AM41" s="14"/>
      <c r="AO41" s="30"/>
      <c r="AT41" s="7"/>
      <c r="AU41" s="7"/>
      <c r="AV41" s="7"/>
      <c r="AW41" s="7"/>
      <c r="AX41" s="7"/>
      <c r="AY41" s="7"/>
      <c r="AZ41" s="7"/>
      <c r="BA41" s="7"/>
      <c r="BB41" s="13"/>
      <c r="BC41" s="14"/>
      <c r="BD41" s="14"/>
      <c r="BE41" s="14"/>
      <c r="BF41" s="14"/>
      <c r="BG41" s="14"/>
      <c r="BI41" s="30"/>
    </row>
    <row r="42" spans="3:61" ht="13" customHeight="1">
      <c r="C42" s="5"/>
      <c r="F42" s="1142"/>
      <c r="G42" s="1142"/>
      <c r="H42" s="1142"/>
      <c r="I42" s="1142"/>
      <c r="J42" s="1142"/>
      <c r="K42" s="1142"/>
      <c r="L42" s="1142"/>
      <c r="M42" s="1142"/>
      <c r="N42" s="1144"/>
      <c r="O42" s="1144"/>
      <c r="P42" s="14"/>
      <c r="Q42" s="14"/>
      <c r="R42" s="14"/>
      <c r="S42" s="14"/>
      <c r="U42" s="23"/>
      <c r="Z42" s="7"/>
      <c r="AA42" s="7"/>
      <c r="AB42" s="7"/>
      <c r="AC42" s="7"/>
      <c r="AD42" s="7"/>
      <c r="AE42" s="7"/>
      <c r="AF42" s="7"/>
      <c r="AG42" s="7"/>
      <c r="AH42" s="14"/>
      <c r="AI42" s="14"/>
      <c r="AJ42" s="14"/>
      <c r="AK42" s="14"/>
      <c r="AL42" s="14"/>
      <c r="AM42" s="14"/>
      <c r="AO42" s="31"/>
      <c r="AT42" s="7"/>
      <c r="AU42" s="7"/>
      <c r="AV42" s="7"/>
      <c r="AW42" s="7"/>
      <c r="AX42" s="7"/>
      <c r="AY42" s="7"/>
      <c r="AZ42" s="7"/>
      <c r="BA42" s="7"/>
      <c r="BB42" s="14"/>
      <c r="BC42" s="14"/>
      <c r="BD42" s="14"/>
      <c r="BE42" s="14"/>
      <c r="BF42" s="14"/>
      <c r="BG42" s="14"/>
      <c r="BI42" s="31"/>
    </row>
    <row r="43" spans="3:61" ht="13" customHeight="1">
      <c r="C43" s="5"/>
      <c r="F43" s="1142"/>
      <c r="G43" s="1142"/>
      <c r="H43" s="1142"/>
      <c r="I43" s="1142"/>
      <c r="J43" s="1142"/>
      <c r="K43" s="1142"/>
      <c r="L43" s="1142"/>
      <c r="M43" s="1142"/>
      <c r="N43" s="1144"/>
      <c r="O43" s="1144"/>
      <c r="Q43" s="24"/>
      <c r="U43" s="21"/>
      <c r="Z43" s="7"/>
      <c r="AA43" s="7"/>
      <c r="AB43" s="7"/>
      <c r="AC43" s="7"/>
      <c r="AD43" s="7"/>
      <c r="AE43" s="7"/>
      <c r="AF43" s="7"/>
      <c r="AG43" s="7"/>
      <c r="AH43" s="14"/>
      <c r="AI43" s="14"/>
      <c r="AK43" s="24"/>
      <c r="AT43" s="7"/>
      <c r="AU43" s="7"/>
      <c r="AV43" s="7"/>
      <c r="AW43" s="7"/>
      <c r="AX43" s="7"/>
      <c r="AY43" s="7"/>
      <c r="AZ43" s="7"/>
      <c r="BA43" s="7"/>
      <c r="BB43" s="14"/>
      <c r="BC43" s="14"/>
      <c r="BE43" s="24"/>
    </row>
    <row r="44" spans="3:61" s="1" customFormat="1" ht="4" customHeight="1">
      <c r="C44" s="8"/>
      <c r="U44" s="25"/>
    </row>
    <row r="45" spans="3:61" s="1" customFormat="1" ht="12.65" customHeight="1">
      <c r="C45" s="8"/>
      <c r="G45" s="9" t="s">
        <v>3239</v>
      </c>
      <c r="K45" s="1145" t="s">
        <v>3240</v>
      </c>
      <c r="L45" s="1145"/>
      <c r="M45" s="1145"/>
      <c r="N45" s="1145"/>
      <c r="O45" s="1145"/>
      <c r="P45" s="1145"/>
      <c r="Q45" s="1145"/>
      <c r="R45" s="1145"/>
      <c r="S45" s="1145"/>
      <c r="T45" s="1145"/>
      <c r="U45" s="1146"/>
      <c r="AA45" s="9"/>
      <c r="AE45" s="15"/>
      <c r="AF45" s="15"/>
      <c r="AG45" s="15"/>
      <c r="AH45" s="15"/>
      <c r="AI45" s="15"/>
      <c r="AJ45" s="15"/>
      <c r="AK45" s="15"/>
      <c r="AL45" s="15"/>
      <c r="AM45" s="15"/>
      <c r="AN45" s="15"/>
      <c r="AO45" s="15"/>
      <c r="AU45" s="9"/>
      <c r="AY45" s="15"/>
      <c r="AZ45" s="15"/>
      <c r="BA45" s="15"/>
      <c r="BB45" s="15"/>
      <c r="BC45" s="15"/>
      <c r="BD45" s="15"/>
      <c r="BE45" s="15"/>
      <c r="BF45" s="15"/>
      <c r="BG45" s="15"/>
      <c r="BH45" s="15"/>
      <c r="BI45" s="15"/>
    </row>
    <row r="46" spans="3:61" s="1" customFormat="1" ht="4" customHeight="1">
      <c r="C46" s="8"/>
      <c r="U46" s="25"/>
    </row>
    <row r="47" spans="3:61" s="1" customFormat="1" ht="14" customHeight="1">
      <c r="C47" s="8"/>
      <c r="P47" s="9" t="s">
        <v>3241</v>
      </c>
      <c r="T47" s="26" t="s">
        <v>3242</v>
      </c>
      <c r="U47" s="25"/>
      <c r="AJ47" s="9"/>
      <c r="AN47" s="26"/>
      <c r="BD47" s="9"/>
      <c r="BH47" s="26"/>
    </row>
    <row r="48" spans="3:61" s="1" customFormat="1" ht="13" customHeight="1">
      <c r="C48" s="10"/>
      <c r="D48" s="11"/>
      <c r="E48" s="11"/>
      <c r="F48" s="11"/>
      <c r="G48" s="11"/>
      <c r="H48" s="11"/>
      <c r="I48" s="11"/>
      <c r="J48" s="11"/>
      <c r="K48" s="11"/>
      <c r="L48" s="11"/>
      <c r="M48" s="11"/>
      <c r="N48" s="11"/>
      <c r="O48" s="11"/>
      <c r="P48" s="11"/>
      <c r="Q48" s="11"/>
      <c r="R48" s="11"/>
      <c r="S48" s="11"/>
      <c r="T48" s="11"/>
      <c r="U48" s="27"/>
      <c r="AO48" s="32"/>
      <c r="BI48" s="32"/>
    </row>
    <row r="49" spans="3:61" ht="13" customHeight="1">
      <c r="C49" s="3"/>
      <c r="D49" s="4"/>
      <c r="E49" s="4"/>
      <c r="F49" s="4"/>
      <c r="G49" s="4"/>
      <c r="H49" s="4"/>
      <c r="I49" s="4"/>
      <c r="J49" s="4"/>
      <c r="K49" s="4"/>
      <c r="L49" s="4"/>
      <c r="M49" s="4"/>
      <c r="N49" s="4"/>
      <c r="O49" s="4"/>
      <c r="P49" s="4"/>
      <c r="Q49" s="4"/>
      <c r="R49" s="4"/>
      <c r="S49" s="4"/>
      <c r="T49" s="4"/>
      <c r="U49" s="16"/>
    </row>
    <row r="50" spans="3:61" ht="13" customHeight="1">
      <c r="C50" s="5"/>
      <c r="D50" s="1139" t="str">
        <f>LEFT(VLOOKUP(G$2,購入者リスト!$B:$J,8,FALSE),1)</f>
        <v>8</v>
      </c>
      <c r="E50" s="1139" t="str">
        <f>MID(VLOOKUP(G$2,購入者リスト!$B:$J,8,FALSE),2,1)</f>
        <v>1</v>
      </c>
      <c r="F50" s="1139" t="str">
        <f>MID(VLOOKUP(G$2,購入者リスト!$B:$J,8,FALSE),3,1)</f>
        <v>1</v>
      </c>
      <c r="G50" s="1138"/>
      <c r="H50" s="1135" t="str">
        <f>MID(VLOOKUP(G$2,購入者リスト!$B:$J,8,FALSE),5,1)</f>
        <v>4</v>
      </c>
      <c r="I50" s="1135" t="str">
        <f>MID(VLOOKUP(G$2,購入者リスト!$B:$J,8,FALSE),6,1)</f>
        <v>3</v>
      </c>
      <c r="J50" s="1135" t="str">
        <f>MID(VLOOKUP(G$2,購入者リスト!$B:$J,8,FALSE),7,1)</f>
        <v>0</v>
      </c>
      <c r="K50" s="1135" t="str">
        <f>MID(VLOOKUP(G$2,購入者リスト!$B:$J,8,FALSE),8,1)</f>
        <v>4</v>
      </c>
      <c r="L50" s="12"/>
      <c r="M50" s="12"/>
      <c r="N50" s="12"/>
      <c r="O50" s="12"/>
      <c r="P50" s="12"/>
      <c r="Q50" s="1132" t="s">
        <v>3235</v>
      </c>
      <c r="R50" s="1133"/>
      <c r="S50" s="1133"/>
      <c r="T50" s="1133"/>
      <c r="U50" s="19"/>
      <c r="X50" s="20"/>
      <c r="Y50" s="20"/>
      <c r="Z50" s="20"/>
      <c r="AA50" s="28"/>
      <c r="AB50" s="29"/>
      <c r="AC50" s="29"/>
      <c r="AD50" s="29"/>
      <c r="AE50" s="29"/>
      <c r="AF50" s="12"/>
      <c r="AG50" s="12"/>
      <c r="AH50" s="12"/>
      <c r="AI50" s="12"/>
      <c r="AJ50" s="12"/>
      <c r="AK50" s="17"/>
      <c r="AL50" s="18"/>
      <c r="AM50" s="18"/>
      <c r="AN50" s="18"/>
      <c r="AO50" s="18"/>
      <c r="AR50" s="20"/>
      <c r="AS50" s="20"/>
      <c r="AT50" s="20"/>
      <c r="AU50" s="28"/>
      <c r="AV50" s="29"/>
      <c r="AW50" s="29"/>
      <c r="AX50" s="29"/>
      <c r="AY50" s="29"/>
      <c r="AZ50" s="12"/>
      <c r="BA50" s="12"/>
      <c r="BB50" s="12"/>
      <c r="BC50" s="12"/>
      <c r="BD50" s="12"/>
      <c r="BE50" s="17"/>
      <c r="BF50" s="18"/>
      <c r="BG50" s="18"/>
      <c r="BH50" s="18"/>
      <c r="BI50" s="18"/>
    </row>
    <row r="51" spans="3:61" ht="13" customHeight="1">
      <c r="C51" s="5"/>
      <c r="D51" s="1140"/>
      <c r="E51" s="1140"/>
      <c r="F51" s="1140"/>
      <c r="G51" s="1138"/>
      <c r="H51" s="1136"/>
      <c r="I51" s="1136"/>
      <c r="J51" s="1136"/>
      <c r="K51" s="1136"/>
      <c r="L51" s="12"/>
      <c r="M51" s="12"/>
      <c r="N51" s="12"/>
      <c r="O51" s="12"/>
      <c r="P51" s="12"/>
      <c r="Q51" s="1133"/>
      <c r="R51" s="1133"/>
      <c r="S51" s="1133"/>
      <c r="T51" s="1133"/>
      <c r="U51" s="19"/>
      <c r="X51" s="20"/>
      <c r="Y51" s="20"/>
      <c r="Z51" s="20"/>
      <c r="AA51" s="28"/>
      <c r="AB51" s="29"/>
      <c r="AC51" s="29"/>
      <c r="AD51" s="29"/>
      <c r="AE51" s="29"/>
      <c r="AF51" s="12"/>
      <c r="AG51" s="12"/>
      <c r="AH51" s="12"/>
      <c r="AI51" s="12"/>
      <c r="AJ51" s="12"/>
      <c r="AK51" s="18"/>
      <c r="AL51" s="18"/>
      <c r="AM51" s="18"/>
      <c r="AN51" s="18"/>
      <c r="AO51" s="18"/>
      <c r="AR51" s="20"/>
      <c r="AS51" s="20"/>
      <c r="AT51" s="20"/>
      <c r="AU51" s="28"/>
      <c r="AV51" s="29"/>
      <c r="AW51" s="29"/>
      <c r="AX51" s="29"/>
      <c r="AY51" s="29"/>
      <c r="AZ51" s="12"/>
      <c r="BA51" s="12"/>
      <c r="BB51" s="12"/>
      <c r="BC51" s="12"/>
      <c r="BD51" s="12"/>
      <c r="BE51" s="18"/>
      <c r="BF51" s="18"/>
      <c r="BG51" s="18"/>
      <c r="BH51" s="18"/>
      <c r="BI51" s="18"/>
    </row>
    <row r="52" spans="3:61" ht="13" customHeight="1">
      <c r="C52" s="5"/>
      <c r="D52" s="1141"/>
      <c r="E52" s="1141"/>
      <c r="F52" s="1141"/>
      <c r="G52" s="1138"/>
      <c r="H52" s="1137"/>
      <c r="I52" s="1137"/>
      <c r="J52" s="1137"/>
      <c r="K52" s="1137"/>
      <c r="L52" s="12"/>
      <c r="M52" s="12"/>
      <c r="N52" s="12"/>
      <c r="O52" s="12"/>
      <c r="P52" s="12"/>
      <c r="Q52" s="1133"/>
      <c r="R52" s="1133"/>
      <c r="S52" s="1133"/>
      <c r="T52" s="1133"/>
      <c r="U52" s="19"/>
      <c r="X52" s="20"/>
      <c r="Y52" s="20"/>
      <c r="Z52" s="20"/>
      <c r="AA52" s="28"/>
      <c r="AB52" s="29"/>
      <c r="AC52" s="29"/>
      <c r="AD52" s="29"/>
      <c r="AE52" s="29"/>
      <c r="AF52" s="12"/>
      <c r="AG52" s="12"/>
      <c r="AH52" s="12"/>
      <c r="AI52" s="12"/>
      <c r="AJ52" s="12"/>
      <c r="AK52" s="18"/>
      <c r="AL52" s="18"/>
      <c r="AM52" s="18"/>
      <c r="AN52" s="18"/>
      <c r="AO52" s="18"/>
      <c r="AR52" s="20"/>
      <c r="AS52" s="20"/>
      <c r="AT52" s="20"/>
      <c r="AU52" s="28"/>
      <c r="AV52" s="29"/>
      <c r="AW52" s="29"/>
      <c r="AX52" s="29"/>
      <c r="AY52" s="29"/>
      <c r="AZ52" s="12"/>
      <c r="BA52" s="12"/>
      <c r="BB52" s="12"/>
      <c r="BC52" s="12"/>
      <c r="BD52" s="12"/>
      <c r="BE52" s="18"/>
      <c r="BF52" s="18"/>
      <c r="BG52" s="18"/>
      <c r="BH52" s="18"/>
      <c r="BI52" s="18"/>
    </row>
    <row r="53" spans="3:61" ht="13" customHeight="1">
      <c r="C53" s="5"/>
      <c r="D53" s="1134" t="str">
        <f>VLOOKUP(G$2,購入者リスト!$B:$J,9,FALSE)</f>
        <v>福岡県 遠賀郡遠賀町若松 330-4</v>
      </c>
      <c r="E53" s="1134"/>
      <c r="F53" s="1134"/>
      <c r="G53" s="1134"/>
      <c r="H53" s="1134"/>
      <c r="I53" s="1134"/>
      <c r="J53" s="1134"/>
      <c r="K53" s="1134"/>
      <c r="L53" s="1134"/>
      <c r="M53" s="1134"/>
      <c r="N53" s="1134"/>
      <c r="O53" s="1134"/>
      <c r="P53" s="1134"/>
      <c r="Q53" s="1134"/>
      <c r="R53" s="1134"/>
      <c r="S53" s="1134"/>
      <c r="T53" s="1134"/>
      <c r="U53" s="21"/>
      <c r="X53" s="6"/>
      <c r="Y53" s="6"/>
      <c r="Z53" s="6"/>
      <c r="AA53" s="6"/>
      <c r="AB53" s="6"/>
      <c r="AC53" s="6"/>
      <c r="AD53" s="6"/>
      <c r="AE53" s="6"/>
      <c r="AF53" s="6"/>
      <c r="AG53" s="6"/>
      <c r="AH53" s="6"/>
      <c r="AI53" s="6"/>
      <c r="AJ53" s="6"/>
      <c r="AK53" s="6"/>
      <c r="AL53" s="6"/>
      <c r="AM53" s="6"/>
      <c r="AN53" s="6"/>
      <c r="AR53" s="6"/>
      <c r="AS53" s="6"/>
      <c r="AT53" s="6"/>
      <c r="AU53" s="6"/>
      <c r="AV53" s="6"/>
      <c r="AW53" s="6"/>
      <c r="AX53" s="6"/>
      <c r="AY53" s="6"/>
      <c r="AZ53" s="6"/>
      <c r="BA53" s="6"/>
      <c r="BB53" s="6"/>
      <c r="BC53" s="6"/>
      <c r="BD53" s="6"/>
      <c r="BE53" s="6"/>
      <c r="BF53" s="6"/>
      <c r="BG53" s="6"/>
      <c r="BH53" s="6"/>
    </row>
    <row r="54" spans="3:61" ht="13" customHeight="1">
      <c r="C54" s="5"/>
      <c r="D54" s="1134"/>
      <c r="E54" s="1134"/>
      <c r="F54" s="1134"/>
      <c r="G54" s="1134"/>
      <c r="H54" s="1134"/>
      <c r="I54" s="1134"/>
      <c r="J54" s="1134"/>
      <c r="K54" s="1134"/>
      <c r="L54" s="1134"/>
      <c r="M54" s="1134"/>
      <c r="N54" s="1134"/>
      <c r="O54" s="1134"/>
      <c r="P54" s="1134"/>
      <c r="Q54" s="1134"/>
      <c r="R54" s="1134"/>
      <c r="S54" s="1134"/>
      <c r="T54" s="1134"/>
      <c r="U54" s="21"/>
      <c r="X54" s="6"/>
      <c r="Y54" s="6"/>
      <c r="Z54" s="6"/>
      <c r="AA54" s="6"/>
      <c r="AB54" s="6"/>
      <c r="AC54" s="6"/>
      <c r="AD54" s="6"/>
      <c r="AE54" s="6"/>
      <c r="AF54" s="6"/>
      <c r="AG54" s="6"/>
      <c r="AH54" s="6"/>
      <c r="AI54" s="6"/>
      <c r="AJ54" s="6"/>
      <c r="AK54" s="6"/>
      <c r="AL54" s="6"/>
      <c r="AM54" s="6"/>
      <c r="AN54" s="6"/>
      <c r="AR54" s="6"/>
      <c r="AS54" s="6"/>
      <c r="AT54" s="6"/>
      <c r="AU54" s="6"/>
      <c r="AV54" s="6"/>
      <c r="AW54" s="6"/>
      <c r="AX54" s="6"/>
      <c r="AY54" s="6"/>
      <c r="AZ54" s="6"/>
      <c r="BA54" s="6"/>
      <c r="BB54" s="6"/>
      <c r="BC54" s="6"/>
      <c r="BD54" s="6"/>
      <c r="BE54" s="6"/>
      <c r="BF54" s="6"/>
      <c r="BG54" s="6"/>
      <c r="BH54" s="6"/>
    </row>
    <row r="55" spans="3:61" ht="4" customHeight="1">
      <c r="C55" s="5"/>
      <c r="D55" s="1134"/>
      <c r="E55" s="1134"/>
      <c r="F55" s="1134"/>
      <c r="G55" s="1134"/>
      <c r="H55" s="1134"/>
      <c r="I55" s="1134"/>
      <c r="J55" s="1134"/>
      <c r="K55" s="1134"/>
      <c r="L55" s="1134"/>
      <c r="M55" s="1134"/>
      <c r="N55" s="1134"/>
      <c r="O55" s="1134"/>
      <c r="P55" s="1134"/>
      <c r="Q55" s="1134"/>
      <c r="R55" s="1134"/>
      <c r="S55" s="1134"/>
      <c r="T55" s="1134"/>
      <c r="U55" s="21"/>
      <c r="X55" s="6"/>
      <c r="Y55" s="6"/>
      <c r="Z55" s="6"/>
      <c r="AA55" s="6"/>
      <c r="AB55" s="6"/>
      <c r="AC55" s="6"/>
      <c r="AD55" s="6"/>
      <c r="AE55" s="6"/>
      <c r="AF55" s="6"/>
      <c r="AG55" s="6"/>
      <c r="AH55" s="6"/>
      <c r="AI55" s="6"/>
      <c r="AJ55" s="6"/>
      <c r="AK55" s="6"/>
      <c r="AL55" s="6"/>
      <c r="AM55" s="6"/>
      <c r="AN55" s="6"/>
      <c r="AR55" s="6"/>
      <c r="AS55" s="6"/>
      <c r="AT55" s="6"/>
      <c r="AU55" s="6"/>
      <c r="AV55" s="6"/>
      <c r="AW55" s="6"/>
      <c r="AX55" s="6"/>
      <c r="AY55" s="6"/>
      <c r="AZ55" s="6"/>
      <c r="BA55" s="6"/>
      <c r="BB55" s="6"/>
      <c r="BC55" s="6"/>
      <c r="BD55" s="6"/>
      <c r="BE55" s="6"/>
      <c r="BF55" s="6"/>
      <c r="BG55" s="6"/>
      <c r="BH55" s="6"/>
    </row>
    <row r="56" spans="3:61" ht="13" customHeight="1">
      <c r="C56" s="5"/>
      <c r="F56" s="1142" t="str">
        <f>VLOOKUP(G$2,購入者リスト!$B:$J,7,FALSE)</f>
        <v>渡部 理恵</v>
      </c>
      <c r="G56" s="1142"/>
      <c r="H56" s="1142"/>
      <c r="I56" s="1142"/>
      <c r="J56" s="1142"/>
      <c r="K56" s="1142"/>
      <c r="L56" s="1142"/>
      <c r="M56" s="1142"/>
      <c r="N56" s="1143" t="s">
        <v>3238</v>
      </c>
      <c r="O56" s="1144"/>
      <c r="P56" s="14"/>
      <c r="Q56" s="14"/>
      <c r="R56" s="14"/>
      <c r="S56" s="14"/>
      <c r="U56" s="22"/>
      <c r="Z56" s="7"/>
      <c r="AA56" s="7"/>
      <c r="AB56" s="7"/>
      <c r="AC56" s="7"/>
      <c r="AD56" s="7"/>
      <c r="AE56" s="7"/>
      <c r="AF56" s="7"/>
      <c r="AG56" s="7"/>
      <c r="AH56" s="13"/>
      <c r="AI56" s="14"/>
      <c r="AJ56" s="14"/>
      <c r="AK56" s="14"/>
      <c r="AL56" s="14"/>
      <c r="AM56" s="14"/>
      <c r="AO56" s="30"/>
      <c r="AT56" s="7"/>
      <c r="AU56" s="7"/>
      <c r="AV56" s="7"/>
      <c r="AW56" s="7"/>
      <c r="AX56" s="7"/>
      <c r="AY56" s="7"/>
      <c r="AZ56" s="7"/>
      <c r="BA56" s="7"/>
      <c r="BB56" s="13"/>
      <c r="BC56" s="14"/>
      <c r="BD56" s="14"/>
      <c r="BE56" s="14"/>
      <c r="BF56" s="14"/>
      <c r="BG56" s="14"/>
      <c r="BI56" s="30"/>
    </row>
    <row r="57" spans="3:61" ht="13" customHeight="1">
      <c r="C57" s="5"/>
      <c r="F57" s="1142"/>
      <c r="G57" s="1142"/>
      <c r="H57" s="1142"/>
      <c r="I57" s="1142"/>
      <c r="J57" s="1142"/>
      <c r="K57" s="1142"/>
      <c r="L57" s="1142"/>
      <c r="M57" s="1142"/>
      <c r="N57" s="1144"/>
      <c r="O57" s="1144"/>
      <c r="P57" s="14"/>
      <c r="Q57" s="14"/>
      <c r="R57" s="14"/>
      <c r="S57" s="14"/>
      <c r="U57" s="23"/>
      <c r="Z57" s="7"/>
      <c r="AA57" s="7"/>
      <c r="AB57" s="7"/>
      <c r="AC57" s="7"/>
      <c r="AD57" s="7"/>
      <c r="AE57" s="7"/>
      <c r="AF57" s="7"/>
      <c r="AG57" s="7"/>
      <c r="AH57" s="14"/>
      <c r="AI57" s="14"/>
      <c r="AJ57" s="14"/>
      <c r="AK57" s="14"/>
      <c r="AL57" s="14"/>
      <c r="AM57" s="14"/>
      <c r="AO57" s="31"/>
      <c r="AT57" s="7"/>
      <c r="AU57" s="7"/>
      <c r="AV57" s="7"/>
      <c r="AW57" s="7"/>
      <c r="AX57" s="7"/>
      <c r="AY57" s="7"/>
      <c r="AZ57" s="7"/>
      <c r="BA57" s="7"/>
      <c r="BB57" s="14"/>
      <c r="BC57" s="14"/>
      <c r="BD57" s="14"/>
      <c r="BE57" s="14"/>
      <c r="BF57" s="14"/>
      <c r="BG57" s="14"/>
      <c r="BI57" s="31"/>
    </row>
    <row r="58" spans="3:61" ht="13" customHeight="1">
      <c r="C58" s="5"/>
      <c r="F58" s="1142"/>
      <c r="G58" s="1142"/>
      <c r="H58" s="1142"/>
      <c r="I58" s="1142"/>
      <c r="J58" s="1142"/>
      <c r="K58" s="1142"/>
      <c r="L58" s="1142"/>
      <c r="M58" s="1142"/>
      <c r="N58" s="1144"/>
      <c r="O58" s="1144"/>
      <c r="Q58" s="24"/>
      <c r="U58" s="21"/>
      <c r="Z58" s="7"/>
      <c r="AA58" s="7"/>
      <c r="AB58" s="7"/>
      <c r="AC58" s="7"/>
      <c r="AD58" s="7"/>
      <c r="AE58" s="7"/>
      <c r="AF58" s="7"/>
      <c r="AG58" s="7"/>
      <c r="AH58" s="14"/>
      <c r="AI58" s="14"/>
      <c r="AK58" s="24"/>
      <c r="AT58" s="7"/>
      <c r="AU58" s="7"/>
      <c r="AV58" s="7"/>
      <c r="AW58" s="7"/>
      <c r="AX58" s="7"/>
      <c r="AY58" s="7"/>
      <c r="AZ58" s="7"/>
      <c r="BA58" s="7"/>
      <c r="BB58" s="14"/>
      <c r="BC58" s="14"/>
      <c r="BE58" s="24"/>
    </row>
    <row r="59" spans="3:61" s="1" customFormat="1" ht="4" customHeight="1">
      <c r="C59" s="8"/>
      <c r="U59" s="25"/>
    </row>
    <row r="60" spans="3:61" s="1" customFormat="1" ht="12.65" customHeight="1">
      <c r="C60" s="8"/>
      <c r="G60" s="9" t="s">
        <v>3239</v>
      </c>
      <c r="K60" s="1145" t="s">
        <v>3240</v>
      </c>
      <c r="L60" s="1145"/>
      <c r="M60" s="1145"/>
      <c r="N60" s="1145"/>
      <c r="O60" s="1145"/>
      <c r="P60" s="1145"/>
      <c r="Q60" s="1145"/>
      <c r="R60" s="1145"/>
      <c r="S60" s="1145"/>
      <c r="T60" s="1145"/>
      <c r="U60" s="1146"/>
      <c r="AA60" s="9"/>
      <c r="AE60" s="15"/>
      <c r="AF60" s="15"/>
      <c r="AG60" s="15"/>
      <c r="AH60" s="15"/>
      <c r="AI60" s="15"/>
      <c r="AJ60" s="15"/>
      <c r="AK60" s="15"/>
      <c r="AL60" s="15"/>
      <c r="AM60" s="15"/>
      <c r="AN60" s="15"/>
      <c r="AO60" s="15"/>
      <c r="AU60" s="9"/>
      <c r="AY60" s="15"/>
      <c r="AZ60" s="15"/>
      <c r="BA60" s="15"/>
      <c r="BB60" s="15"/>
      <c r="BC60" s="15"/>
      <c r="BD60" s="15"/>
      <c r="BE60" s="15"/>
      <c r="BF60" s="15"/>
      <c r="BG60" s="15"/>
      <c r="BH60" s="15"/>
      <c r="BI60" s="15"/>
    </row>
    <row r="61" spans="3:61" s="1" customFormat="1" ht="4" customHeight="1">
      <c r="C61" s="8"/>
      <c r="U61" s="25"/>
    </row>
    <row r="62" spans="3:61" s="1" customFormat="1" ht="14" customHeight="1">
      <c r="C62" s="8"/>
      <c r="P62" s="9" t="s">
        <v>3241</v>
      </c>
      <c r="T62" s="26" t="s">
        <v>3242</v>
      </c>
      <c r="U62" s="25"/>
      <c r="AJ62" s="9"/>
      <c r="AN62" s="26"/>
      <c r="BD62" s="9"/>
      <c r="BH62" s="26"/>
    </row>
    <row r="63" spans="3:61" s="1" customFormat="1" ht="13" customHeight="1">
      <c r="C63" s="10"/>
      <c r="D63" s="11"/>
      <c r="E63" s="11"/>
      <c r="F63" s="11"/>
      <c r="G63" s="11"/>
      <c r="H63" s="11"/>
      <c r="I63" s="11"/>
      <c r="J63" s="11"/>
      <c r="K63" s="11"/>
      <c r="L63" s="11"/>
      <c r="M63" s="11"/>
      <c r="N63" s="11"/>
      <c r="O63" s="11"/>
      <c r="P63" s="11"/>
      <c r="Q63" s="11"/>
      <c r="R63" s="11"/>
      <c r="S63" s="11"/>
      <c r="T63" s="11"/>
      <c r="U63" s="27"/>
      <c r="AO63" s="32"/>
      <c r="BI63" s="32"/>
    </row>
    <row r="64" spans="3:61" ht="13" customHeight="1">
      <c r="C64" s="3"/>
      <c r="D64" s="4"/>
      <c r="E64" s="4"/>
      <c r="F64" s="4"/>
      <c r="G64" s="4"/>
      <c r="H64" s="4"/>
      <c r="I64" s="4"/>
      <c r="J64" s="4"/>
      <c r="K64" s="4"/>
      <c r="L64" s="4"/>
      <c r="M64" s="4"/>
      <c r="N64" s="4"/>
      <c r="O64" s="4"/>
      <c r="P64" s="4"/>
      <c r="Q64" s="4"/>
      <c r="R64" s="4"/>
      <c r="S64" s="4"/>
      <c r="T64" s="4"/>
      <c r="U64" s="16"/>
    </row>
    <row r="65" spans="3:61" ht="13" customHeight="1">
      <c r="C65" s="5"/>
      <c r="D65" s="1139" t="str">
        <f>LEFT(VLOOKUP(H$2,購入者リスト!$B:$J,8,FALSE),1)</f>
        <v>6</v>
      </c>
      <c r="E65" s="1139" t="str">
        <f>MID(VLOOKUP(H$2,購入者リスト!$B:$J,8,FALSE),2,1)</f>
        <v>9</v>
      </c>
      <c r="F65" s="1139" t="str">
        <f>MID(VLOOKUP(H$2,購入者リスト!$B:$J,8,FALSE),3,1)</f>
        <v>7</v>
      </c>
      <c r="G65" s="1138"/>
      <c r="H65" s="1135" t="str">
        <f>MID(VLOOKUP(H$2,購入者リスト!$B:$J,8,FALSE),5,1)</f>
        <v>0</v>
      </c>
      <c r="I65" s="1135" t="str">
        <f>MID(VLOOKUP(H$2,購入者リスト!$B:$J,8,FALSE),6,1)</f>
        <v>0</v>
      </c>
      <c r="J65" s="1135" t="str">
        <f>MID(VLOOKUP(H$2,購入者リスト!$B:$J,8,FALSE),7,1)</f>
        <v>0</v>
      </c>
      <c r="K65" s="1135" t="str">
        <f>MID(VLOOKUP(H$2,購入者リスト!$B:$J,8,FALSE),8,1)</f>
        <v>5</v>
      </c>
      <c r="L65" s="12"/>
      <c r="M65" s="12"/>
      <c r="N65" s="12"/>
      <c r="O65" s="12"/>
      <c r="P65" s="12"/>
      <c r="Q65" s="1132" t="s">
        <v>3235</v>
      </c>
      <c r="R65" s="1133"/>
      <c r="S65" s="1133"/>
      <c r="T65" s="1133"/>
      <c r="U65" s="19"/>
      <c r="X65" s="20"/>
      <c r="Y65" s="20"/>
      <c r="Z65" s="20"/>
      <c r="AA65" s="28"/>
      <c r="AB65" s="29"/>
      <c r="AC65" s="29"/>
      <c r="AD65" s="29"/>
      <c r="AE65" s="29"/>
      <c r="AF65" s="12"/>
      <c r="AG65" s="12"/>
      <c r="AH65" s="12"/>
      <c r="AI65" s="12"/>
      <c r="AJ65" s="12"/>
      <c r="AK65" s="17"/>
      <c r="AL65" s="18"/>
      <c r="AM65" s="18"/>
      <c r="AN65" s="18"/>
      <c r="AO65" s="18"/>
      <c r="AR65" s="20"/>
      <c r="AS65" s="20"/>
      <c r="AT65" s="20"/>
      <c r="AU65" s="28"/>
      <c r="AV65" s="29"/>
      <c r="AW65" s="29"/>
      <c r="AX65" s="29"/>
      <c r="AY65" s="29"/>
      <c r="AZ65" s="12"/>
      <c r="BA65" s="12"/>
      <c r="BB65" s="12"/>
      <c r="BC65" s="12"/>
      <c r="BD65" s="12"/>
      <c r="BE65" s="17"/>
      <c r="BF65" s="18"/>
      <c r="BG65" s="18"/>
      <c r="BH65" s="18"/>
      <c r="BI65" s="18"/>
    </row>
    <row r="66" spans="3:61" ht="13" customHeight="1">
      <c r="C66" s="5"/>
      <c r="D66" s="1140"/>
      <c r="E66" s="1140"/>
      <c r="F66" s="1140"/>
      <c r="G66" s="1138"/>
      <c r="H66" s="1136"/>
      <c r="I66" s="1136"/>
      <c r="J66" s="1136"/>
      <c r="K66" s="1136"/>
      <c r="L66" s="12"/>
      <c r="M66" s="12"/>
      <c r="N66" s="12"/>
      <c r="O66" s="12"/>
      <c r="P66" s="12"/>
      <c r="Q66" s="1133"/>
      <c r="R66" s="1133"/>
      <c r="S66" s="1133"/>
      <c r="T66" s="1133"/>
      <c r="U66" s="19"/>
      <c r="X66" s="20"/>
      <c r="Y66" s="20"/>
      <c r="Z66" s="20"/>
      <c r="AA66" s="28"/>
      <c r="AB66" s="29"/>
      <c r="AC66" s="29"/>
      <c r="AD66" s="29"/>
      <c r="AE66" s="29"/>
      <c r="AF66" s="12"/>
      <c r="AG66" s="12"/>
      <c r="AH66" s="12"/>
      <c r="AI66" s="12"/>
      <c r="AJ66" s="12"/>
      <c r="AK66" s="18"/>
      <c r="AL66" s="18"/>
      <c r="AM66" s="18"/>
      <c r="AN66" s="18"/>
      <c r="AO66" s="18"/>
      <c r="AR66" s="20"/>
      <c r="AS66" s="20"/>
      <c r="AT66" s="20"/>
      <c r="AU66" s="28"/>
      <c r="AV66" s="29"/>
      <c r="AW66" s="29"/>
      <c r="AX66" s="29"/>
      <c r="AY66" s="29"/>
      <c r="AZ66" s="12"/>
      <c r="BA66" s="12"/>
      <c r="BB66" s="12"/>
      <c r="BC66" s="12"/>
      <c r="BD66" s="12"/>
      <c r="BE66" s="18"/>
      <c r="BF66" s="18"/>
      <c r="BG66" s="18"/>
      <c r="BH66" s="18"/>
      <c r="BI66" s="18"/>
    </row>
    <row r="67" spans="3:61" ht="13" customHeight="1">
      <c r="C67" s="5"/>
      <c r="D67" s="1141"/>
      <c r="E67" s="1141"/>
      <c r="F67" s="1141"/>
      <c r="G67" s="1138"/>
      <c r="H67" s="1137"/>
      <c r="I67" s="1137"/>
      <c r="J67" s="1137"/>
      <c r="K67" s="1137"/>
      <c r="L67" s="12"/>
      <c r="M67" s="12"/>
      <c r="N67" s="12"/>
      <c r="O67" s="12"/>
      <c r="P67" s="12"/>
      <c r="Q67" s="1133"/>
      <c r="R67" s="1133"/>
      <c r="S67" s="1133"/>
      <c r="T67" s="1133"/>
      <c r="U67" s="19"/>
      <c r="X67" s="20"/>
      <c r="Y67" s="20"/>
      <c r="Z67" s="20"/>
      <c r="AA67" s="28"/>
      <c r="AB67" s="29"/>
      <c r="AC67" s="29"/>
      <c r="AD67" s="29"/>
      <c r="AE67" s="29"/>
      <c r="AF67" s="12"/>
      <c r="AG67" s="12"/>
      <c r="AH67" s="12"/>
      <c r="AI67" s="12"/>
      <c r="AJ67" s="12"/>
      <c r="AK67" s="18"/>
      <c r="AL67" s="18"/>
      <c r="AM67" s="18"/>
      <c r="AN67" s="18"/>
      <c r="AO67" s="18"/>
      <c r="AR67" s="20"/>
      <c r="AS67" s="20"/>
      <c r="AT67" s="20"/>
      <c r="AU67" s="28"/>
      <c r="AV67" s="29"/>
      <c r="AW67" s="29"/>
      <c r="AX67" s="29"/>
      <c r="AY67" s="29"/>
      <c r="AZ67" s="12"/>
      <c r="BA67" s="12"/>
      <c r="BB67" s="12"/>
      <c r="BC67" s="12"/>
      <c r="BD67" s="12"/>
      <c r="BE67" s="18"/>
      <c r="BF67" s="18"/>
      <c r="BG67" s="18"/>
      <c r="BH67" s="18"/>
      <c r="BI67" s="18"/>
    </row>
    <row r="68" spans="3:61" ht="13" customHeight="1">
      <c r="C68" s="5"/>
      <c r="D68" s="1134" t="str">
        <f>VLOOKUP(H$2,購入者リスト!$B:$J,9,FALSE)</f>
        <v>島根県 浜田市上府町 941-15</v>
      </c>
      <c r="E68" s="1134"/>
      <c r="F68" s="1134"/>
      <c r="G68" s="1134"/>
      <c r="H68" s="1134"/>
      <c r="I68" s="1134"/>
      <c r="J68" s="1134"/>
      <c r="K68" s="1134"/>
      <c r="L68" s="1134"/>
      <c r="M68" s="1134"/>
      <c r="N68" s="1134"/>
      <c r="O68" s="1134"/>
      <c r="P68" s="1134"/>
      <c r="Q68" s="1134"/>
      <c r="R68" s="1134"/>
      <c r="S68" s="1134"/>
      <c r="T68" s="1134"/>
      <c r="U68" s="21"/>
      <c r="X68" s="6"/>
      <c r="Y68" s="6"/>
      <c r="Z68" s="6"/>
      <c r="AA68" s="6"/>
      <c r="AB68" s="6"/>
      <c r="AC68" s="6"/>
      <c r="AD68" s="6"/>
      <c r="AE68" s="6"/>
      <c r="AF68" s="6"/>
      <c r="AG68" s="6"/>
      <c r="AH68" s="6"/>
      <c r="AI68" s="6"/>
      <c r="AJ68" s="6"/>
      <c r="AK68" s="6"/>
      <c r="AL68" s="6"/>
      <c r="AM68" s="6"/>
      <c r="AN68" s="6"/>
      <c r="AR68" s="6"/>
      <c r="AS68" s="6"/>
      <c r="AT68" s="6"/>
      <c r="AU68" s="6"/>
      <c r="AV68" s="6"/>
      <c r="AW68" s="6"/>
      <c r="AX68" s="6"/>
      <c r="AY68" s="6"/>
      <c r="AZ68" s="6"/>
      <c r="BA68" s="6"/>
      <c r="BB68" s="6"/>
      <c r="BC68" s="6"/>
      <c r="BD68" s="6"/>
      <c r="BE68" s="6"/>
      <c r="BF68" s="6"/>
      <c r="BG68" s="6"/>
      <c r="BH68" s="6"/>
    </row>
    <row r="69" spans="3:61" ht="13" customHeight="1">
      <c r="C69" s="5"/>
      <c r="D69" s="1134"/>
      <c r="E69" s="1134"/>
      <c r="F69" s="1134"/>
      <c r="G69" s="1134"/>
      <c r="H69" s="1134"/>
      <c r="I69" s="1134"/>
      <c r="J69" s="1134"/>
      <c r="K69" s="1134"/>
      <c r="L69" s="1134"/>
      <c r="M69" s="1134"/>
      <c r="N69" s="1134"/>
      <c r="O69" s="1134"/>
      <c r="P69" s="1134"/>
      <c r="Q69" s="1134"/>
      <c r="R69" s="1134"/>
      <c r="S69" s="1134"/>
      <c r="T69" s="1134"/>
      <c r="U69" s="21"/>
      <c r="X69" s="6"/>
      <c r="Y69" s="6"/>
      <c r="Z69" s="6"/>
      <c r="AA69" s="6"/>
      <c r="AB69" s="6"/>
      <c r="AC69" s="6"/>
      <c r="AD69" s="6"/>
      <c r="AE69" s="6"/>
      <c r="AF69" s="6"/>
      <c r="AG69" s="6"/>
      <c r="AH69" s="6"/>
      <c r="AI69" s="6"/>
      <c r="AJ69" s="6"/>
      <c r="AK69" s="6"/>
      <c r="AL69" s="6"/>
      <c r="AM69" s="6"/>
      <c r="AN69" s="6"/>
      <c r="AR69" s="6"/>
      <c r="AS69" s="6"/>
      <c r="AT69" s="6"/>
      <c r="AU69" s="6"/>
      <c r="AV69" s="6"/>
      <c r="AW69" s="6"/>
      <c r="AX69" s="6"/>
      <c r="AY69" s="6"/>
      <c r="AZ69" s="6"/>
      <c r="BA69" s="6"/>
      <c r="BB69" s="6"/>
      <c r="BC69" s="6"/>
      <c r="BD69" s="6"/>
      <c r="BE69" s="6"/>
      <c r="BF69" s="6"/>
      <c r="BG69" s="6"/>
      <c r="BH69" s="6"/>
    </row>
    <row r="70" spans="3:61" ht="4" customHeight="1">
      <c r="C70" s="5"/>
      <c r="D70" s="1134"/>
      <c r="E70" s="1134"/>
      <c r="F70" s="1134"/>
      <c r="G70" s="1134"/>
      <c r="H70" s="1134"/>
      <c r="I70" s="1134"/>
      <c r="J70" s="1134"/>
      <c r="K70" s="1134"/>
      <c r="L70" s="1134"/>
      <c r="M70" s="1134"/>
      <c r="N70" s="1134"/>
      <c r="O70" s="1134"/>
      <c r="P70" s="1134"/>
      <c r="Q70" s="1134"/>
      <c r="R70" s="1134"/>
      <c r="S70" s="1134"/>
      <c r="T70" s="1134"/>
      <c r="U70" s="21"/>
      <c r="X70" s="6"/>
      <c r="Y70" s="6"/>
      <c r="Z70" s="6"/>
      <c r="AA70" s="6"/>
      <c r="AB70" s="6"/>
      <c r="AC70" s="6"/>
      <c r="AD70" s="6"/>
      <c r="AE70" s="6"/>
      <c r="AF70" s="6"/>
      <c r="AG70" s="6"/>
      <c r="AH70" s="6"/>
      <c r="AI70" s="6"/>
      <c r="AJ70" s="6"/>
      <c r="AK70" s="6"/>
      <c r="AL70" s="6"/>
      <c r="AM70" s="6"/>
      <c r="AN70" s="6"/>
      <c r="AR70" s="6"/>
      <c r="AS70" s="6"/>
      <c r="AT70" s="6"/>
      <c r="AU70" s="6"/>
      <c r="AV70" s="6"/>
      <c r="AW70" s="6"/>
      <c r="AX70" s="6"/>
      <c r="AY70" s="6"/>
      <c r="AZ70" s="6"/>
      <c r="BA70" s="6"/>
      <c r="BB70" s="6"/>
      <c r="BC70" s="6"/>
      <c r="BD70" s="6"/>
      <c r="BE70" s="6"/>
      <c r="BF70" s="6"/>
      <c r="BG70" s="6"/>
      <c r="BH70" s="6"/>
    </row>
    <row r="71" spans="3:61" ht="13" customHeight="1">
      <c r="C71" s="5"/>
      <c r="F71" s="1142" t="str">
        <f>VLOOKUP(H$2,購入者リスト!$B:$J,7,FALSE)</f>
        <v>森川 ちづ子</v>
      </c>
      <c r="G71" s="1142"/>
      <c r="H71" s="1142"/>
      <c r="I71" s="1142"/>
      <c r="J71" s="1142"/>
      <c r="K71" s="1142"/>
      <c r="L71" s="1142"/>
      <c r="M71" s="1142"/>
      <c r="N71" s="1143" t="s">
        <v>3238</v>
      </c>
      <c r="O71" s="1144"/>
      <c r="P71" s="14"/>
      <c r="Q71" s="14"/>
      <c r="R71" s="14"/>
      <c r="S71" s="14"/>
      <c r="U71" s="22"/>
      <c r="Z71" s="7"/>
      <c r="AA71" s="7"/>
      <c r="AB71" s="7"/>
      <c r="AC71" s="7"/>
      <c r="AD71" s="7"/>
      <c r="AE71" s="7"/>
      <c r="AF71" s="7"/>
      <c r="AG71" s="7"/>
      <c r="AH71" s="13"/>
      <c r="AI71" s="14"/>
      <c r="AJ71" s="14"/>
      <c r="AK71" s="14"/>
      <c r="AL71" s="14"/>
      <c r="AM71" s="14"/>
      <c r="AO71" s="30"/>
      <c r="AT71" s="7"/>
      <c r="AU71" s="7"/>
      <c r="AV71" s="7"/>
      <c r="AW71" s="7"/>
      <c r="AX71" s="7"/>
      <c r="AY71" s="7"/>
      <c r="AZ71" s="7"/>
      <c r="BA71" s="7"/>
      <c r="BB71" s="13"/>
      <c r="BC71" s="14"/>
      <c r="BD71" s="14"/>
      <c r="BE71" s="14"/>
      <c r="BF71" s="14"/>
      <c r="BG71" s="14"/>
      <c r="BI71" s="30"/>
    </row>
    <row r="72" spans="3:61" ht="13" customHeight="1">
      <c r="C72" s="5"/>
      <c r="F72" s="1142"/>
      <c r="G72" s="1142"/>
      <c r="H72" s="1142"/>
      <c r="I72" s="1142"/>
      <c r="J72" s="1142"/>
      <c r="K72" s="1142"/>
      <c r="L72" s="1142"/>
      <c r="M72" s="1142"/>
      <c r="N72" s="1144"/>
      <c r="O72" s="1144"/>
      <c r="P72" s="14"/>
      <c r="Q72" s="14"/>
      <c r="R72" s="14"/>
      <c r="S72" s="14"/>
      <c r="U72" s="23"/>
      <c r="Z72" s="7"/>
      <c r="AA72" s="7"/>
      <c r="AB72" s="7"/>
      <c r="AC72" s="7"/>
      <c r="AD72" s="7"/>
      <c r="AE72" s="7"/>
      <c r="AF72" s="7"/>
      <c r="AG72" s="7"/>
      <c r="AH72" s="14"/>
      <c r="AI72" s="14"/>
      <c r="AJ72" s="14"/>
      <c r="AK72" s="14"/>
      <c r="AL72" s="14"/>
      <c r="AM72" s="14"/>
      <c r="AO72" s="31"/>
      <c r="AT72" s="7"/>
      <c r="AU72" s="7"/>
      <c r="AV72" s="7"/>
      <c r="AW72" s="7"/>
      <c r="AX72" s="7"/>
      <c r="AY72" s="7"/>
      <c r="AZ72" s="7"/>
      <c r="BA72" s="7"/>
      <c r="BB72" s="14"/>
      <c r="BC72" s="14"/>
      <c r="BD72" s="14"/>
      <c r="BE72" s="14"/>
      <c r="BF72" s="14"/>
      <c r="BG72" s="14"/>
      <c r="BI72" s="31"/>
    </row>
    <row r="73" spans="3:61" ht="13" customHeight="1">
      <c r="C73" s="5"/>
      <c r="F73" s="1142"/>
      <c r="G73" s="1142"/>
      <c r="H73" s="1142"/>
      <c r="I73" s="1142"/>
      <c r="J73" s="1142"/>
      <c r="K73" s="1142"/>
      <c r="L73" s="1142"/>
      <c r="M73" s="1142"/>
      <c r="N73" s="1144"/>
      <c r="O73" s="1144"/>
      <c r="Q73" s="24"/>
      <c r="U73" s="21"/>
      <c r="Z73" s="7"/>
      <c r="AA73" s="7"/>
      <c r="AB73" s="7"/>
      <c r="AC73" s="7"/>
      <c r="AD73" s="7"/>
      <c r="AE73" s="7"/>
      <c r="AF73" s="7"/>
      <c r="AG73" s="7"/>
      <c r="AH73" s="14"/>
      <c r="AI73" s="14"/>
      <c r="AK73" s="24"/>
      <c r="AT73" s="7"/>
      <c r="AU73" s="7"/>
      <c r="AV73" s="7"/>
      <c r="AW73" s="7"/>
      <c r="AX73" s="7"/>
      <c r="AY73" s="7"/>
      <c r="AZ73" s="7"/>
      <c r="BA73" s="7"/>
      <c r="BB73" s="14"/>
      <c r="BC73" s="14"/>
      <c r="BE73" s="24"/>
    </row>
    <row r="74" spans="3:61" s="1" customFormat="1" ht="4" customHeight="1">
      <c r="C74" s="8"/>
      <c r="U74" s="25"/>
    </row>
    <row r="75" spans="3:61" s="1" customFormat="1" ht="12.65" customHeight="1">
      <c r="C75" s="8"/>
      <c r="G75" s="9" t="s">
        <v>3239</v>
      </c>
      <c r="K75" s="1145" t="s">
        <v>3240</v>
      </c>
      <c r="L75" s="1145"/>
      <c r="M75" s="1145"/>
      <c r="N75" s="1145"/>
      <c r="O75" s="1145"/>
      <c r="P75" s="1145"/>
      <c r="Q75" s="1145"/>
      <c r="R75" s="1145"/>
      <c r="S75" s="1145"/>
      <c r="T75" s="1145"/>
      <c r="U75" s="1146"/>
      <c r="AA75" s="9"/>
      <c r="AE75" s="15"/>
      <c r="AF75" s="15"/>
      <c r="AG75" s="15"/>
      <c r="AH75" s="15"/>
      <c r="AI75" s="15"/>
      <c r="AJ75" s="15"/>
      <c r="AK75" s="15"/>
      <c r="AL75" s="15"/>
      <c r="AM75" s="15"/>
      <c r="AN75" s="15"/>
      <c r="AO75" s="15"/>
      <c r="AU75" s="9"/>
      <c r="AY75" s="15"/>
      <c r="AZ75" s="15"/>
      <c r="BA75" s="15"/>
      <c r="BB75" s="15"/>
      <c r="BC75" s="15"/>
      <c r="BD75" s="15"/>
      <c r="BE75" s="15"/>
      <c r="BF75" s="15"/>
      <c r="BG75" s="15"/>
      <c r="BH75" s="15"/>
      <c r="BI75" s="15"/>
    </row>
    <row r="76" spans="3:61" s="1" customFormat="1" ht="4" customHeight="1">
      <c r="C76" s="8"/>
      <c r="U76" s="25"/>
    </row>
    <row r="77" spans="3:61" s="1" customFormat="1" ht="14" customHeight="1">
      <c r="C77" s="8"/>
      <c r="P77" s="9" t="s">
        <v>3241</v>
      </c>
      <c r="T77" s="26" t="s">
        <v>3242</v>
      </c>
      <c r="U77" s="25"/>
      <c r="AJ77" s="9"/>
      <c r="AN77" s="26"/>
      <c r="BD77" s="9"/>
      <c r="BH77" s="26"/>
    </row>
    <row r="78" spans="3:61" s="1" customFormat="1" ht="13" customHeight="1">
      <c r="C78" s="10"/>
      <c r="D78" s="11"/>
      <c r="E78" s="11"/>
      <c r="F78" s="11"/>
      <c r="G78" s="11"/>
      <c r="H78" s="11"/>
      <c r="I78" s="11"/>
      <c r="J78" s="11"/>
      <c r="K78" s="11"/>
      <c r="L78" s="11"/>
      <c r="M78" s="11"/>
      <c r="N78" s="11"/>
      <c r="O78" s="11"/>
      <c r="P78" s="11"/>
      <c r="Q78" s="11"/>
      <c r="R78" s="11"/>
      <c r="S78" s="11"/>
      <c r="T78" s="11"/>
      <c r="U78" s="27"/>
      <c r="AO78" s="32"/>
      <c r="BI78" s="32"/>
    </row>
  </sheetData>
  <mergeCells count="68">
    <mergeCell ref="K15:U15"/>
    <mergeCell ref="K30:U30"/>
    <mergeCell ref="K45:U45"/>
    <mergeCell ref="K60:U60"/>
    <mergeCell ref="K75:U75"/>
    <mergeCell ref="D68:T70"/>
    <mergeCell ref="F71:M73"/>
    <mergeCell ref="N71:O73"/>
    <mergeCell ref="E20:E22"/>
    <mergeCell ref="E35:E37"/>
    <mergeCell ref="E50:E52"/>
    <mergeCell ref="E65:E67"/>
    <mergeCell ref="G20:G22"/>
    <mergeCell ref="G35:G37"/>
    <mergeCell ref="G50:G52"/>
    <mergeCell ref="G65:G67"/>
    <mergeCell ref="F20:F22"/>
    <mergeCell ref="F35:F37"/>
    <mergeCell ref="F50:F52"/>
    <mergeCell ref="F65:F67"/>
    <mergeCell ref="D5:D7"/>
    <mergeCell ref="D20:D22"/>
    <mergeCell ref="D35:D37"/>
    <mergeCell ref="D50:D52"/>
    <mergeCell ref="D65:D67"/>
    <mergeCell ref="K50:K52"/>
    <mergeCell ref="K65:K67"/>
    <mergeCell ref="F41:M43"/>
    <mergeCell ref="D53:T55"/>
    <mergeCell ref="F56:M58"/>
    <mergeCell ref="N56:O58"/>
    <mergeCell ref="Q65:T67"/>
    <mergeCell ref="N41:O43"/>
    <mergeCell ref="Q50:T52"/>
    <mergeCell ref="J50:J52"/>
    <mergeCell ref="J65:J67"/>
    <mergeCell ref="I50:I52"/>
    <mergeCell ref="I65:I67"/>
    <mergeCell ref="H50:H52"/>
    <mergeCell ref="H65:H67"/>
    <mergeCell ref="N11:O13"/>
    <mergeCell ref="Q20:T22"/>
    <mergeCell ref="D23:T25"/>
    <mergeCell ref="F11:M13"/>
    <mergeCell ref="D38:T40"/>
    <mergeCell ref="N26:O28"/>
    <mergeCell ref="F26:M28"/>
    <mergeCell ref="Q35:T37"/>
    <mergeCell ref="K20:K22"/>
    <mergeCell ref="K35:K37"/>
    <mergeCell ref="J20:J22"/>
    <mergeCell ref="J35:J37"/>
    <mergeCell ref="I20:I22"/>
    <mergeCell ref="I35:I37"/>
    <mergeCell ref="H20:H22"/>
    <mergeCell ref="H35:H37"/>
    <mergeCell ref="BK4:BR5"/>
    <mergeCell ref="Q5:T7"/>
    <mergeCell ref="BK6:BX7"/>
    <mergeCell ref="D8:T10"/>
    <mergeCell ref="BK8:BX9"/>
    <mergeCell ref="K5:K7"/>
    <mergeCell ref="J5:J7"/>
    <mergeCell ref="I5:I7"/>
    <mergeCell ref="H5:H7"/>
    <mergeCell ref="G5:G7"/>
    <mergeCell ref="E5:E7"/>
    <mergeCell ref="F5:F7"/>
  </mergeCells>
  <phoneticPr fontId="59"/>
  <printOptions horizontalCentered="1" verticalCentered="1"/>
  <pageMargins left="0.23622047244094499" right="0.23622047244094499" top="0.23622047244094499" bottom="0.23622047244094499" header="0" footer="0"/>
  <pageSetup paperSize="9" scale="50" orientation="landscape" r:id="rId1"/>
  <headerFooter scaleWithDoc="0"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C2:BX78"/>
  <sheetViews>
    <sheetView showGridLines="0" showWhiteSpace="0" view="pageBreakPreview" zoomScale="55" zoomScaleNormal="85" workbookViewId="0"/>
  </sheetViews>
  <sheetFormatPr defaultColWidth="9" defaultRowHeight="12.5"/>
  <cols>
    <col min="1" max="2" width="3.36328125" customWidth="1"/>
    <col min="3" max="3" width="2.81640625" customWidth="1"/>
    <col min="4" max="20" width="4.81640625" customWidth="1"/>
    <col min="21" max="21" width="2.81640625" customWidth="1"/>
    <col min="23" max="23" width="2.81640625" customWidth="1"/>
    <col min="24" max="40" width="4.81640625" customWidth="1"/>
    <col min="41" max="41" width="2.81640625" customWidth="1"/>
    <col min="43" max="43" width="2.81640625" customWidth="1"/>
    <col min="44" max="60" width="4.81640625" customWidth="1"/>
    <col min="61" max="61" width="2.81640625" customWidth="1"/>
  </cols>
  <sheetData>
    <row r="2" spans="3:76" ht="14.4" customHeight="1">
      <c r="D2" s="2">
        <v>72</v>
      </c>
      <c r="E2" s="2">
        <v>73</v>
      </c>
      <c r="F2" s="2">
        <v>71</v>
      </c>
      <c r="G2" s="2">
        <v>74</v>
      </c>
      <c r="H2" s="2">
        <v>70</v>
      </c>
    </row>
    <row r="3" spans="3:76" ht="13.75" customHeight="1">
      <c r="G3" t="s">
        <v>3233</v>
      </c>
    </row>
    <row r="4" spans="3:76" ht="13" customHeight="1">
      <c r="C4" s="3"/>
      <c r="D4" s="4"/>
      <c r="E4" s="4"/>
      <c r="F4" s="4"/>
      <c r="G4" s="4"/>
      <c r="H4" s="4"/>
      <c r="I4" s="4"/>
      <c r="J4" s="4"/>
      <c r="K4" s="4"/>
      <c r="L4" s="4"/>
      <c r="M4" s="4"/>
      <c r="N4" s="4"/>
      <c r="O4" s="4"/>
      <c r="P4" s="4"/>
      <c r="Q4" s="4"/>
      <c r="R4" s="4"/>
      <c r="S4" s="4"/>
      <c r="T4" s="4"/>
      <c r="U4" s="16"/>
      <c r="BK4" s="1131" t="s">
        <v>3234</v>
      </c>
      <c r="BL4" s="1131"/>
      <c r="BM4" s="1131"/>
      <c r="BN4" s="1131"/>
      <c r="BO4" s="1131"/>
      <c r="BP4" s="1131"/>
      <c r="BQ4" s="1131"/>
      <c r="BR4" s="1131"/>
    </row>
    <row r="5" spans="3:76" ht="13" customHeight="1">
      <c r="C5" s="5"/>
      <c r="D5" s="1139" t="str">
        <f>LEFT(VLOOKUP(D$2,購入者リスト!$B:$J,8,FALSE),1)</f>
        <v>8</v>
      </c>
      <c r="E5" s="1139" t="str">
        <f>MID(VLOOKUP(D$2,購入者リスト!$B:$J,8,FALSE),2,1)</f>
        <v>4</v>
      </c>
      <c r="F5" s="1139" t="str">
        <f>MID(VLOOKUP(D$2,購入者リスト!$B:$J,8,FALSE),3,1)</f>
        <v>3</v>
      </c>
      <c r="G5" s="1138"/>
      <c r="H5" s="1135" t="str">
        <f>MID(VLOOKUP(D$2,購入者リスト!$B:$J,8,FALSE),5,1)</f>
        <v>0</v>
      </c>
      <c r="I5" s="1135" t="str">
        <f>MID(VLOOKUP(D$2,購入者リスト!$B:$J,8,FALSE),6,1)</f>
        <v>0</v>
      </c>
      <c r="J5" s="1135" t="str">
        <f>MID(VLOOKUP(D$2,購入者リスト!$B:$J,8,FALSE),7,1)</f>
        <v>2</v>
      </c>
      <c r="K5" s="1135" t="str">
        <f>MID(VLOOKUP(D$2,購入者リスト!$B:$J,8,FALSE),8,1)</f>
        <v>2</v>
      </c>
      <c r="L5" s="12"/>
      <c r="M5" s="12"/>
      <c r="N5" s="12"/>
      <c r="O5" s="12"/>
      <c r="P5" s="12"/>
      <c r="Q5" s="1132" t="s">
        <v>3235</v>
      </c>
      <c r="R5" s="1133"/>
      <c r="S5" s="1133"/>
      <c r="T5" s="1133"/>
      <c r="U5" s="19"/>
      <c r="X5" s="20"/>
      <c r="Y5" s="20"/>
      <c r="Z5" s="20"/>
      <c r="AA5" s="28"/>
      <c r="AB5" s="29"/>
      <c r="AC5" s="29"/>
      <c r="AD5" s="29"/>
      <c r="AE5" s="29"/>
      <c r="AF5" s="12"/>
      <c r="AG5" s="12"/>
      <c r="AH5" s="12"/>
      <c r="AI5" s="12"/>
      <c r="AJ5" s="12"/>
      <c r="AK5" s="17"/>
      <c r="AL5" s="18"/>
      <c r="AM5" s="18"/>
      <c r="AN5" s="18"/>
      <c r="AO5" s="18"/>
      <c r="AR5" s="20"/>
      <c r="AS5" s="20"/>
      <c r="AT5" s="20"/>
      <c r="AU5" s="28"/>
      <c r="AV5" s="29"/>
      <c r="AW5" s="29"/>
      <c r="AX5" s="29"/>
      <c r="AY5" s="29"/>
      <c r="AZ5" s="12"/>
      <c r="BA5" s="12"/>
      <c r="BB5" s="12"/>
      <c r="BC5" s="12"/>
      <c r="BD5" s="12"/>
      <c r="BE5" s="17"/>
      <c r="BF5" s="18"/>
      <c r="BG5" s="18"/>
      <c r="BH5" s="18"/>
      <c r="BI5" s="18"/>
      <c r="BK5" s="1131"/>
      <c r="BL5" s="1131"/>
      <c r="BM5" s="1131"/>
      <c r="BN5" s="1131"/>
      <c r="BO5" s="1131"/>
      <c r="BP5" s="1131"/>
      <c r="BQ5" s="1131"/>
      <c r="BR5" s="1131"/>
    </row>
    <row r="6" spans="3:76" ht="13" customHeight="1">
      <c r="C6" s="5"/>
      <c r="D6" s="1140"/>
      <c r="E6" s="1140"/>
      <c r="F6" s="1140"/>
      <c r="G6" s="1138"/>
      <c r="H6" s="1136"/>
      <c r="I6" s="1136"/>
      <c r="J6" s="1136"/>
      <c r="K6" s="1136"/>
      <c r="L6" s="12"/>
      <c r="M6" s="12"/>
      <c r="N6" s="12"/>
      <c r="O6" s="12"/>
      <c r="P6" s="12"/>
      <c r="Q6" s="1133"/>
      <c r="R6" s="1133"/>
      <c r="S6" s="1133"/>
      <c r="T6" s="1133"/>
      <c r="U6" s="19"/>
      <c r="X6" s="20"/>
      <c r="Y6" s="20"/>
      <c r="Z6" s="20"/>
      <c r="AA6" s="28"/>
      <c r="AB6" s="29"/>
      <c r="AC6" s="29"/>
      <c r="AD6" s="29"/>
      <c r="AE6" s="29"/>
      <c r="AF6" s="12"/>
      <c r="AG6" s="12"/>
      <c r="AH6" s="12"/>
      <c r="AI6" s="12"/>
      <c r="AJ6" s="12"/>
      <c r="AK6" s="18"/>
      <c r="AL6" s="18"/>
      <c r="AM6" s="18"/>
      <c r="AN6" s="18"/>
      <c r="AO6" s="18"/>
      <c r="AR6" s="20"/>
      <c r="AS6" s="20"/>
      <c r="AT6" s="20"/>
      <c r="AU6" s="28"/>
      <c r="AV6" s="29"/>
      <c r="AW6" s="29"/>
      <c r="AX6" s="29"/>
      <c r="AY6" s="29"/>
      <c r="AZ6" s="12"/>
      <c r="BA6" s="12"/>
      <c r="BB6" s="12"/>
      <c r="BC6" s="12"/>
      <c r="BD6" s="12"/>
      <c r="BE6" s="18"/>
      <c r="BF6" s="18"/>
      <c r="BG6" s="18"/>
      <c r="BH6" s="18"/>
      <c r="BI6" s="18"/>
      <c r="BK6" s="1131" t="s">
        <v>3236</v>
      </c>
      <c r="BL6" s="1131"/>
      <c r="BM6" s="1131"/>
      <c r="BN6" s="1131"/>
      <c r="BO6" s="1131"/>
      <c r="BP6" s="1131"/>
      <c r="BQ6" s="1131"/>
      <c r="BR6" s="1131"/>
      <c r="BS6" s="1131"/>
      <c r="BT6" s="1131"/>
      <c r="BU6" s="1131"/>
      <c r="BV6" s="1131"/>
      <c r="BW6" s="1131"/>
      <c r="BX6" s="1131"/>
    </row>
    <row r="7" spans="3:76" ht="13" customHeight="1">
      <c r="C7" s="5"/>
      <c r="D7" s="1141"/>
      <c r="E7" s="1141"/>
      <c r="F7" s="1141"/>
      <c r="G7" s="1138"/>
      <c r="H7" s="1137"/>
      <c r="I7" s="1137"/>
      <c r="J7" s="1137"/>
      <c r="K7" s="1137"/>
      <c r="L7" s="12"/>
      <c r="M7" s="12"/>
      <c r="N7" s="12"/>
      <c r="O7" s="12"/>
      <c r="P7" s="12"/>
      <c r="Q7" s="1133"/>
      <c r="R7" s="1133"/>
      <c r="S7" s="1133"/>
      <c r="T7" s="1133"/>
      <c r="U7" s="19"/>
      <c r="X7" s="20"/>
      <c r="Y7" s="20"/>
      <c r="Z7" s="20"/>
      <c r="AA7" s="28"/>
      <c r="AB7" s="29"/>
      <c r="AC7" s="29"/>
      <c r="AD7" s="29"/>
      <c r="AE7" s="29"/>
      <c r="AF7" s="12"/>
      <c r="AG7" s="12"/>
      <c r="AH7" s="12"/>
      <c r="AI7" s="12"/>
      <c r="AJ7" s="12"/>
      <c r="AK7" s="18"/>
      <c r="AL7" s="18"/>
      <c r="AM7" s="18"/>
      <c r="AN7" s="18"/>
      <c r="AO7" s="18"/>
      <c r="AR7" s="20"/>
      <c r="AS7" s="20"/>
      <c r="AT7" s="20"/>
      <c r="AU7" s="28"/>
      <c r="AV7" s="29"/>
      <c r="AW7" s="29"/>
      <c r="AX7" s="29"/>
      <c r="AY7" s="29"/>
      <c r="AZ7" s="12"/>
      <c r="BA7" s="12"/>
      <c r="BB7" s="12"/>
      <c r="BC7" s="12"/>
      <c r="BD7" s="12"/>
      <c r="BE7" s="18"/>
      <c r="BF7" s="18"/>
      <c r="BG7" s="18"/>
      <c r="BH7" s="18"/>
      <c r="BI7" s="18"/>
      <c r="BK7" s="1131"/>
      <c r="BL7" s="1131"/>
      <c r="BM7" s="1131"/>
      <c r="BN7" s="1131"/>
      <c r="BO7" s="1131"/>
      <c r="BP7" s="1131"/>
      <c r="BQ7" s="1131"/>
      <c r="BR7" s="1131"/>
      <c r="BS7" s="1131"/>
      <c r="BT7" s="1131"/>
      <c r="BU7" s="1131"/>
      <c r="BV7" s="1131"/>
      <c r="BW7" s="1131"/>
      <c r="BX7" s="1131"/>
    </row>
    <row r="8" spans="3:76" ht="13" customHeight="1">
      <c r="C8" s="5"/>
      <c r="D8" s="1134" t="str">
        <f>VLOOKUP(D$2,購入者リスト!$B:$J,9,FALSE)</f>
        <v>佐賀県 武雄市 武雄町武雄4359</v>
      </c>
      <c r="E8" s="1134"/>
      <c r="F8" s="1134"/>
      <c r="G8" s="1134"/>
      <c r="H8" s="1134"/>
      <c r="I8" s="1134"/>
      <c r="J8" s="1134"/>
      <c r="K8" s="1134"/>
      <c r="L8" s="1134"/>
      <c r="M8" s="1134"/>
      <c r="N8" s="1134"/>
      <c r="O8" s="1134"/>
      <c r="P8" s="1134"/>
      <c r="Q8" s="1134"/>
      <c r="R8" s="1134"/>
      <c r="S8" s="1134"/>
      <c r="T8" s="1134"/>
      <c r="U8" s="21"/>
      <c r="X8" s="6"/>
      <c r="Y8" s="6"/>
      <c r="Z8" s="6"/>
      <c r="AA8" s="6"/>
      <c r="AB8" s="6"/>
      <c r="AC8" s="6"/>
      <c r="AD8" s="6"/>
      <c r="AE8" s="6"/>
      <c r="AF8" s="6"/>
      <c r="AG8" s="6"/>
      <c r="AH8" s="6"/>
      <c r="AI8" s="6"/>
      <c r="AJ8" s="6"/>
      <c r="AK8" s="6"/>
      <c r="AL8" s="6"/>
      <c r="AM8" s="6"/>
      <c r="AN8" s="6"/>
      <c r="AR8" s="6"/>
      <c r="AS8" s="6"/>
      <c r="AT8" s="6"/>
      <c r="AU8" s="6"/>
      <c r="AV8" s="6"/>
      <c r="AW8" s="6"/>
      <c r="AX8" s="6"/>
      <c r="AY8" s="6"/>
      <c r="AZ8" s="6"/>
      <c r="BA8" s="6"/>
      <c r="BB8" s="6"/>
      <c r="BC8" s="6"/>
      <c r="BD8" s="6"/>
      <c r="BE8" s="6"/>
      <c r="BF8" s="6"/>
      <c r="BG8" s="6"/>
      <c r="BH8" s="6"/>
      <c r="BK8" s="1131" t="s">
        <v>3237</v>
      </c>
      <c r="BL8" s="1131"/>
      <c r="BM8" s="1131"/>
      <c r="BN8" s="1131"/>
      <c r="BO8" s="1131"/>
      <c r="BP8" s="1131"/>
      <c r="BQ8" s="1131"/>
      <c r="BR8" s="1131"/>
      <c r="BS8" s="1131"/>
      <c r="BT8" s="1131"/>
      <c r="BU8" s="1131"/>
      <c r="BV8" s="1131"/>
      <c r="BW8" s="1131"/>
      <c r="BX8" s="1131"/>
    </row>
    <row r="9" spans="3:76" ht="13" customHeight="1">
      <c r="C9" s="5"/>
      <c r="D9" s="1134"/>
      <c r="E9" s="1134"/>
      <c r="F9" s="1134"/>
      <c r="G9" s="1134"/>
      <c r="H9" s="1134"/>
      <c r="I9" s="1134"/>
      <c r="J9" s="1134"/>
      <c r="K9" s="1134"/>
      <c r="L9" s="1134"/>
      <c r="M9" s="1134"/>
      <c r="N9" s="1134"/>
      <c r="O9" s="1134"/>
      <c r="P9" s="1134"/>
      <c r="Q9" s="1134"/>
      <c r="R9" s="1134"/>
      <c r="S9" s="1134"/>
      <c r="T9" s="1134"/>
      <c r="U9" s="21"/>
      <c r="X9" s="6"/>
      <c r="Y9" s="6"/>
      <c r="Z9" s="6"/>
      <c r="AA9" s="6"/>
      <c r="AB9" s="6"/>
      <c r="AC9" s="6"/>
      <c r="AD9" s="6"/>
      <c r="AE9" s="6"/>
      <c r="AF9" s="6"/>
      <c r="AG9" s="6"/>
      <c r="AH9" s="6"/>
      <c r="AI9" s="6"/>
      <c r="AJ9" s="6"/>
      <c r="AK9" s="6"/>
      <c r="AL9" s="6"/>
      <c r="AM9" s="6"/>
      <c r="AN9" s="6"/>
      <c r="AR9" s="6"/>
      <c r="AS9" s="6"/>
      <c r="AT9" s="6"/>
      <c r="AU9" s="6"/>
      <c r="AV9" s="6"/>
      <c r="AW9" s="6"/>
      <c r="AX9" s="6"/>
      <c r="AY9" s="6"/>
      <c r="AZ9" s="6"/>
      <c r="BA9" s="6"/>
      <c r="BB9" s="6"/>
      <c r="BC9" s="6"/>
      <c r="BD9" s="6"/>
      <c r="BE9" s="6"/>
      <c r="BF9" s="6"/>
      <c r="BG9" s="6"/>
      <c r="BH9" s="6"/>
      <c r="BK9" s="1131"/>
      <c r="BL9" s="1131"/>
      <c r="BM9" s="1131"/>
      <c r="BN9" s="1131"/>
      <c r="BO9" s="1131"/>
      <c r="BP9" s="1131"/>
      <c r="BQ9" s="1131"/>
      <c r="BR9" s="1131"/>
      <c r="BS9" s="1131"/>
      <c r="BT9" s="1131"/>
      <c r="BU9" s="1131"/>
      <c r="BV9" s="1131"/>
      <c r="BW9" s="1131"/>
      <c r="BX9" s="1131"/>
    </row>
    <row r="10" spans="3:76" ht="4" customHeight="1">
      <c r="C10" s="5"/>
      <c r="D10" s="1134"/>
      <c r="E10" s="1134"/>
      <c r="F10" s="1134"/>
      <c r="G10" s="1134"/>
      <c r="H10" s="1134"/>
      <c r="I10" s="1134"/>
      <c r="J10" s="1134"/>
      <c r="K10" s="1134"/>
      <c r="L10" s="1134"/>
      <c r="M10" s="1134"/>
      <c r="N10" s="1134"/>
      <c r="O10" s="1134"/>
      <c r="P10" s="1134"/>
      <c r="Q10" s="1134"/>
      <c r="R10" s="1134"/>
      <c r="S10" s="1134"/>
      <c r="T10" s="1134"/>
      <c r="U10" s="21"/>
      <c r="X10" s="6"/>
      <c r="Y10" s="6"/>
      <c r="Z10" s="6"/>
      <c r="AA10" s="6"/>
      <c r="AB10" s="6"/>
      <c r="AC10" s="6"/>
      <c r="AD10" s="6"/>
      <c r="AE10" s="6"/>
      <c r="AF10" s="6"/>
      <c r="AG10" s="6"/>
      <c r="AH10" s="6"/>
      <c r="AI10" s="6"/>
      <c r="AJ10" s="6"/>
      <c r="AK10" s="6"/>
      <c r="AL10" s="6"/>
      <c r="AM10" s="6"/>
      <c r="AN10" s="6"/>
      <c r="AR10" s="6"/>
      <c r="AS10" s="6"/>
      <c r="AT10" s="6"/>
      <c r="AU10" s="6"/>
      <c r="AV10" s="6"/>
      <c r="AW10" s="6"/>
      <c r="AX10" s="6"/>
      <c r="AY10" s="6"/>
      <c r="AZ10" s="6"/>
      <c r="BA10" s="6"/>
      <c r="BB10" s="6"/>
      <c r="BC10" s="6"/>
      <c r="BD10" s="6"/>
      <c r="BE10" s="6"/>
      <c r="BF10" s="6"/>
      <c r="BG10" s="6"/>
      <c r="BH10" s="6"/>
    </row>
    <row r="11" spans="3:76" ht="13" customHeight="1">
      <c r="C11" s="5"/>
      <c r="F11" s="1142" t="str">
        <f>VLOOKUP(D$2,購入者リスト!$B:$J,7,FALSE)</f>
        <v>大島 千穂</v>
      </c>
      <c r="G11" s="1142"/>
      <c r="H11" s="1142"/>
      <c r="I11" s="1142"/>
      <c r="J11" s="1142"/>
      <c r="K11" s="1142"/>
      <c r="L11" s="1142"/>
      <c r="M11" s="1142"/>
      <c r="N11" s="1143" t="s">
        <v>3238</v>
      </c>
      <c r="O11" s="1144"/>
      <c r="P11" s="14"/>
      <c r="Q11" s="14"/>
      <c r="R11" s="14"/>
      <c r="S11" s="14"/>
      <c r="U11" s="22"/>
      <c r="Z11" s="7"/>
      <c r="AA11" s="7"/>
      <c r="AB11" s="7"/>
      <c r="AC11" s="7"/>
      <c r="AD11" s="7"/>
      <c r="AE11" s="7"/>
      <c r="AF11" s="7"/>
      <c r="AG11" s="7"/>
      <c r="AH11" s="13"/>
      <c r="AI11" s="14"/>
      <c r="AJ11" s="14"/>
      <c r="AK11" s="14"/>
      <c r="AL11" s="14"/>
      <c r="AM11" s="14"/>
      <c r="AO11" s="30"/>
      <c r="AT11" s="7"/>
      <c r="AU11" s="7"/>
      <c r="AV11" s="7"/>
      <c r="AW11" s="7"/>
      <c r="AX11" s="7"/>
      <c r="AY11" s="7"/>
      <c r="AZ11" s="7"/>
      <c r="BA11" s="7"/>
      <c r="BB11" s="13"/>
      <c r="BC11" s="14"/>
      <c r="BD11" s="14"/>
      <c r="BE11" s="14"/>
      <c r="BF11" s="14"/>
      <c r="BG11" s="14"/>
      <c r="BI11" s="30"/>
    </row>
    <row r="12" spans="3:76" ht="13" customHeight="1">
      <c r="C12" s="5"/>
      <c r="F12" s="1142"/>
      <c r="G12" s="1142"/>
      <c r="H12" s="1142"/>
      <c r="I12" s="1142"/>
      <c r="J12" s="1142"/>
      <c r="K12" s="1142"/>
      <c r="L12" s="1142"/>
      <c r="M12" s="1142"/>
      <c r="N12" s="1144"/>
      <c r="O12" s="1144"/>
      <c r="P12" s="14"/>
      <c r="Q12" s="14"/>
      <c r="R12" s="14"/>
      <c r="S12" s="14"/>
      <c r="U12" s="23"/>
      <c r="Z12" s="7"/>
      <c r="AA12" s="7"/>
      <c r="AB12" s="7"/>
      <c r="AC12" s="7"/>
      <c r="AD12" s="7"/>
      <c r="AE12" s="7"/>
      <c r="AF12" s="7"/>
      <c r="AG12" s="7"/>
      <c r="AH12" s="14"/>
      <c r="AI12" s="14"/>
      <c r="AJ12" s="14"/>
      <c r="AK12" s="14"/>
      <c r="AL12" s="14"/>
      <c r="AM12" s="14"/>
      <c r="AO12" s="31"/>
      <c r="AT12" s="7"/>
      <c r="AU12" s="7"/>
      <c r="AV12" s="7"/>
      <c r="AW12" s="7"/>
      <c r="AX12" s="7"/>
      <c r="AY12" s="7"/>
      <c r="AZ12" s="7"/>
      <c r="BA12" s="7"/>
      <c r="BB12" s="14"/>
      <c r="BC12" s="14"/>
      <c r="BD12" s="14"/>
      <c r="BE12" s="14"/>
      <c r="BF12" s="14"/>
      <c r="BG12" s="14"/>
      <c r="BI12" s="31"/>
    </row>
    <row r="13" spans="3:76" ht="13" customHeight="1">
      <c r="C13" s="5"/>
      <c r="F13" s="1142"/>
      <c r="G13" s="1142"/>
      <c r="H13" s="1142"/>
      <c r="I13" s="1142"/>
      <c r="J13" s="1142"/>
      <c r="K13" s="1142"/>
      <c r="L13" s="1142"/>
      <c r="M13" s="1142"/>
      <c r="N13" s="1144"/>
      <c r="O13" s="1144"/>
      <c r="Q13" s="24"/>
      <c r="U13" s="21"/>
      <c r="Z13" s="7"/>
      <c r="AA13" s="7"/>
      <c r="AB13" s="7"/>
      <c r="AC13" s="7"/>
      <c r="AD13" s="7"/>
      <c r="AE13" s="7"/>
      <c r="AF13" s="7"/>
      <c r="AG13" s="7"/>
      <c r="AH13" s="14"/>
      <c r="AI13" s="14"/>
      <c r="AK13" s="24"/>
      <c r="AT13" s="7"/>
      <c r="AU13" s="7"/>
      <c r="AV13" s="7"/>
      <c r="AW13" s="7"/>
      <c r="AX13" s="7"/>
      <c r="AY13" s="7"/>
      <c r="AZ13" s="7"/>
      <c r="BA13" s="7"/>
      <c r="BB13" s="14"/>
      <c r="BC13" s="14"/>
      <c r="BE13" s="24"/>
    </row>
    <row r="14" spans="3:76" s="1" customFormat="1" ht="4" customHeight="1">
      <c r="C14" s="8"/>
      <c r="U14" s="25"/>
    </row>
    <row r="15" spans="3:76" s="1" customFormat="1" ht="12.65" customHeight="1">
      <c r="C15" s="8"/>
      <c r="G15" s="9" t="s">
        <v>3239</v>
      </c>
      <c r="K15" s="1145" t="s">
        <v>3240</v>
      </c>
      <c r="L15" s="1145"/>
      <c r="M15" s="1145"/>
      <c r="N15" s="1145"/>
      <c r="O15" s="1145"/>
      <c r="P15" s="1145"/>
      <c r="Q15" s="1145"/>
      <c r="R15" s="1145"/>
      <c r="S15" s="1145"/>
      <c r="T15" s="1145"/>
      <c r="U15" s="1146"/>
      <c r="AA15" s="9"/>
      <c r="AE15" s="15"/>
      <c r="AF15" s="15"/>
      <c r="AG15" s="15"/>
      <c r="AH15" s="15"/>
      <c r="AI15" s="15"/>
      <c r="AJ15" s="15"/>
      <c r="AK15" s="15"/>
      <c r="AL15" s="15"/>
      <c r="AM15" s="15"/>
      <c r="AN15" s="15"/>
      <c r="AO15" s="15"/>
      <c r="AU15" s="9"/>
      <c r="AY15" s="15"/>
      <c r="AZ15" s="15"/>
      <c r="BA15" s="15"/>
      <c r="BB15" s="15"/>
      <c r="BC15" s="15"/>
      <c r="BD15" s="15"/>
      <c r="BE15" s="15"/>
      <c r="BF15" s="15"/>
      <c r="BG15" s="15"/>
      <c r="BH15" s="15"/>
      <c r="BI15" s="15"/>
    </row>
    <row r="16" spans="3:76" s="1" customFormat="1" ht="4" customHeight="1">
      <c r="C16" s="8"/>
      <c r="U16" s="25"/>
    </row>
    <row r="17" spans="3:61" s="1" customFormat="1" ht="14" customHeight="1">
      <c r="C17" s="8"/>
      <c r="P17" s="9" t="s">
        <v>3241</v>
      </c>
      <c r="T17" s="26" t="s">
        <v>3242</v>
      </c>
      <c r="U17" s="25"/>
      <c r="AJ17" s="9"/>
      <c r="AN17" s="26"/>
      <c r="BD17" s="9"/>
      <c r="BH17" s="26"/>
    </row>
    <row r="18" spans="3:61" s="1" customFormat="1" ht="13" customHeight="1">
      <c r="C18" s="10"/>
      <c r="D18" s="11"/>
      <c r="E18" s="11"/>
      <c r="F18" s="11"/>
      <c r="G18" s="11"/>
      <c r="H18" s="11"/>
      <c r="I18" s="11"/>
      <c r="J18" s="11"/>
      <c r="K18" s="11"/>
      <c r="L18" s="11"/>
      <c r="M18" s="11"/>
      <c r="N18" s="11"/>
      <c r="O18" s="11"/>
      <c r="P18" s="11"/>
      <c r="Q18" s="11"/>
      <c r="R18" s="11"/>
      <c r="S18" s="11"/>
      <c r="T18" s="11"/>
      <c r="U18" s="27"/>
      <c r="AO18" s="32"/>
      <c r="BI18" s="32"/>
    </row>
    <row r="19" spans="3:61" ht="13" customHeight="1">
      <c r="C19" s="3"/>
      <c r="D19" s="4"/>
      <c r="E19" s="4"/>
      <c r="F19" s="4"/>
      <c r="G19" s="4"/>
      <c r="H19" s="4"/>
      <c r="I19" s="4"/>
      <c r="J19" s="4"/>
      <c r="K19" s="4"/>
      <c r="L19" s="4"/>
      <c r="M19" s="4"/>
      <c r="N19" s="4"/>
      <c r="O19" s="4"/>
      <c r="P19" s="4"/>
      <c r="Q19" s="4"/>
      <c r="R19" s="4"/>
      <c r="S19" s="4"/>
      <c r="T19" s="4"/>
      <c r="U19" s="16"/>
    </row>
    <row r="20" spans="3:61" ht="13" customHeight="1">
      <c r="C20" s="5"/>
      <c r="D20" s="1139" t="str">
        <f>LEFT(VLOOKUP(E$2,購入者リスト!$B:$J,8,FALSE),1)</f>
        <v>9</v>
      </c>
      <c r="E20" s="1139" t="str">
        <f>MID(VLOOKUP(E$2,購入者リスト!$B:$J,8,FALSE),2,1)</f>
        <v>8</v>
      </c>
      <c r="F20" s="1139" t="str">
        <f>MID(VLOOKUP(E$2,購入者リスト!$B:$J,8,FALSE),3,1)</f>
        <v>4</v>
      </c>
      <c r="G20" s="1138"/>
      <c r="H20" s="1135" t="str">
        <f>MID(VLOOKUP(E$2,購入者リスト!$B:$J,8,FALSE),5,1)</f>
        <v>0</v>
      </c>
      <c r="I20" s="1135" t="str">
        <f>MID(VLOOKUP(E$2,購入者リスト!$B:$J,8,FALSE),6,1)</f>
        <v>0</v>
      </c>
      <c r="J20" s="1135" t="str">
        <f>MID(VLOOKUP(E$2,購入者リスト!$B:$J,8,FALSE),7,1)</f>
        <v>3</v>
      </c>
      <c r="K20" s="1135" t="str">
        <f>MID(VLOOKUP(E$2,購入者リスト!$B:$J,8,FALSE),8,1)</f>
        <v>7</v>
      </c>
      <c r="L20" s="12"/>
      <c r="M20" s="12"/>
      <c r="N20" s="12"/>
      <c r="O20" s="12"/>
      <c r="P20" s="12"/>
      <c r="Q20" s="1132" t="s">
        <v>3235</v>
      </c>
      <c r="R20" s="1133"/>
      <c r="S20" s="1133"/>
      <c r="T20" s="1133"/>
      <c r="U20" s="19"/>
      <c r="X20" s="20"/>
      <c r="Y20" s="20"/>
      <c r="Z20" s="20"/>
      <c r="AA20" s="28"/>
      <c r="AB20" s="29"/>
      <c r="AC20" s="29"/>
      <c r="AD20" s="29"/>
      <c r="AE20" s="29"/>
      <c r="AF20" s="12"/>
      <c r="AG20" s="12"/>
      <c r="AH20" s="12"/>
      <c r="AI20" s="12"/>
      <c r="AJ20" s="12"/>
      <c r="AK20" s="17"/>
      <c r="AL20" s="18"/>
      <c r="AM20" s="18"/>
      <c r="AN20" s="18"/>
      <c r="AO20" s="18"/>
      <c r="AR20" s="20"/>
      <c r="AS20" s="20"/>
      <c r="AT20" s="20"/>
      <c r="AU20" s="28"/>
      <c r="AV20" s="29"/>
      <c r="AW20" s="29"/>
      <c r="AX20" s="29"/>
      <c r="AY20" s="29"/>
      <c r="AZ20" s="12"/>
      <c r="BA20" s="12"/>
      <c r="BB20" s="12"/>
      <c r="BC20" s="12"/>
      <c r="BD20" s="12"/>
      <c r="BE20" s="17"/>
      <c r="BF20" s="18"/>
      <c r="BG20" s="18"/>
      <c r="BH20" s="18"/>
      <c r="BI20" s="18"/>
    </row>
    <row r="21" spans="3:61" ht="13" customHeight="1">
      <c r="C21" s="5"/>
      <c r="D21" s="1140"/>
      <c r="E21" s="1140"/>
      <c r="F21" s="1140"/>
      <c r="G21" s="1138"/>
      <c r="H21" s="1136"/>
      <c r="I21" s="1136"/>
      <c r="J21" s="1136"/>
      <c r="K21" s="1136"/>
      <c r="L21" s="12"/>
      <c r="M21" s="12"/>
      <c r="N21" s="12"/>
      <c r="O21" s="12"/>
      <c r="P21" s="12"/>
      <c r="Q21" s="1133"/>
      <c r="R21" s="1133"/>
      <c r="S21" s="1133"/>
      <c r="T21" s="1133"/>
      <c r="U21" s="19"/>
      <c r="X21" s="20"/>
      <c r="Y21" s="20"/>
      <c r="Z21" s="20"/>
      <c r="AA21" s="28"/>
      <c r="AB21" s="29"/>
      <c r="AC21" s="29"/>
      <c r="AD21" s="29"/>
      <c r="AE21" s="29"/>
      <c r="AF21" s="12"/>
      <c r="AG21" s="12"/>
      <c r="AH21" s="12"/>
      <c r="AI21" s="12"/>
      <c r="AJ21" s="12"/>
      <c r="AK21" s="18"/>
      <c r="AL21" s="18"/>
      <c r="AM21" s="18"/>
      <c r="AN21" s="18"/>
      <c r="AO21" s="18"/>
      <c r="AR21" s="20"/>
      <c r="AS21" s="20"/>
      <c r="AT21" s="20"/>
      <c r="AU21" s="28"/>
      <c r="AV21" s="29"/>
      <c r="AW21" s="29"/>
      <c r="AX21" s="29"/>
      <c r="AY21" s="29"/>
      <c r="AZ21" s="12"/>
      <c r="BA21" s="12"/>
      <c r="BB21" s="12"/>
      <c r="BC21" s="12"/>
      <c r="BD21" s="12"/>
      <c r="BE21" s="18"/>
      <c r="BF21" s="18"/>
      <c r="BG21" s="18"/>
      <c r="BH21" s="18"/>
      <c r="BI21" s="18"/>
    </row>
    <row r="22" spans="3:61" ht="13" customHeight="1">
      <c r="C22" s="5"/>
      <c r="D22" s="1141"/>
      <c r="E22" s="1141"/>
      <c r="F22" s="1141"/>
      <c r="G22" s="1138"/>
      <c r="H22" s="1137"/>
      <c r="I22" s="1137"/>
      <c r="J22" s="1137"/>
      <c r="K22" s="1137"/>
      <c r="L22" s="12"/>
      <c r="M22" s="12"/>
      <c r="N22" s="12"/>
      <c r="O22" s="12"/>
      <c r="P22" s="12"/>
      <c r="Q22" s="1133"/>
      <c r="R22" s="1133"/>
      <c r="S22" s="1133"/>
      <c r="T22" s="1133"/>
      <c r="U22" s="19"/>
      <c r="X22" s="20"/>
      <c r="Y22" s="20"/>
      <c r="Z22" s="20"/>
      <c r="AA22" s="28"/>
      <c r="AB22" s="29"/>
      <c r="AC22" s="29"/>
      <c r="AD22" s="29"/>
      <c r="AE22" s="29"/>
      <c r="AF22" s="12"/>
      <c r="AG22" s="12"/>
      <c r="AH22" s="12"/>
      <c r="AI22" s="12"/>
      <c r="AJ22" s="12"/>
      <c r="AK22" s="18"/>
      <c r="AL22" s="18"/>
      <c r="AM22" s="18"/>
      <c r="AN22" s="18"/>
      <c r="AO22" s="18"/>
      <c r="AR22" s="20"/>
      <c r="AS22" s="20"/>
      <c r="AT22" s="20"/>
      <c r="AU22" s="28"/>
      <c r="AV22" s="29"/>
      <c r="AW22" s="29"/>
      <c r="AX22" s="29"/>
      <c r="AY22" s="29"/>
      <c r="AZ22" s="12"/>
      <c r="BA22" s="12"/>
      <c r="BB22" s="12"/>
      <c r="BC22" s="12"/>
      <c r="BD22" s="12"/>
      <c r="BE22" s="18"/>
      <c r="BF22" s="18"/>
      <c r="BG22" s="18"/>
      <c r="BH22" s="18"/>
      <c r="BI22" s="18"/>
    </row>
    <row r="23" spans="3:61" ht="13" customHeight="1">
      <c r="C23" s="5"/>
      <c r="D23" s="1134" t="str">
        <f>VLOOKUP(E$2,購入者リスト!$B:$J,9,FALSE)</f>
        <v>宮城県 仙台市若林区 蒲町21-11 グランドライフキクチ206</v>
      </c>
      <c r="E23" s="1134"/>
      <c r="F23" s="1134"/>
      <c r="G23" s="1134"/>
      <c r="H23" s="1134"/>
      <c r="I23" s="1134"/>
      <c r="J23" s="1134"/>
      <c r="K23" s="1134"/>
      <c r="L23" s="1134"/>
      <c r="M23" s="1134"/>
      <c r="N23" s="1134"/>
      <c r="O23" s="1134"/>
      <c r="P23" s="1134"/>
      <c r="Q23" s="1134"/>
      <c r="R23" s="1134"/>
      <c r="S23" s="1134"/>
      <c r="T23" s="1134"/>
      <c r="U23" s="21"/>
      <c r="X23" s="6"/>
      <c r="Y23" s="6"/>
      <c r="Z23" s="6"/>
      <c r="AA23" s="6"/>
      <c r="AB23" s="6"/>
      <c r="AC23" s="6"/>
      <c r="AD23" s="6"/>
      <c r="AE23" s="6"/>
      <c r="AF23" s="6"/>
      <c r="AG23" s="6"/>
      <c r="AH23" s="6"/>
      <c r="AI23" s="6"/>
      <c r="AJ23" s="6"/>
      <c r="AK23" s="6"/>
      <c r="AL23" s="6"/>
      <c r="AM23" s="6"/>
      <c r="AN23" s="6"/>
      <c r="AR23" s="6"/>
      <c r="AS23" s="6"/>
      <c r="AT23" s="6"/>
      <c r="AU23" s="6"/>
      <c r="AV23" s="6"/>
      <c r="AW23" s="6"/>
      <c r="AX23" s="6"/>
      <c r="AY23" s="6"/>
      <c r="AZ23" s="6"/>
      <c r="BA23" s="6"/>
      <c r="BB23" s="6"/>
      <c r="BC23" s="6"/>
      <c r="BD23" s="6"/>
      <c r="BE23" s="6"/>
      <c r="BF23" s="6"/>
      <c r="BG23" s="6"/>
      <c r="BH23" s="6"/>
    </row>
    <row r="24" spans="3:61" ht="13" customHeight="1">
      <c r="C24" s="5"/>
      <c r="D24" s="1134"/>
      <c r="E24" s="1134"/>
      <c r="F24" s="1134"/>
      <c r="G24" s="1134"/>
      <c r="H24" s="1134"/>
      <c r="I24" s="1134"/>
      <c r="J24" s="1134"/>
      <c r="K24" s="1134"/>
      <c r="L24" s="1134"/>
      <c r="M24" s="1134"/>
      <c r="N24" s="1134"/>
      <c r="O24" s="1134"/>
      <c r="P24" s="1134"/>
      <c r="Q24" s="1134"/>
      <c r="R24" s="1134"/>
      <c r="S24" s="1134"/>
      <c r="T24" s="1134"/>
      <c r="U24" s="21"/>
      <c r="X24" s="6"/>
      <c r="Y24" s="6"/>
      <c r="Z24" s="6"/>
      <c r="AA24" s="6"/>
      <c r="AB24" s="6"/>
      <c r="AC24" s="6"/>
      <c r="AD24" s="6"/>
      <c r="AE24" s="6"/>
      <c r="AF24" s="6"/>
      <c r="AG24" s="6"/>
      <c r="AH24" s="6"/>
      <c r="AI24" s="6"/>
      <c r="AJ24" s="6"/>
      <c r="AK24" s="6"/>
      <c r="AL24" s="6"/>
      <c r="AM24" s="6"/>
      <c r="AN24" s="6"/>
      <c r="AR24" s="6"/>
      <c r="AS24" s="6"/>
      <c r="AT24" s="6"/>
      <c r="AU24" s="6"/>
      <c r="AV24" s="6"/>
      <c r="AW24" s="6"/>
      <c r="AX24" s="6"/>
      <c r="AY24" s="6"/>
      <c r="AZ24" s="6"/>
      <c r="BA24" s="6"/>
      <c r="BB24" s="6"/>
      <c r="BC24" s="6"/>
      <c r="BD24" s="6"/>
      <c r="BE24" s="6"/>
      <c r="BF24" s="6"/>
      <c r="BG24" s="6"/>
      <c r="BH24" s="6"/>
    </row>
    <row r="25" spans="3:61" ht="4" customHeight="1">
      <c r="C25" s="5"/>
      <c r="D25" s="1134"/>
      <c r="E25" s="1134"/>
      <c r="F25" s="1134"/>
      <c r="G25" s="1134"/>
      <c r="H25" s="1134"/>
      <c r="I25" s="1134"/>
      <c r="J25" s="1134"/>
      <c r="K25" s="1134"/>
      <c r="L25" s="1134"/>
      <c r="M25" s="1134"/>
      <c r="N25" s="1134"/>
      <c r="O25" s="1134"/>
      <c r="P25" s="1134"/>
      <c r="Q25" s="1134"/>
      <c r="R25" s="1134"/>
      <c r="S25" s="1134"/>
      <c r="T25" s="1134"/>
      <c r="U25" s="21"/>
      <c r="X25" s="6"/>
      <c r="Y25" s="6"/>
      <c r="Z25" s="6"/>
      <c r="AA25" s="6"/>
      <c r="AB25" s="6"/>
      <c r="AC25" s="6"/>
      <c r="AD25" s="6"/>
      <c r="AE25" s="6"/>
      <c r="AF25" s="6"/>
      <c r="AG25" s="6"/>
      <c r="AH25" s="6"/>
      <c r="AI25" s="6"/>
      <c r="AJ25" s="6"/>
      <c r="AK25" s="6"/>
      <c r="AL25" s="6"/>
      <c r="AM25" s="6"/>
      <c r="AN25" s="6"/>
      <c r="AR25" s="6"/>
      <c r="AS25" s="6"/>
      <c r="AT25" s="6"/>
      <c r="AU25" s="6"/>
      <c r="AV25" s="6"/>
      <c r="AW25" s="6"/>
      <c r="AX25" s="6"/>
      <c r="AY25" s="6"/>
      <c r="AZ25" s="6"/>
      <c r="BA25" s="6"/>
      <c r="BB25" s="6"/>
      <c r="BC25" s="6"/>
      <c r="BD25" s="6"/>
      <c r="BE25" s="6"/>
      <c r="BF25" s="6"/>
      <c r="BG25" s="6"/>
      <c r="BH25" s="6"/>
    </row>
    <row r="26" spans="3:61" ht="13" customHeight="1">
      <c r="C26" s="5"/>
      <c r="F26" s="1142" t="str">
        <f>VLOOKUP(E$2,購入者リスト!$B:$J,7,FALSE)</f>
        <v>高橋 由美</v>
      </c>
      <c r="G26" s="1142"/>
      <c r="H26" s="1142"/>
      <c r="I26" s="1142"/>
      <c r="J26" s="1142"/>
      <c r="K26" s="1142"/>
      <c r="L26" s="1142"/>
      <c r="M26" s="1142"/>
      <c r="N26" s="1143" t="s">
        <v>3238</v>
      </c>
      <c r="O26" s="1144"/>
      <c r="P26" s="14"/>
      <c r="Q26" s="14"/>
      <c r="R26" s="14"/>
      <c r="S26" s="14"/>
      <c r="U26" s="22"/>
      <c r="Z26" s="7"/>
      <c r="AA26" s="7"/>
      <c r="AB26" s="7"/>
      <c r="AC26" s="7"/>
      <c r="AD26" s="7"/>
      <c r="AE26" s="7"/>
      <c r="AF26" s="7"/>
      <c r="AG26" s="7"/>
      <c r="AH26" s="13"/>
      <c r="AI26" s="14"/>
      <c r="AJ26" s="14"/>
      <c r="AK26" s="14"/>
      <c r="AL26" s="14"/>
      <c r="AM26" s="14"/>
      <c r="AO26" s="30"/>
      <c r="AT26" s="7"/>
      <c r="AU26" s="7"/>
      <c r="AV26" s="7"/>
      <c r="AW26" s="7"/>
      <c r="AX26" s="7"/>
      <c r="AY26" s="7"/>
      <c r="AZ26" s="7"/>
      <c r="BA26" s="7"/>
      <c r="BB26" s="13"/>
      <c r="BC26" s="14"/>
      <c r="BD26" s="14"/>
      <c r="BE26" s="14"/>
      <c r="BF26" s="14"/>
      <c r="BG26" s="14"/>
      <c r="BI26" s="30"/>
    </row>
    <row r="27" spans="3:61" ht="13" customHeight="1">
      <c r="C27" s="5"/>
      <c r="F27" s="1142"/>
      <c r="G27" s="1142"/>
      <c r="H27" s="1142"/>
      <c r="I27" s="1142"/>
      <c r="J27" s="1142"/>
      <c r="K27" s="1142"/>
      <c r="L27" s="1142"/>
      <c r="M27" s="1142"/>
      <c r="N27" s="1144"/>
      <c r="O27" s="1144"/>
      <c r="P27" s="14"/>
      <c r="Q27" s="14"/>
      <c r="R27" s="14"/>
      <c r="S27" s="14"/>
      <c r="U27" s="23"/>
      <c r="Z27" s="7"/>
      <c r="AA27" s="7"/>
      <c r="AB27" s="7"/>
      <c r="AC27" s="7"/>
      <c r="AD27" s="7"/>
      <c r="AE27" s="7"/>
      <c r="AF27" s="7"/>
      <c r="AG27" s="7"/>
      <c r="AH27" s="14"/>
      <c r="AI27" s="14"/>
      <c r="AJ27" s="14"/>
      <c r="AK27" s="14"/>
      <c r="AL27" s="14"/>
      <c r="AM27" s="14"/>
      <c r="AO27" s="31"/>
      <c r="AT27" s="7"/>
      <c r="AU27" s="7"/>
      <c r="AV27" s="7"/>
      <c r="AW27" s="7"/>
      <c r="AX27" s="7"/>
      <c r="AY27" s="7"/>
      <c r="AZ27" s="7"/>
      <c r="BA27" s="7"/>
      <c r="BB27" s="14"/>
      <c r="BC27" s="14"/>
      <c r="BD27" s="14"/>
      <c r="BE27" s="14"/>
      <c r="BF27" s="14"/>
      <c r="BG27" s="14"/>
      <c r="BI27" s="31"/>
    </row>
    <row r="28" spans="3:61" ht="13" customHeight="1">
      <c r="C28" s="5"/>
      <c r="F28" s="1142"/>
      <c r="G28" s="1142"/>
      <c r="H28" s="1142"/>
      <c r="I28" s="1142"/>
      <c r="J28" s="1142"/>
      <c r="K28" s="1142"/>
      <c r="L28" s="1142"/>
      <c r="M28" s="1142"/>
      <c r="N28" s="1144"/>
      <c r="O28" s="1144"/>
      <c r="Q28" s="24"/>
      <c r="U28" s="21"/>
      <c r="Z28" s="7"/>
      <c r="AA28" s="7"/>
      <c r="AB28" s="7"/>
      <c r="AC28" s="7"/>
      <c r="AD28" s="7"/>
      <c r="AE28" s="7"/>
      <c r="AF28" s="7"/>
      <c r="AG28" s="7"/>
      <c r="AH28" s="14"/>
      <c r="AI28" s="14"/>
      <c r="AK28" s="24"/>
      <c r="AT28" s="7"/>
      <c r="AU28" s="7"/>
      <c r="AV28" s="7"/>
      <c r="AW28" s="7"/>
      <c r="AX28" s="7"/>
      <c r="AY28" s="7"/>
      <c r="AZ28" s="7"/>
      <c r="BA28" s="7"/>
      <c r="BB28" s="14"/>
      <c r="BC28" s="14"/>
      <c r="BE28" s="24"/>
    </row>
    <row r="29" spans="3:61" s="1" customFormat="1" ht="4" customHeight="1">
      <c r="C29" s="8"/>
      <c r="U29" s="25"/>
    </row>
    <row r="30" spans="3:61" s="1" customFormat="1" ht="12.65" customHeight="1">
      <c r="C30" s="8"/>
      <c r="G30" s="9" t="s">
        <v>3239</v>
      </c>
      <c r="K30" s="1145" t="s">
        <v>3240</v>
      </c>
      <c r="L30" s="1145"/>
      <c r="M30" s="1145"/>
      <c r="N30" s="1145"/>
      <c r="O30" s="1145"/>
      <c r="P30" s="1145"/>
      <c r="Q30" s="1145"/>
      <c r="R30" s="1145"/>
      <c r="S30" s="1145"/>
      <c r="T30" s="1145"/>
      <c r="U30" s="1146"/>
      <c r="AA30" s="9"/>
      <c r="AE30" s="15"/>
      <c r="AF30" s="15"/>
      <c r="AG30" s="15"/>
      <c r="AH30" s="15"/>
      <c r="AI30" s="15"/>
      <c r="AJ30" s="15"/>
      <c r="AK30" s="15"/>
      <c r="AL30" s="15"/>
      <c r="AM30" s="15"/>
      <c r="AN30" s="15"/>
      <c r="AO30" s="15"/>
      <c r="AU30" s="9"/>
      <c r="AY30" s="15"/>
      <c r="AZ30" s="15"/>
      <c r="BA30" s="15"/>
      <c r="BB30" s="15"/>
      <c r="BC30" s="15"/>
      <c r="BD30" s="15"/>
      <c r="BE30" s="15"/>
      <c r="BF30" s="15"/>
      <c r="BG30" s="15"/>
      <c r="BH30" s="15"/>
      <c r="BI30" s="15"/>
    </row>
    <row r="31" spans="3:61" s="1" customFormat="1" ht="4" customHeight="1">
      <c r="C31" s="8"/>
      <c r="U31" s="25"/>
    </row>
    <row r="32" spans="3:61" s="1" customFormat="1" ht="14" customHeight="1">
      <c r="C32" s="8"/>
      <c r="P32" s="9" t="s">
        <v>3241</v>
      </c>
      <c r="T32" s="26" t="s">
        <v>3242</v>
      </c>
      <c r="U32" s="25"/>
      <c r="AJ32" s="9"/>
      <c r="AN32" s="26"/>
      <c r="BD32" s="9"/>
      <c r="BH32" s="26"/>
    </row>
    <row r="33" spans="3:61" s="1" customFormat="1" ht="13" customHeight="1">
      <c r="C33" s="10"/>
      <c r="D33" s="11"/>
      <c r="E33" s="11"/>
      <c r="F33" s="11"/>
      <c r="G33" s="11"/>
      <c r="H33" s="11"/>
      <c r="I33" s="11"/>
      <c r="J33" s="11"/>
      <c r="K33" s="11"/>
      <c r="L33" s="11"/>
      <c r="M33" s="11"/>
      <c r="N33" s="11"/>
      <c r="O33" s="11"/>
      <c r="P33" s="11"/>
      <c r="Q33" s="11"/>
      <c r="R33" s="11"/>
      <c r="S33" s="11"/>
      <c r="T33" s="11"/>
      <c r="U33" s="27"/>
      <c r="AO33" s="32"/>
      <c r="BI33" s="32"/>
    </row>
    <row r="34" spans="3:61" ht="13" customHeight="1">
      <c r="C34" s="3"/>
      <c r="D34" s="4"/>
      <c r="E34" s="4"/>
      <c r="F34" s="4"/>
      <c r="G34" s="4"/>
      <c r="H34" s="4"/>
      <c r="I34" s="4"/>
      <c r="J34" s="4"/>
      <c r="K34" s="4"/>
      <c r="L34" s="4"/>
      <c r="M34" s="4"/>
      <c r="N34" s="4"/>
      <c r="O34" s="4"/>
      <c r="P34" s="4"/>
      <c r="Q34" s="4"/>
      <c r="R34" s="4"/>
      <c r="S34" s="4"/>
      <c r="T34" s="4"/>
      <c r="U34" s="16"/>
    </row>
    <row r="35" spans="3:61" ht="13" customHeight="1">
      <c r="C35" s="5"/>
      <c r="D35" s="1139" t="str">
        <f>LEFT(VLOOKUP(F$2,購入者リスト!$B:$J,8,FALSE),1)</f>
        <v>8</v>
      </c>
      <c r="E35" s="1139" t="str">
        <f>MID(VLOOKUP(F$2,購入者リスト!$B:$J,8,FALSE),2,1)</f>
        <v>4</v>
      </c>
      <c r="F35" s="1139" t="str">
        <f>MID(VLOOKUP(F$2,購入者リスト!$B:$J,8,FALSE),3,1)</f>
        <v>0</v>
      </c>
      <c r="G35" s="1138"/>
      <c r="H35" s="1135" t="str">
        <f>MID(VLOOKUP(F$2,購入者リスト!$B:$J,8,FALSE),5,1)</f>
        <v>2</v>
      </c>
      <c r="I35" s="1135" t="str">
        <f>MID(VLOOKUP(F$2,購入者リスト!$B:$J,8,FALSE),6,1)</f>
        <v>2</v>
      </c>
      <c r="J35" s="1135" t="str">
        <f>MID(VLOOKUP(F$2,購入者リスト!$B:$J,8,FALSE),7,1)</f>
        <v>2</v>
      </c>
      <c r="K35" s="1135" t="str">
        <f>MID(VLOOKUP(F$2,購入者リスト!$B:$J,8,FALSE),8,1)</f>
        <v>1</v>
      </c>
      <c r="L35" s="12"/>
      <c r="M35" s="12"/>
      <c r="N35" s="12"/>
      <c r="O35" s="12"/>
      <c r="P35" s="12"/>
      <c r="Q35" s="1132" t="s">
        <v>3235</v>
      </c>
      <c r="R35" s="1133"/>
      <c r="S35" s="1133"/>
      <c r="T35" s="1133"/>
      <c r="U35" s="19"/>
      <c r="X35" s="20"/>
      <c r="Y35" s="20"/>
      <c r="Z35" s="20"/>
      <c r="AA35" s="28"/>
      <c r="AB35" s="29"/>
      <c r="AC35" s="29"/>
      <c r="AD35" s="29"/>
      <c r="AE35" s="29"/>
      <c r="AF35" s="12"/>
      <c r="AG35" s="12"/>
      <c r="AH35" s="12"/>
      <c r="AI35" s="12"/>
      <c r="AJ35" s="12"/>
      <c r="AK35" s="17"/>
      <c r="AL35" s="18"/>
      <c r="AM35" s="18"/>
      <c r="AN35" s="18"/>
      <c r="AO35" s="18"/>
      <c r="AR35" s="20"/>
      <c r="AS35" s="20"/>
      <c r="AT35" s="20"/>
      <c r="AU35" s="28"/>
      <c r="AV35" s="29"/>
      <c r="AW35" s="29"/>
      <c r="AX35" s="29"/>
      <c r="AY35" s="29"/>
      <c r="AZ35" s="12"/>
      <c r="BA35" s="12"/>
      <c r="BB35" s="12"/>
      <c r="BC35" s="12"/>
      <c r="BD35" s="12"/>
      <c r="BE35" s="17"/>
      <c r="BF35" s="18"/>
      <c r="BG35" s="18"/>
      <c r="BH35" s="18"/>
      <c r="BI35" s="18"/>
    </row>
    <row r="36" spans="3:61" ht="13" customHeight="1">
      <c r="C36" s="5"/>
      <c r="D36" s="1140"/>
      <c r="E36" s="1140"/>
      <c r="F36" s="1140"/>
      <c r="G36" s="1138"/>
      <c r="H36" s="1136"/>
      <c r="I36" s="1136"/>
      <c r="J36" s="1136"/>
      <c r="K36" s="1136"/>
      <c r="L36" s="12"/>
      <c r="M36" s="12"/>
      <c r="N36" s="12"/>
      <c r="O36" s="12"/>
      <c r="P36" s="12"/>
      <c r="Q36" s="1133"/>
      <c r="R36" s="1133"/>
      <c r="S36" s="1133"/>
      <c r="T36" s="1133"/>
      <c r="U36" s="19"/>
      <c r="X36" s="20"/>
      <c r="Y36" s="20"/>
      <c r="Z36" s="20"/>
      <c r="AA36" s="28"/>
      <c r="AB36" s="29"/>
      <c r="AC36" s="29"/>
      <c r="AD36" s="29"/>
      <c r="AE36" s="29"/>
      <c r="AF36" s="12"/>
      <c r="AG36" s="12"/>
      <c r="AH36" s="12"/>
      <c r="AI36" s="12"/>
      <c r="AJ36" s="12"/>
      <c r="AK36" s="18"/>
      <c r="AL36" s="18"/>
      <c r="AM36" s="18"/>
      <c r="AN36" s="18"/>
      <c r="AO36" s="18"/>
      <c r="AR36" s="20"/>
      <c r="AS36" s="20"/>
      <c r="AT36" s="20"/>
      <c r="AU36" s="28"/>
      <c r="AV36" s="29"/>
      <c r="AW36" s="29"/>
      <c r="AX36" s="29"/>
      <c r="AY36" s="29"/>
      <c r="AZ36" s="12"/>
      <c r="BA36" s="12"/>
      <c r="BB36" s="12"/>
      <c r="BC36" s="12"/>
      <c r="BD36" s="12"/>
      <c r="BE36" s="18"/>
      <c r="BF36" s="18"/>
      <c r="BG36" s="18"/>
      <c r="BH36" s="18"/>
      <c r="BI36" s="18"/>
    </row>
    <row r="37" spans="3:61" ht="13" customHeight="1">
      <c r="C37" s="5"/>
      <c r="D37" s="1141"/>
      <c r="E37" s="1141"/>
      <c r="F37" s="1141"/>
      <c r="G37" s="1138"/>
      <c r="H37" s="1137"/>
      <c r="I37" s="1137"/>
      <c r="J37" s="1137"/>
      <c r="K37" s="1137"/>
      <c r="L37" s="12"/>
      <c r="M37" s="12"/>
      <c r="N37" s="12"/>
      <c r="O37" s="12"/>
      <c r="P37" s="12"/>
      <c r="Q37" s="1133"/>
      <c r="R37" s="1133"/>
      <c r="S37" s="1133"/>
      <c r="T37" s="1133"/>
      <c r="U37" s="19"/>
      <c r="X37" s="20"/>
      <c r="Y37" s="20"/>
      <c r="Z37" s="20"/>
      <c r="AA37" s="28"/>
      <c r="AB37" s="29"/>
      <c r="AC37" s="29"/>
      <c r="AD37" s="29"/>
      <c r="AE37" s="29"/>
      <c r="AF37" s="12"/>
      <c r="AG37" s="12"/>
      <c r="AH37" s="12"/>
      <c r="AI37" s="12"/>
      <c r="AJ37" s="12"/>
      <c r="AK37" s="18"/>
      <c r="AL37" s="18"/>
      <c r="AM37" s="18"/>
      <c r="AN37" s="18"/>
      <c r="AO37" s="18"/>
      <c r="AR37" s="20"/>
      <c r="AS37" s="20"/>
      <c r="AT37" s="20"/>
      <c r="AU37" s="28"/>
      <c r="AV37" s="29"/>
      <c r="AW37" s="29"/>
      <c r="AX37" s="29"/>
      <c r="AY37" s="29"/>
      <c r="AZ37" s="12"/>
      <c r="BA37" s="12"/>
      <c r="BB37" s="12"/>
      <c r="BC37" s="12"/>
      <c r="BD37" s="12"/>
      <c r="BE37" s="18"/>
      <c r="BF37" s="18"/>
      <c r="BG37" s="18"/>
      <c r="BH37" s="18"/>
      <c r="BI37" s="18"/>
    </row>
    <row r="38" spans="3:61" ht="13" customHeight="1">
      <c r="C38" s="5"/>
      <c r="D38" s="1134" t="str">
        <f>VLOOKUP(F$2,購入者リスト!$B:$J,9,FALSE)</f>
        <v>佐賀県 佐賀市 東与賀町下古賀2146-5</v>
      </c>
      <c r="E38" s="1134"/>
      <c r="F38" s="1134"/>
      <c r="G38" s="1134"/>
      <c r="H38" s="1134"/>
      <c r="I38" s="1134"/>
      <c r="J38" s="1134"/>
      <c r="K38" s="1134"/>
      <c r="L38" s="1134"/>
      <c r="M38" s="1134"/>
      <c r="N38" s="1134"/>
      <c r="O38" s="1134"/>
      <c r="P38" s="1134"/>
      <c r="Q38" s="1134"/>
      <c r="R38" s="1134"/>
      <c r="S38" s="1134"/>
      <c r="T38" s="1134"/>
      <c r="U38" s="21"/>
      <c r="X38" s="6"/>
      <c r="Y38" s="6"/>
      <c r="Z38" s="6"/>
      <c r="AA38" s="6"/>
      <c r="AB38" s="6"/>
      <c r="AC38" s="6"/>
      <c r="AD38" s="6"/>
      <c r="AE38" s="6"/>
      <c r="AF38" s="6"/>
      <c r="AG38" s="6"/>
      <c r="AH38" s="6"/>
      <c r="AI38" s="6"/>
      <c r="AJ38" s="6"/>
      <c r="AK38" s="6"/>
      <c r="AL38" s="6"/>
      <c r="AM38" s="6"/>
      <c r="AN38" s="6"/>
      <c r="AR38" s="6"/>
      <c r="AS38" s="6"/>
      <c r="AT38" s="6"/>
      <c r="AU38" s="6"/>
      <c r="AV38" s="6"/>
      <c r="AW38" s="6"/>
      <c r="AX38" s="6"/>
      <c r="AY38" s="6"/>
      <c r="AZ38" s="6"/>
      <c r="BA38" s="6"/>
      <c r="BB38" s="6"/>
      <c r="BC38" s="6"/>
      <c r="BD38" s="6"/>
      <c r="BE38" s="6"/>
      <c r="BF38" s="6"/>
      <c r="BG38" s="6"/>
      <c r="BH38" s="6"/>
    </row>
    <row r="39" spans="3:61" ht="13" customHeight="1">
      <c r="C39" s="5"/>
      <c r="D39" s="1134"/>
      <c r="E39" s="1134"/>
      <c r="F39" s="1134"/>
      <c r="G39" s="1134"/>
      <c r="H39" s="1134"/>
      <c r="I39" s="1134"/>
      <c r="J39" s="1134"/>
      <c r="K39" s="1134"/>
      <c r="L39" s="1134"/>
      <c r="M39" s="1134"/>
      <c r="N39" s="1134"/>
      <c r="O39" s="1134"/>
      <c r="P39" s="1134"/>
      <c r="Q39" s="1134"/>
      <c r="R39" s="1134"/>
      <c r="S39" s="1134"/>
      <c r="T39" s="1134"/>
      <c r="U39" s="21"/>
      <c r="X39" s="6"/>
      <c r="Y39" s="6"/>
      <c r="Z39" s="6"/>
      <c r="AA39" s="6"/>
      <c r="AB39" s="6"/>
      <c r="AC39" s="6"/>
      <c r="AD39" s="6"/>
      <c r="AE39" s="6"/>
      <c r="AF39" s="6"/>
      <c r="AG39" s="6"/>
      <c r="AH39" s="6"/>
      <c r="AI39" s="6"/>
      <c r="AJ39" s="6"/>
      <c r="AK39" s="6"/>
      <c r="AL39" s="6"/>
      <c r="AM39" s="6"/>
      <c r="AN39" s="6"/>
      <c r="AR39" s="6"/>
      <c r="AS39" s="6"/>
      <c r="AT39" s="6"/>
      <c r="AU39" s="6"/>
      <c r="AV39" s="6"/>
      <c r="AW39" s="6"/>
      <c r="AX39" s="6"/>
      <c r="AY39" s="6"/>
      <c r="AZ39" s="6"/>
      <c r="BA39" s="6"/>
      <c r="BB39" s="6"/>
      <c r="BC39" s="6"/>
      <c r="BD39" s="6"/>
      <c r="BE39" s="6"/>
      <c r="BF39" s="6"/>
      <c r="BG39" s="6"/>
      <c r="BH39" s="6"/>
    </row>
    <row r="40" spans="3:61" ht="4" customHeight="1">
      <c r="C40" s="5"/>
      <c r="D40" s="1134"/>
      <c r="E40" s="1134"/>
      <c r="F40" s="1134"/>
      <c r="G40" s="1134"/>
      <c r="H40" s="1134"/>
      <c r="I40" s="1134"/>
      <c r="J40" s="1134"/>
      <c r="K40" s="1134"/>
      <c r="L40" s="1134"/>
      <c r="M40" s="1134"/>
      <c r="N40" s="1134"/>
      <c r="O40" s="1134"/>
      <c r="P40" s="1134"/>
      <c r="Q40" s="1134"/>
      <c r="R40" s="1134"/>
      <c r="S40" s="1134"/>
      <c r="T40" s="1134"/>
      <c r="U40" s="21"/>
      <c r="X40" s="6"/>
      <c r="Y40" s="6"/>
      <c r="Z40" s="6"/>
      <c r="AA40" s="6"/>
      <c r="AB40" s="6"/>
      <c r="AC40" s="6"/>
      <c r="AD40" s="6"/>
      <c r="AE40" s="6"/>
      <c r="AF40" s="6"/>
      <c r="AG40" s="6"/>
      <c r="AH40" s="6"/>
      <c r="AI40" s="6"/>
      <c r="AJ40" s="6"/>
      <c r="AK40" s="6"/>
      <c r="AL40" s="6"/>
      <c r="AM40" s="6"/>
      <c r="AN40" s="6"/>
      <c r="AR40" s="6"/>
      <c r="AS40" s="6"/>
      <c r="AT40" s="6"/>
      <c r="AU40" s="6"/>
      <c r="AV40" s="6"/>
      <c r="AW40" s="6"/>
      <c r="AX40" s="6"/>
      <c r="AY40" s="6"/>
      <c r="AZ40" s="6"/>
      <c r="BA40" s="6"/>
      <c r="BB40" s="6"/>
      <c r="BC40" s="6"/>
      <c r="BD40" s="6"/>
      <c r="BE40" s="6"/>
      <c r="BF40" s="6"/>
      <c r="BG40" s="6"/>
      <c r="BH40" s="6"/>
    </row>
    <row r="41" spans="3:61" ht="13" customHeight="1">
      <c r="C41" s="5"/>
      <c r="F41" s="1142" t="str">
        <f>VLOOKUP(F$2,購入者リスト!$B:$J,7,FALSE)</f>
        <v>樺島 真由美</v>
      </c>
      <c r="G41" s="1142"/>
      <c r="H41" s="1142"/>
      <c r="I41" s="1142"/>
      <c r="J41" s="1142"/>
      <c r="K41" s="1142"/>
      <c r="L41" s="1142"/>
      <c r="M41" s="1142"/>
      <c r="N41" s="1143" t="s">
        <v>3238</v>
      </c>
      <c r="O41" s="1144"/>
      <c r="P41" s="14"/>
      <c r="Q41" s="14"/>
      <c r="R41" s="14"/>
      <c r="S41" s="14"/>
      <c r="U41" s="22"/>
      <c r="Z41" s="7"/>
      <c r="AA41" s="7"/>
      <c r="AB41" s="7"/>
      <c r="AC41" s="7"/>
      <c r="AD41" s="7"/>
      <c r="AE41" s="7"/>
      <c r="AF41" s="7"/>
      <c r="AG41" s="7"/>
      <c r="AH41" s="13"/>
      <c r="AI41" s="14"/>
      <c r="AJ41" s="14"/>
      <c r="AK41" s="14"/>
      <c r="AL41" s="14"/>
      <c r="AM41" s="14"/>
      <c r="AO41" s="30"/>
      <c r="AT41" s="7"/>
      <c r="AU41" s="7"/>
      <c r="AV41" s="7"/>
      <c r="AW41" s="7"/>
      <c r="AX41" s="7"/>
      <c r="AY41" s="7"/>
      <c r="AZ41" s="7"/>
      <c r="BA41" s="7"/>
      <c r="BB41" s="13"/>
      <c r="BC41" s="14"/>
      <c r="BD41" s="14"/>
      <c r="BE41" s="14"/>
      <c r="BF41" s="14"/>
      <c r="BG41" s="14"/>
      <c r="BI41" s="30"/>
    </row>
    <row r="42" spans="3:61" ht="13" customHeight="1">
      <c r="C42" s="5"/>
      <c r="F42" s="1142"/>
      <c r="G42" s="1142"/>
      <c r="H42" s="1142"/>
      <c r="I42" s="1142"/>
      <c r="J42" s="1142"/>
      <c r="K42" s="1142"/>
      <c r="L42" s="1142"/>
      <c r="M42" s="1142"/>
      <c r="N42" s="1144"/>
      <c r="O42" s="1144"/>
      <c r="P42" s="14"/>
      <c r="Q42" s="14"/>
      <c r="R42" s="14"/>
      <c r="S42" s="14"/>
      <c r="U42" s="23"/>
      <c r="Z42" s="7"/>
      <c r="AA42" s="7"/>
      <c r="AB42" s="7"/>
      <c r="AC42" s="7"/>
      <c r="AD42" s="7"/>
      <c r="AE42" s="7"/>
      <c r="AF42" s="7"/>
      <c r="AG42" s="7"/>
      <c r="AH42" s="14"/>
      <c r="AI42" s="14"/>
      <c r="AJ42" s="14"/>
      <c r="AK42" s="14"/>
      <c r="AL42" s="14"/>
      <c r="AM42" s="14"/>
      <c r="AO42" s="31"/>
      <c r="AT42" s="7"/>
      <c r="AU42" s="7"/>
      <c r="AV42" s="7"/>
      <c r="AW42" s="7"/>
      <c r="AX42" s="7"/>
      <c r="AY42" s="7"/>
      <c r="AZ42" s="7"/>
      <c r="BA42" s="7"/>
      <c r="BB42" s="14"/>
      <c r="BC42" s="14"/>
      <c r="BD42" s="14"/>
      <c r="BE42" s="14"/>
      <c r="BF42" s="14"/>
      <c r="BG42" s="14"/>
      <c r="BI42" s="31"/>
    </row>
    <row r="43" spans="3:61" ht="13" customHeight="1">
      <c r="C43" s="5"/>
      <c r="F43" s="1142"/>
      <c r="G43" s="1142"/>
      <c r="H43" s="1142"/>
      <c r="I43" s="1142"/>
      <c r="J43" s="1142"/>
      <c r="K43" s="1142"/>
      <c r="L43" s="1142"/>
      <c r="M43" s="1142"/>
      <c r="N43" s="1144"/>
      <c r="O43" s="1144"/>
      <c r="Q43" s="24"/>
      <c r="U43" s="21"/>
      <c r="Z43" s="7"/>
      <c r="AA43" s="7"/>
      <c r="AB43" s="7"/>
      <c r="AC43" s="7"/>
      <c r="AD43" s="7"/>
      <c r="AE43" s="7"/>
      <c r="AF43" s="7"/>
      <c r="AG43" s="7"/>
      <c r="AH43" s="14"/>
      <c r="AI43" s="14"/>
      <c r="AK43" s="24"/>
      <c r="AT43" s="7"/>
      <c r="AU43" s="7"/>
      <c r="AV43" s="7"/>
      <c r="AW43" s="7"/>
      <c r="AX43" s="7"/>
      <c r="AY43" s="7"/>
      <c r="AZ43" s="7"/>
      <c r="BA43" s="7"/>
      <c r="BB43" s="14"/>
      <c r="BC43" s="14"/>
      <c r="BE43" s="24"/>
    </row>
    <row r="44" spans="3:61" s="1" customFormat="1" ht="4" customHeight="1">
      <c r="C44" s="8"/>
      <c r="U44" s="25"/>
    </row>
    <row r="45" spans="3:61" s="1" customFormat="1" ht="12.65" customHeight="1">
      <c r="C45" s="8"/>
      <c r="G45" s="9" t="s">
        <v>3239</v>
      </c>
      <c r="K45" s="1145" t="s">
        <v>3240</v>
      </c>
      <c r="L45" s="1145"/>
      <c r="M45" s="1145"/>
      <c r="N45" s="1145"/>
      <c r="O45" s="1145"/>
      <c r="P45" s="1145"/>
      <c r="Q45" s="1145"/>
      <c r="R45" s="1145"/>
      <c r="S45" s="1145"/>
      <c r="T45" s="1145"/>
      <c r="U45" s="1146"/>
      <c r="AA45" s="9"/>
      <c r="AE45" s="15"/>
      <c r="AF45" s="15"/>
      <c r="AG45" s="15"/>
      <c r="AH45" s="15"/>
      <c r="AI45" s="15"/>
      <c r="AJ45" s="15"/>
      <c r="AK45" s="15"/>
      <c r="AL45" s="15"/>
      <c r="AM45" s="15"/>
      <c r="AN45" s="15"/>
      <c r="AO45" s="15"/>
      <c r="AU45" s="9"/>
      <c r="AY45" s="15"/>
      <c r="AZ45" s="15"/>
      <c r="BA45" s="15"/>
      <c r="BB45" s="15"/>
      <c r="BC45" s="15"/>
      <c r="BD45" s="15"/>
      <c r="BE45" s="15"/>
      <c r="BF45" s="15"/>
      <c r="BG45" s="15"/>
      <c r="BH45" s="15"/>
      <c r="BI45" s="15"/>
    </row>
    <row r="46" spans="3:61" s="1" customFormat="1" ht="4" customHeight="1">
      <c r="C46" s="8"/>
      <c r="U46" s="25"/>
    </row>
    <row r="47" spans="3:61" s="1" customFormat="1" ht="14" customHeight="1">
      <c r="C47" s="8"/>
      <c r="P47" s="9" t="s">
        <v>3241</v>
      </c>
      <c r="T47" s="26" t="s">
        <v>3242</v>
      </c>
      <c r="U47" s="25"/>
      <c r="AJ47" s="9"/>
      <c r="AN47" s="26"/>
      <c r="BD47" s="9"/>
      <c r="BH47" s="26"/>
    </row>
    <row r="48" spans="3:61" s="1" customFormat="1" ht="13" customHeight="1">
      <c r="C48" s="10"/>
      <c r="D48" s="11"/>
      <c r="E48" s="11"/>
      <c r="F48" s="11"/>
      <c r="G48" s="11"/>
      <c r="H48" s="11"/>
      <c r="I48" s="11"/>
      <c r="J48" s="11"/>
      <c r="K48" s="11"/>
      <c r="L48" s="11"/>
      <c r="M48" s="11"/>
      <c r="N48" s="11"/>
      <c r="O48" s="11"/>
      <c r="P48" s="11"/>
      <c r="Q48" s="11"/>
      <c r="R48" s="11"/>
      <c r="S48" s="11"/>
      <c r="T48" s="11"/>
      <c r="U48" s="27"/>
      <c r="AO48" s="32"/>
      <c r="BI48" s="32"/>
    </row>
    <row r="49" spans="3:61" ht="13" customHeight="1">
      <c r="C49" s="3"/>
      <c r="D49" s="4"/>
      <c r="E49" s="4"/>
      <c r="F49" s="4"/>
      <c r="G49" s="4"/>
      <c r="H49" s="4"/>
      <c r="I49" s="4"/>
      <c r="J49" s="4"/>
      <c r="K49" s="4"/>
      <c r="L49" s="4"/>
      <c r="M49" s="4"/>
      <c r="N49" s="4"/>
      <c r="O49" s="4"/>
      <c r="P49" s="4"/>
      <c r="Q49" s="4"/>
      <c r="R49" s="4"/>
      <c r="S49" s="4"/>
      <c r="T49" s="4"/>
      <c r="U49" s="16"/>
    </row>
    <row r="50" spans="3:61" ht="13" customHeight="1">
      <c r="C50" s="5"/>
      <c r="D50" s="1139" t="str">
        <f>LEFT(VLOOKUP(G$2,購入者リスト!$B:$J,8,FALSE),1)</f>
        <v>6</v>
      </c>
      <c r="E50" s="1139" t="str">
        <f>MID(VLOOKUP(G$2,購入者リスト!$B:$J,8,FALSE),2,1)</f>
        <v>9</v>
      </c>
      <c r="F50" s="1139" t="str">
        <f>MID(VLOOKUP(G$2,購入者リスト!$B:$J,8,FALSE),3,1)</f>
        <v>7</v>
      </c>
      <c r="G50" s="1138"/>
      <c r="H50" s="1135" t="str">
        <f>MID(VLOOKUP(G$2,購入者リスト!$B:$J,8,FALSE),5,1)</f>
        <v>0</v>
      </c>
      <c r="I50" s="1135" t="str">
        <f>MID(VLOOKUP(G$2,購入者リスト!$B:$J,8,FALSE),6,1)</f>
        <v>0</v>
      </c>
      <c r="J50" s="1135" t="str">
        <f>MID(VLOOKUP(G$2,購入者リスト!$B:$J,8,FALSE),7,1)</f>
        <v>0</v>
      </c>
      <c r="K50" s="1135" t="str">
        <f>MID(VLOOKUP(G$2,購入者リスト!$B:$J,8,FALSE),8,1)</f>
        <v>5</v>
      </c>
      <c r="L50" s="12"/>
      <c r="M50" s="12"/>
      <c r="N50" s="12"/>
      <c r="O50" s="12"/>
      <c r="P50" s="12"/>
      <c r="Q50" s="1132" t="s">
        <v>3235</v>
      </c>
      <c r="R50" s="1133"/>
      <c r="S50" s="1133"/>
      <c r="T50" s="1133"/>
      <c r="U50" s="19"/>
      <c r="X50" s="20"/>
      <c r="Y50" s="20"/>
      <c r="Z50" s="20"/>
      <c r="AA50" s="28"/>
      <c r="AB50" s="29"/>
      <c r="AC50" s="29"/>
      <c r="AD50" s="29"/>
      <c r="AE50" s="29"/>
      <c r="AF50" s="12"/>
      <c r="AG50" s="12"/>
      <c r="AH50" s="12"/>
      <c r="AI50" s="12"/>
      <c r="AJ50" s="12"/>
      <c r="AK50" s="17"/>
      <c r="AL50" s="18"/>
      <c r="AM50" s="18"/>
      <c r="AN50" s="18"/>
      <c r="AO50" s="18"/>
      <c r="AR50" s="20"/>
      <c r="AS50" s="20"/>
      <c r="AT50" s="20"/>
      <c r="AU50" s="28"/>
      <c r="AV50" s="29"/>
      <c r="AW50" s="29"/>
      <c r="AX50" s="29"/>
      <c r="AY50" s="29"/>
      <c r="AZ50" s="12"/>
      <c r="BA50" s="12"/>
      <c r="BB50" s="12"/>
      <c r="BC50" s="12"/>
      <c r="BD50" s="12"/>
      <c r="BE50" s="17"/>
      <c r="BF50" s="18"/>
      <c r="BG50" s="18"/>
      <c r="BH50" s="18"/>
      <c r="BI50" s="18"/>
    </row>
    <row r="51" spans="3:61" ht="13" customHeight="1">
      <c r="C51" s="5"/>
      <c r="D51" s="1140"/>
      <c r="E51" s="1140"/>
      <c r="F51" s="1140"/>
      <c r="G51" s="1138"/>
      <c r="H51" s="1136"/>
      <c r="I51" s="1136"/>
      <c r="J51" s="1136"/>
      <c r="K51" s="1136"/>
      <c r="L51" s="12"/>
      <c r="M51" s="12"/>
      <c r="N51" s="12"/>
      <c r="O51" s="12"/>
      <c r="P51" s="12"/>
      <c r="Q51" s="1133"/>
      <c r="R51" s="1133"/>
      <c r="S51" s="1133"/>
      <c r="T51" s="1133"/>
      <c r="U51" s="19"/>
      <c r="X51" s="20"/>
      <c r="Y51" s="20"/>
      <c r="Z51" s="20"/>
      <c r="AA51" s="28"/>
      <c r="AB51" s="29"/>
      <c r="AC51" s="29"/>
      <c r="AD51" s="29"/>
      <c r="AE51" s="29"/>
      <c r="AF51" s="12"/>
      <c r="AG51" s="12"/>
      <c r="AH51" s="12"/>
      <c r="AI51" s="12"/>
      <c r="AJ51" s="12"/>
      <c r="AK51" s="18"/>
      <c r="AL51" s="18"/>
      <c r="AM51" s="18"/>
      <c r="AN51" s="18"/>
      <c r="AO51" s="18"/>
      <c r="AR51" s="20"/>
      <c r="AS51" s="20"/>
      <c r="AT51" s="20"/>
      <c r="AU51" s="28"/>
      <c r="AV51" s="29"/>
      <c r="AW51" s="29"/>
      <c r="AX51" s="29"/>
      <c r="AY51" s="29"/>
      <c r="AZ51" s="12"/>
      <c r="BA51" s="12"/>
      <c r="BB51" s="12"/>
      <c r="BC51" s="12"/>
      <c r="BD51" s="12"/>
      <c r="BE51" s="18"/>
      <c r="BF51" s="18"/>
      <c r="BG51" s="18"/>
      <c r="BH51" s="18"/>
      <c r="BI51" s="18"/>
    </row>
    <row r="52" spans="3:61" ht="13" customHeight="1">
      <c r="C52" s="5"/>
      <c r="D52" s="1141"/>
      <c r="E52" s="1141"/>
      <c r="F52" s="1141"/>
      <c r="G52" s="1138"/>
      <c r="H52" s="1137"/>
      <c r="I52" s="1137"/>
      <c r="J52" s="1137"/>
      <c r="K52" s="1137"/>
      <c r="L52" s="12"/>
      <c r="M52" s="12"/>
      <c r="N52" s="12"/>
      <c r="O52" s="12"/>
      <c r="P52" s="12"/>
      <c r="Q52" s="1133"/>
      <c r="R52" s="1133"/>
      <c r="S52" s="1133"/>
      <c r="T52" s="1133"/>
      <c r="U52" s="19"/>
      <c r="X52" s="20"/>
      <c r="Y52" s="20"/>
      <c r="Z52" s="20"/>
      <c r="AA52" s="28"/>
      <c r="AB52" s="29"/>
      <c r="AC52" s="29"/>
      <c r="AD52" s="29"/>
      <c r="AE52" s="29"/>
      <c r="AF52" s="12"/>
      <c r="AG52" s="12"/>
      <c r="AH52" s="12"/>
      <c r="AI52" s="12"/>
      <c r="AJ52" s="12"/>
      <c r="AK52" s="18"/>
      <c r="AL52" s="18"/>
      <c r="AM52" s="18"/>
      <c r="AN52" s="18"/>
      <c r="AO52" s="18"/>
      <c r="AR52" s="20"/>
      <c r="AS52" s="20"/>
      <c r="AT52" s="20"/>
      <c r="AU52" s="28"/>
      <c r="AV52" s="29"/>
      <c r="AW52" s="29"/>
      <c r="AX52" s="29"/>
      <c r="AY52" s="29"/>
      <c r="AZ52" s="12"/>
      <c r="BA52" s="12"/>
      <c r="BB52" s="12"/>
      <c r="BC52" s="12"/>
      <c r="BD52" s="12"/>
      <c r="BE52" s="18"/>
      <c r="BF52" s="18"/>
      <c r="BG52" s="18"/>
      <c r="BH52" s="18"/>
      <c r="BI52" s="18"/>
    </row>
    <row r="53" spans="3:61" ht="13" customHeight="1">
      <c r="C53" s="5"/>
      <c r="D53" s="1134" t="str">
        <f>VLOOKUP(G$2,購入者リスト!$B:$J,9,FALSE)</f>
        <v>島根県 浜田市上府町 941-15</v>
      </c>
      <c r="E53" s="1134"/>
      <c r="F53" s="1134"/>
      <c r="G53" s="1134"/>
      <c r="H53" s="1134"/>
      <c r="I53" s="1134"/>
      <c r="J53" s="1134"/>
      <c r="K53" s="1134"/>
      <c r="L53" s="1134"/>
      <c r="M53" s="1134"/>
      <c r="N53" s="1134"/>
      <c r="O53" s="1134"/>
      <c r="P53" s="1134"/>
      <c r="Q53" s="1134"/>
      <c r="R53" s="1134"/>
      <c r="S53" s="1134"/>
      <c r="T53" s="1134"/>
      <c r="U53" s="21"/>
      <c r="X53" s="6"/>
      <c r="Y53" s="6"/>
      <c r="Z53" s="6"/>
      <c r="AA53" s="6"/>
      <c r="AB53" s="6"/>
      <c r="AC53" s="6"/>
      <c r="AD53" s="6"/>
      <c r="AE53" s="6"/>
      <c r="AF53" s="6"/>
      <c r="AG53" s="6"/>
      <c r="AH53" s="6"/>
      <c r="AI53" s="6"/>
      <c r="AJ53" s="6"/>
      <c r="AK53" s="6"/>
      <c r="AL53" s="6"/>
      <c r="AM53" s="6"/>
      <c r="AN53" s="6"/>
      <c r="AR53" s="6"/>
      <c r="AS53" s="6"/>
      <c r="AT53" s="6"/>
      <c r="AU53" s="6"/>
      <c r="AV53" s="6"/>
      <c r="AW53" s="6"/>
      <c r="AX53" s="6"/>
      <c r="AY53" s="6"/>
      <c r="AZ53" s="6"/>
      <c r="BA53" s="6"/>
      <c r="BB53" s="6"/>
      <c r="BC53" s="6"/>
      <c r="BD53" s="6"/>
      <c r="BE53" s="6"/>
      <c r="BF53" s="6"/>
      <c r="BG53" s="6"/>
      <c r="BH53" s="6"/>
    </row>
    <row r="54" spans="3:61" ht="13" customHeight="1">
      <c r="C54" s="5"/>
      <c r="D54" s="1134"/>
      <c r="E54" s="1134"/>
      <c r="F54" s="1134"/>
      <c r="G54" s="1134"/>
      <c r="H54" s="1134"/>
      <c r="I54" s="1134"/>
      <c r="J54" s="1134"/>
      <c r="K54" s="1134"/>
      <c r="L54" s="1134"/>
      <c r="M54" s="1134"/>
      <c r="N54" s="1134"/>
      <c r="O54" s="1134"/>
      <c r="P54" s="1134"/>
      <c r="Q54" s="1134"/>
      <c r="R54" s="1134"/>
      <c r="S54" s="1134"/>
      <c r="T54" s="1134"/>
      <c r="U54" s="21"/>
      <c r="X54" s="6"/>
      <c r="Y54" s="6"/>
      <c r="Z54" s="6"/>
      <c r="AA54" s="6"/>
      <c r="AB54" s="6"/>
      <c r="AC54" s="6"/>
      <c r="AD54" s="6"/>
      <c r="AE54" s="6"/>
      <c r="AF54" s="6"/>
      <c r="AG54" s="6"/>
      <c r="AH54" s="6"/>
      <c r="AI54" s="6"/>
      <c r="AJ54" s="6"/>
      <c r="AK54" s="6"/>
      <c r="AL54" s="6"/>
      <c r="AM54" s="6"/>
      <c r="AN54" s="6"/>
      <c r="AR54" s="6"/>
      <c r="AS54" s="6"/>
      <c r="AT54" s="6"/>
      <c r="AU54" s="6"/>
      <c r="AV54" s="6"/>
      <c r="AW54" s="6"/>
      <c r="AX54" s="6"/>
      <c r="AY54" s="6"/>
      <c r="AZ54" s="6"/>
      <c r="BA54" s="6"/>
      <c r="BB54" s="6"/>
      <c r="BC54" s="6"/>
      <c r="BD54" s="6"/>
      <c r="BE54" s="6"/>
      <c r="BF54" s="6"/>
      <c r="BG54" s="6"/>
      <c r="BH54" s="6"/>
    </row>
    <row r="55" spans="3:61" ht="4" customHeight="1">
      <c r="C55" s="5"/>
      <c r="D55" s="1134"/>
      <c r="E55" s="1134"/>
      <c r="F55" s="1134"/>
      <c r="G55" s="1134"/>
      <c r="H55" s="1134"/>
      <c r="I55" s="1134"/>
      <c r="J55" s="1134"/>
      <c r="K55" s="1134"/>
      <c r="L55" s="1134"/>
      <c r="M55" s="1134"/>
      <c r="N55" s="1134"/>
      <c r="O55" s="1134"/>
      <c r="P55" s="1134"/>
      <c r="Q55" s="1134"/>
      <c r="R55" s="1134"/>
      <c r="S55" s="1134"/>
      <c r="T55" s="1134"/>
      <c r="U55" s="21"/>
      <c r="X55" s="6"/>
      <c r="Y55" s="6"/>
      <c r="Z55" s="6"/>
      <c r="AA55" s="6"/>
      <c r="AB55" s="6"/>
      <c r="AC55" s="6"/>
      <c r="AD55" s="6"/>
      <c r="AE55" s="6"/>
      <c r="AF55" s="6"/>
      <c r="AG55" s="6"/>
      <c r="AH55" s="6"/>
      <c r="AI55" s="6"/>
      <c r="AJ55" s="6"/>
      <c r="AK55" s="6"/>
      <c r="AL55" s="6"/>
      <c r="AM55" s="6"/>
      <c r="AN55" s="6"/>
      <c r="AR55" s="6"/>
      <c r="AS55" s="6"/>
      <c r="AT55" s="6"/>
      <c r="AU55" s="6"/>
      <c r="AV55" s="6"/>
      <c r="AW55" s="6"/>
      <c r="AX55" s="6"/>
      <c r="AY55" s="6"/>
      <c r="AZ55" s="6"/>
      <c r="BA55" s="6"/>
      <c r="BB55" s="6"/>
      <c r="BC55" s="6"/>
      <c r="BD55" s="6"/>
      <c r="BE55" s="6"/>
      <c r="BF55" s="6"/>
      <c r="BG55" s="6"/>
      <c r="BH55" s="6"/>
    </row>
    <row r="56" spans="3:61" ht="13" customHeight="1">
      <c r="C56" s="5"/>
      <c r="F56" s="1142" t="str">
        <f>VLOOKUP(G$2,購入者リスト!$B:$J,7,FALSE)</f>
        <v>森川 ちづ子</v>
      </c>
      <c r="G56" s="1142"/>
      <c r="H56" s="1142"/>
      <c r="I56" s="1142"/>
      <c r="J56" s="1142"/>
      <c r="K56" s="1142"/>
      <c r="L56" s="1142"/>
      <c r="M56" s="1142"/>
      <c r="N56" s="1143" t="s">
        <v>3238</v>
      </c>
      <c r="O56" s="1144"/>
      <c r="P56" s="14"/>
      <c r="Q56" s="14"/>
      <c r="R56" s="14"/>
      <c r="S56" s="14"/>
      <c r="U56" s="22"/>
      <c r="Z56" s="7"/>
      <c r="AA56" s="7"/>
      <c r="AB56" s="7"/>
      <c r="AC56" s="7"/>
      <c r="AD56" s="7"/>
      <c r="AE56" s="7"/>
      <c r="AF56" s="7"/>
      <c r="AG56" s="7"/>
      <c r="AH56" s="13"/>
      <c r="AI56" s="14"/>
      <c r="AJ56" s="14"/>
      <c r="AK56" s="14"/>
      <c r="AL56" s="14"/>
      <c r="AM56" s="14"/>
      <c r="AO56" s="30"/>
      <c r="AT56" s="7"/>
      <c r="AU56" s="7"/>
      <c r="AV56" s="7"/>
      <c r="AW56" s="7"/>
      <c r="AX56" s="7"/>
      <c r="AY56" s="7"/>
      <c r="AZ56" s="7"/>
      <c r="BA56" s="7"/>
      <c r="BB56" s="13"/>
      <c r="BC56" s="14"/>
      <c r="BD56" s="14"/>
      <c r="BE56" s="14"/>
      <c r="BF56" s="14"/>
      <c r="BG56" s="14"/>
      <c r="BI56" s="30"/>
    </row>
    <row r="57" spans="3:61" ht="13" customHeight="1">
      <c r="C57" s="5"/>
      <c r="F57" s="1142"/>
      <c r="G57" s="1142"/>
      <c r="H57" s="1142"/>
      <c r="I57" s="1142"/>
      <c r="J57" s="1142"/>
      <c r="K57" s="1142"/>
      <c r="L57" s="1142"/>
      <c r="M57" s="1142"/>
      <c r="N57" s="1144"/>
      <c r="O57" s="1144"/>
      <c r="P57" s="14"/>
      <c r="Q57" s="14"/>
      <c r="R57" s="14"/>
      <c r="S57" s="14"/>
      <c r="U57" s="23"/>
      <c r="Z57" s="7"/>
      <c r="AA57" s="7"/>
      <c r="AB57" s="7"/>
      <c r="AC57" s="7"/>
      <c r="AD57" s="7"/>
      <c r="AE57" s="7"/>
      <c r="AF57" s="7"/>
      <c r="AG57" s="7"/>
      <c r="AH57" s="14"/>
      <c r="AI57" s="14"/>
      <c r="AJ57" s="14"/>
      <c r="AK57" s="14"/>
      <c r="AL57" s="14"/>
      <c r="AM57" s="14"/>
      <c r="AO57" s="31"/>
      <c r="AT57" s="7"/>
      <c r="AU57" s="7"/>
      <c r="AV57" s="7"/>
      <c r="AW57" s="7"/>
      <c r="AX57" s="7"/>
      <c r="AY57" s="7"/>
      <c r="AZ57" s="7"/>
      <c r="BA57" s="7"/>
      <c r="BB57" s="14"/>
      <c r="BC57" s="14"/>
      <c r="BD57" s="14"/>
      <c r="BE57" s="14"/>
      <c r="BF57" s="14"/>
      <c r="BG57" s="14"/>
      <c r="BI57" s="31"/>
    </row>
    <row r="58" spans="3:61" ht="13" customHeight="1">
      <c r="C58" s="5"/>
      <c r="F58" s="1142"/>
      <c r="G58" s="1142"/>
      <c r="H58" s="1142"/>
      <c r="I58" s="1142"/>
      <c r="J58" s="1142"/>
      <c r="K58" s="1142"/>
      <c r="L58" s="1142"/>
      <c r="M58" s="1142"/>
      <c r="N58" s="1144"/>
      <c r="O58" s="1144"/>
      <c r="Q58" s="24"/>
      <c r="U58" s="21"/>
      <c r="Z58" s="7"/>
      <c r="AA58" s="7"/>
      <c r="AB58" s="7"/>
      <c r="AC58" s="7"/>
      <c r="AD58" s="7"/>
      <c r="AE58" s="7"/>
      <c r="AF58" s="7"/>
      <c r="AG58" s="7"/>
      <c r="AH58" s="14"/>
      <c r="AI58" s="14"/>
      <c r="AK58" s="24"/>
      <c r="AT58" s="7"/>
      <c r="AU58" s="7"/>
      <c r="AV58" s="7"/>
      <c r="AW58" s="7"/>
      <c r="AX58" s="7"/>
      <c r="AY58" s="7"/>
      <c r="AZ58" s="7"/>
      <c r="BA58" s="7"/>
      <c r="BB58" s="14"/>
      <c r="BC58" s="14"/>
      <c r="BE58" s="24"/>
    </row>
    <row r="59" spans="3:61" s="1" customFormat="1" ht="4" customHeight="1">
      <c r="C59" s="8"/>
      <c r="U59" s="25"/>
    </row>
    <row r="60" spans="3:61" s="1" customFormat="1" ht="12.65" customHeight="1">
      <c r="C60" s="8"/>
      <c r="G60" s="9" t="s">
        <v>3239</v>
      </c>
      <c r="K60" s="1145" t="s">
        <v>3240</v>
      </c>
      <c r="L60" s="1145"/>
      <c r="M60" s="1145"/>
      <c r="N60" s="1145"/>
      <c r="O60" s="1145"/>
      <c r="P60" s="1145"/>
      <c r="Q60" s="1145"/>
      <c r="R60" s="1145"/>
      <c r="S60" s="1145"/>
      <c r="T60" s="1145"/>
      <c r="U60" s="1146"/>
      <c r="AA60" s="9"/>
      <c r="AE60" s="15"/>
      <c r="AF60" s="15"/>
      <c r="AG60" s="15"/>
      <c r="AH60" s="15"/>
      <c r="AI60" s="15"/>
      <c r="AJ60" s="15"/>
      <c r="AK60" s="15"/>
      <c r="AL60" s="15"/>
      <c r="AM60" s="15"/>
      <c r="AN60" s="15"/>
      <c r="AO60" s="15"/>
      <c r="AU60" s="9"/>
      <c r="AY60" s="15"/>
      <c r="AZ60" s="15"/>
      <c r="BA60" s="15"/>
      <c r="BB60" s="15"/>
      <c r="BC60" s="15"/>
      <c r="BD60" s="15"/>
      <c r="BE60" s="15"/>
      <c r="BF60" s="15"/>
      <c r="BG60" s="15"/>
      <c r="BH60" s="15"/>
      <c r="BI60" s="15"/>
    </row>
    <row r="61" spans="3:61" s="1" customFormat="1" ht="4" customHeight="1">
      <c r="C61" s="8"/>
      <c r="U61" s="25"/>
    </row>
    <row r="62" spans="3:61" s="1" customFormat="1" ht="14" customHeight="1">
      <c r="C62" s="8"/>
      <c r="P62" s="9" t="s">
        <v>3241</v>
      </c>
      <c r="T62" s="26" t="s">
        <v>3242</v>
      </c>
      <c r="U62" s="25"/>
      <c r="AJ62" s="9"/>
      <c r="AN62" s="26"/>
      <c r="BD62" s="9"/>
      <c r="BH62" s="26"/>
    </row>
    <row r="63" spans="3:61" s="1" customFormat="1" ht="13" customHeight="1">
      <c r="C63" s="10"/>
      <c r="D63" s="11"/>
      <c r="E63" s="11"/>
      <c r="F63" s="11"/>
      <c r="G63" s="11"/>
      <c r="H63" s="11"/>
      <c r="I63" s="11"/>
      <c r="J63" s="11"/>
      <c r="K63" s="11"/>
      <c r="L63" s="11"/>
      <c r="M63" s="11"/>
      <c r="N63" s="11"/>
      <c r="O63" s="11"/>
      <c r="P63" s="11"/>
      <c r="Q63" s="11"/>
      <c r="R63" s="11"/>
      <c r="S63" s="11"/>
      <c r="T63" s="11"/>
      <c r="U63" s="27"/>
      <c r="AO63" s="32"/>
      <c r="BI63" s="32"/>
    </row>
    <row r="64" spans="3:61" ht="13" customHeight="1">
      <c r="C64" s="3"/>
      <c r="D64" s="4"/>
      <c r="E64" s="4"/>
      <c r="F64" s="4"/>
      <c r="G64" s="4"/>
      <c r="H64" s="4"/>
      <c r="I64" s="4"/>
      <c r="J64" s="4"/>
      <c r="K64" s="4"/>
      <c r="L64" s="4"/>
      <c r="M64" s="4"/>
      <c r="N64" s="4"/>
      <c r="O64" s="4"/>
      <c r="P64" s="4"/>
      <c r="Q64" s="4"/>
      <c r="R64" s="4"/>
      <c r="S64" s="4"/>
      <c r="T64" s="4"/>
      <c r="U64" s="16"/>
    </row>
    <row r="65" spans="3:61" ht="13" customHeight="1">
      <c r="C65" s="5"/>
      <c r="D65" s="1139" t="str">
        <f>LEFT(VLOOKUP(H$2,購入者リスト!$B:$J,8,FALSE),1)</f>
        <v>2</v>
      </c>
      <c r="E65" s="1139" t="str">
        <f>MID(VLOOKUP(H$2,購入者リスト!$B:$J,8,FALSE),2,1)</f>
        <v>4</v>
      </c>
      <c r="F65" s="1139" t="str">
        <f>MID(VLOOKUP(H$2,購入者リスト!$B:$J,8,FALSE),3,1)</f>
        <v>5</v>
      </c>
      <c r="G65" s="1138"/>
      <c r="H65" s="1135" t="str">
        <f>MID(VLOOKUP(H$2,購入者リスト!$B:$J,8,FALSE),5,1)</f>
        <v>0</v>
      </c>
      <c r="I65" s="1135" t="str">
        <f>MID(VLOOKUP(H$2,購入者リスト!$B:$J,8,FALSE),6,1)</f>
        <v>0</v>
      </c>
      <c r="J65" s="1135" t="str">
        <f>MID(VLOOKUP(H$2,購入者リスト!$B:$J,8,FALSE),7,1)</f>
        <v>5</v>
      </c>
      <c r="K65" s="1135" t="str">
        <f>MID(VLOOKUP(H$2,購入者リスト!$B:$J,8,FALSE),8,1)</f>
        <v>3</v>
      </c>
      <c r="L65" s="12"/>
      <c r="M65" s="12"/>
      <c r="N65" s="12"/>
      <c r="O65" s="12"/>
      <c r="P65" s="12"/>
      <c r="Q65" s="1132" t="s">
        <v>3235</v>
      </c>
      <c r="R65" s="1133"/>
      <c r="S65" s="1133"/>
      <c r="T65" s="1133"/>
      <c r="U65" s="19"/>
      <c r="X65" s="20"/>
      <c r="Y65" s="20"/>
      <c r="Z65" s="20"/>
      <c r="AA65" s="28"/>
      <c r="AB65" s="29"/>
      <c r="AC65" s="29"/>
      <c r="AD65" s="29"/>
      <c r="AE65" s="29"/>
      <c r="AF65" s="12"/>
      <c r="AG65" s="12"/>
      <c r="AH65" s="12"/>
      <c r="AI65" s="12"/>
      <c r="AJ65" s="12"/>
      <c r="AK65" s="17"/>
      <c r="AL65" s="18"/>
      <c r="AM65" s="18"/>
      <c r="AN65" s="18"/>
      <c r="AO65" s="18"/>
      <c r="AR65" s="20"/>
      <c r="AS65" s="20"/>
      <c r="AT65" s="20"/>
      <c r="AU65" s="28"/>
      <c r="AV65" s="29"/>
      <c r="AW65" s="29"/>
      <c r="AX65" s="29"/>
      <c r="AY65" s="29"/>
      <c r="AZ65" s="12"/>
      <c r="BA65" s="12"/>
      <c r="BB65" s="12"/>
      <c r="BC65" s="12"/>
      <c r="BD65" s="12"/>
      <c r="BE65" s="17"/>
      <c r="BF65" s="18"/>
      <c r="BG65" s="18"/>
      <c r="BH65" s="18"/>
      <c r="BI65" s="18"/>
    </row>
    <row r="66" spans="3:61" ht="13" customHeight="1">
      <c r="C66" s="5"/>
      <c r="D66" s="1140"/>
      <c r="E66" s="1140"/>
      <c r="F66" s="1140"/>
      <c r="G66" s="1138"/>
      <c r="H66" s="1136"/>
      <c r="I66" s="1136"/>
      <c r="J66" s="1136"/>
      <c r="K66" s="1136"/>
      <c r="L66" s="12"/>
      <c r="M66" s="12"/>
      <c r="N66" s="12"/>
      <c r="O66" s="12"/>
      <c r="P66" s="12"/>
      <c r="Q66" s="1133"/>
      <c r="R66" s="1133"/>
      <c r="S66" s="1133"/>
      <c r="T66" s="1133"/>
      <c r="U66" s="19"/>
      <c r="X66" s="20"/>
      <c r="Y66" s="20"/>
      <c r="Z66" s="20"/>
      <c r="AA66" s="28"/>
      <c r="AB66" s="29"/>
      <c r="AC66" s="29"/>
      <c r="AD66" s="29"/>
      <c r="AE66" s="29"/>
      <c r="AF66" s="12"/>
      <c r="AG66" s="12"/>
      <c r="AH66" s="12"/>
      <c r="AI66" s="12"/>
      <c r="AJ66" s="12"/>
      <c r="AK66" s="18"/>
      <c r="AL66" s="18"/>
      <c r="AM66" s="18"/>
      <c r="AN66" s="18"/>
      <c r="AO66" s="18"/>
      <c r="AR66" s="20"/>
      <c r="AS66" s="20"/>
      <c r="AT66" s="20"/>
      <c r="AU66" s="28"/>
      <c r="AV66" s="29"/>
      <c r="AW66" s="29"/>
      <c r="AX66" s="29"/>
      <c r="AY66" s="29"/>
      <c r="AZ66" s="12"/>
      <c r="BA66" s="12"/>
      <c r="BB66" s="12"/>
      <c r="BC66" s="12"/>
      <c r="BD66" s="12"/>
      <c r="BE66" s="18"/>
      <c r="BF66" s="18"/>
      <c r="BG66" s="18"/>
      <c r="BH66" s="18"/>
      <c r="BI66" s="18"/>
    </row>
    <row r="67" spans="3:61" ht="13" customHeight="1">
      <c r="C67" s="5"/>
      <c r="D67" s="1141"/>
      <c r="E67" s="1141"/>
      <c r="F67" s="1141"/>
      <c r="G67" s="1138"/>
      <c r="H67" s="1137"/>
      <c r="I67" s="1137"/>
      <c r="J67" s="1137"/>
      <c r="K67" s="1137"/>
      <c r="L67" s="12"/>
      <c r="M67" s="12"/>
      <c r="N67" s="12"/>
      <c r="O67" s="12"/>
      <c r="P67" s="12"/>
      <c r="Q67" s="1133"/>
      <c r="R67" s="1133"/>
      <c r="S67" s="1133"/>
      <c r="T67" s="1133"/>
      <c r="U67" s="19"/>
      <c r="X67" s="20"/>
      <c r="Y67" s="20"/>
      <c r="Z67" s="20"/>
      <c r="AA67" s="28"/>
      <c r="AB67" s="29"/>
      <c r="AC67" s="29"/>
      <c r="AD67" s="29"/>
      <c r="AE67" s="29"/>
      <c r="AF67" s="12"/>
      <c r="AG67" s="12"/>
      <c r="AH67" s="12"/>
      <c r="AI67" s="12"/>
      <c r="AJ67" s="12"/>
      <c r="AK67" s="18"/>
      <c r="AL67" s="18"/>
      <c r="AM67" s="18"/>
      <c r="AN67" s="18"/>
      <c r="AO67" s="18"/>
      <c r="AR67" s="20"/>
      <c r="AS67" s="20"/>
      <c r="AT67" s="20"/>
      <c r="AU67" s="28"/>
      <c r="AV67" s="29"/>
      <c r="AW67" s="29"/>
      <c r="AX67" s="29"/>
      <c r="AY67" s="29"/>
      <c r="AZ67" s="12"/>
      <c r="BA67" s="12"/>
      <c r="BB67" s="12"/>
      <c r="BC67" s="12"/>
      <c r="BD67" s="12"/>
      <c r="BE67" s="18"/>
      <c r="BF67" s="18"/>
      <c r="BG67" s="18"/>
      <c r="BH67" s="18"/>
      <c r="BI67" s="18"/>
    </row>
    <row r="68" spans="3:61" ht="13" customHeight="1">
      <c r="C68" s="5"/>
      <c r="D68" s="1134" t="str">
        <f>VLOOKUP(H$2,購入者リスト!$B:$J,9,FALSE)</f>
        <v>神奈川県 横浜市戸塚区上矢部町 518-17</v>
      </c>
      <c r="E68" s="1134"/>
      <c r="F68" s="1134"/>
      <c r="G68" s="1134"/>
      <c r="H68" s="1134"/>
      <c r="I68" s="1134"/>
      <c r="J68" s="1134"/>
      <c r="K68" s="1134"/>
      <c r="L68" s="1134"/>
      <c r="M68" s="1134"/>
      <c r="N68" s="1134"/>
      <c r="O68" s="1134"/>
      <c r="P68" s="1134"/>
      <c r="Q68" s="1134"/>
      <c r="R68" s="1134"/>
      <c r="S68" s="1134"/>
      <c r="T68" s="1134"/>
      <c r="U68" s="21"/>
      <c r="X68" s="6"/>
      <c r="Y68" s="6"/>
      <c r="Z68" s="6"/>
      <c r="AA68" s="6"/>
      <c r="AB68" s="6"/>
      <c r="AC68" s="6"/>
      <c r="AD68" s="6"/>
      <c r="AE68" s="6"/>
      <c r="AF68" s="6"/>
      <c r="AG68" s="6"/>
      <c r="AH68" s="6"/>
      <c r="AI68" s="6"/>
      <c r="AJ68" s="6"/>
      <c r="AK68" s="6"/>
      <c r="AL68" s="6"/>
      <c r="AM68" s="6"/>
      <c r="AN68" s="6"/>
      <c r="AR68" s="6"/>
      <c r="AS68" s="6"/>
      <c r="AT68" s="6"/>
      <c r="AU68" s="6"/>
      <c r="AV68" s="6"/>
      <c r="AW68" s="6"/>
      <c r="AX68" s="6"/>
      <c r="AY68" s="6"/>
      <c r="AZ68" s="6"/>
      <c r="BA68" s="6"/>
      <c r="BB68" s="6"/>
      <c r="BC68" s="6"/>
      <c r="BD68" s="6"/>
      <c r="BE68" s="6"/>
      <c r="BF68" s="6"/>
      <c r="BG68" s="6"/>
      <c r="BH68" s="6"/>
    </row>
    <row r="69" spans="3:61" ht="13" customHeight="1">
      <c r="C69" s="5"/>
      <c r="D69" s="1134"/>
      <c r="E69" s="1134"/>
      <c r="F69" s="1134"/>
      <c r="G69" s="1134"/>
      <c r="H69" s="1134"/>
      <c r="I69" s="1134"/>
      <c r="J69" s="1134"/>
      <c r="K69" s="1134"/>
      <c r="L69" s="1134"/>
      <c r="M69" s="1134"/>
      <c r="N69" s="1134"/>
      <c r="O69" s="1134"/>
      <c r="P69" s="1134"/>
      <c r="Q69" s="1134"/>
      <c r="R69" s="1134"/>
      <c r="S69" s="1134"/>
      <c r="T69" s="1134"/>
      <c r="U69" s="21"/>
      <c r="X69" s="6"/>
      <c r="Y69" s="6"/>
      <c r="Z69" s="6"/>
      <c r="AA69" s="6"/>
      <c r="AB69" s="6"/>
      <c r="AC69" s="6"/>
      <c r="AD69" s="6"/>
      <c r="AE69" s="6"/>
      <c r="AF69" s="6"/>
      <c r="AG69" s="6"/>
      <c r="AH69" s="6"/>
      <c r="AI69" s="6"/>
      <c r="AJ69" s="6"/>
      <c r="AK69" s="6"/>
      <c r="AL69" s="6"/>
      <c r="AM69" s="6"/>
      <c r="AN69" s="6"/>
      <c r="AR69" s="6"/>
      <c r="AS69" s="6"/>
      <c r="AT69" s="6"/>
      <c r="AU69" s="6"/>
      <c r="AV69" s="6"/>
      <c r="AW69" s="6"/>
      <c r="AX69" s="6"/>
      <c r="AY69" s="6"/>
      <c r="AZ69" s="6"/>
      <c r="BA69" s="6"/>
      <c r="BB69" s="6"/>
      <c r="BC69" s="6"/>
      <c r="BD69" s="6"/>
      <c r="BE69" s="6"/>
      <c r="BF69" s="6"/>
      <c r="BG69" s="6"/>
      <c r="BH69" s="6"/>
    </row>
    <row r="70" spans="3:61" ht="4" customHeight="1">
      <c r="C70" s="5"/>
      <c r="D70" s="1134"/>
      <c r="E70" s="1134"/>
      <c r="F70" s="1134"/>
      <c r="G70" s="1134"/>
      <c r="H70" s="1134"/>
      <c r="I70" s="1134"/>
      <c r="J70" s="1134"/>
      <c r="K70" s="1134"/>
      <c r="L70" s="1134"/>
      <c r="M70" s="1134"/>
      <c r="N70" s="1134"/>
      <c r="O70" s="1134"/>
      <c r="P70" s="1134"/>
      <c r="Q70" s="1134"/>
      <c r="R70" s="1134"/>
      <c r="S70" s="1134"/>
      <c r="T70" s="1134"/>
      <c r="U70" s="21"/>
      <c r="X70" s="6"/>
      <c r="Y70" s="6"/>
      <c r="Z70" s="6"/>
      <c r="AA70" s="6"/>
      <c r="AB70" s="6"/>
      <c r="AC70" s="6"/>
      <c r="AD70" s="6"/>
      <c r="AE70" s="6"/>
      <c r="AF70" s="6"/>
      <c r="AG70" s="6"/>
      <c r="AH70" s="6"/>
      <c r="AI70" s="6"/>
      <c r="AJ70" s="6"/>
      <c r="AK70" s="6"/>
      <c r="AL70" s="6"/>
      <c r="AM70" s="6"/>
      <c r="AN70" s="6"/>
      <c r="AR70" s="6"/>
      <c r="AS70" s="6"/>
      <c r="AT70" s="6"/>
      <c r="AU70" s="6"/>
      <c r="AV70" s="6"/>
      <c r="AW70" s="6"/>
      <c r="AX70" s="6"/>
      <c r="AY70" s="6"/>
      <c r="AZ70" s="6"/>
      <c r="BA70" s="6"/>
      <c r="BB70" s="6"/>
      <c r="BC70" s="6"/>
      <c r="BD70" s="6"/>
      <c r="BE70" s="6"/>
      <c r="BF70" s="6"/>
      <c r="BG70" s="6"/>
      <c r="BH70" s="6"/>
    </row>
    <row r="71" spans="3:61" ht="13" customHeight="1">
      <c r="C71" s="5"/>
      <c r="F71" s="1142" t="str">
        <f>VLOOKUP(H$2,購入者リスト!$B:$J,7,FALSE)</f>
        <v>澤合 博子</v>
      </c>
      <c r="G71" s="1142"/>
      <c r="H71" s="1142"/>
      <c r="I71" s="1142"/>
      <c r="J71" s="1142"/>
      <c r="K71" s="1142"/>
      <c r="L71" s="1142"/>
      <c r="M71" s="1142"/>
      <c r="N71" s="1143" t="s">
        <v>3238</v>
      </c>
      <c r="O71" s="1144"/>
      <c r="P71" s="14"/>
      <c r="Q71" s="14"/>
      <c r="R71" s="14"/>
      <c r="S71" s="14"/>
      <c r="U71" s="22"/>
      <c r="Z71" s="7"/>
      <c r="AA71" s="7"/>
      <c r="AB71" s="7"/>
      <c r="AC71" s="7"/>
      <c r="AD71" s="7"/>
      <c r="AE71" s="7"/>
      <c r="AF71" s="7"/>
      <c r="AG71" s="7"/>
      <c r="AH71" s="13"/>
      <c r="AI71" s="14"/>
      <c r="AJ71" s="14"/>
      <c r="AK71" s="14"/>
      <c r="AL71" s="14"/>
      <c r="AM71" s="14"/>
      <c r="AO71" s="30"/>
      <c r="AT71" s="7"/>
      <c r="AU71" s="7"/>
      <c r="AV71" s="7"/>
      <c r="AW71" s="7"/>
      <c r="AX71" s="7"/>
      <c r="AY71" s="7"/>
      <c r="AZ71" s="7"/>
      <c r="BA71" s="7"/>
      <c r="BB71" s="13"/>
      <c r="BC71" s="14"/>
      <c r="BD71" s="14"/>
      <c r="BE71" s="14"/>
      <c r="BF71" s="14"/>
      <c r="BG71" s="14"/>
      <c r="BI71" s="30"/>
    </row>
    <row r="72" spans="3:61" ht="13" customHeight="1">
      <c r="C72" s="5"/>
      <c r="F72" s="1142"/>
      <c r="G72" s="1142"/>
      <c r="H72" s="1142"/>
      <c r="I72" s="1142"/>
      <c r="J72" s="1142"/>
      <c r="K72" s="1142"/>
      <c r="L72" s="1142"/>
      <c r="M72" s="1142"/>
      <c r="N72" s="1144"/>
      <c r="O72" s="1144"/>
      <c r="P72" s="14"/>
      <c r="Q72" s="14"/>
      <c r="R72" s="14"/>
      <c r="S72" s="14"/>
      <c r="U72" s="23"/>
      <c r="Z72" s="7"/>
      <c r="AA72" s="7"/>
      <c r="AB72" s="7"/>
      <c r="AC72" s="7"/>
      <c r="AD72" s="7"/>
      <c r="AE72" s="7"/>
      <c r="AF72" s="7"/>
      <c r="AG72" s="7"/>
      <c r="AH72" s="14"/>
      <c r="AI72" s="14"/>
      <c r="AJ72" s="14"/>
      <c r="AK72" s="14"/>
      <c r="AL72" s="14"/>
      <c r="AM72" s="14"/>
      <c r="AO72" s="31"/>
      <c r="AT72" s="7"/>
      <c r="AU72" s="7"/>
      <c r="AV72" s="7"/>
      <c r="AW72" s="7"/>
      <c r="AX72" s="7"/>
      <c r="AY72" s="7"/>
      <c r="AZ72" s="7"/>
      <c r="BA72" s="7"/>
      <c r="BB72" s="14"/>
      <c r="BC72" s="14"/>
      <c r="BD72" s="14"/>
      <c r="BE72" s="14"/>
      <c r="BF72" s="14"/>
      <c r="BG72" s="14"/>
      <c r="BI72" s="31"/>
    </row>
    <row r="73" spans="3:61" ht="13" customHeight="1">
      <c r="C73" s="5"/>
      <c r="F73" s="1142"/>
      <c r="G73" s="1142"/>
      <c r="H73" s="1142"/>
      <c r="I73" s="1142"/>
      <c r="J73" s="1142"/>
      <c r="K73" s="1142"/>
      <c r="L73" s="1142"/>
      <c r="M73" s="1142"/>
      <c r="N73" s="1144"/>
      <c r="O73" s="1144"/>
      <c r="Q73" s="24"/>
      <c r="U73" s="21"/>
      <c r="Z73" s="7"/>
      <c r="AA73" s="7"/>
      <c r="AB73" s="7"/>
      <c r="AC73" s="7"/>
      <c r="AD73" s="7"/>
      <c r="AE73" s="7"/>
      <c r="AF73" s="7"/>
      <c r="AG73" s="7"/>
      <c r="AH73" s="14"/>
      <c r="AI73" s="14"/>
      <c r="AK73" s="24"/>
      <c r="AT73" s="7"/>
      <c r="AU73" s="7"/>
      <c r="AV73" s="7"/>
      <c r="AW73" s="7"/>
      <c r="AX73" s="7"/>
      <c r="AY73" s="7"/>
      <c r="AZ73" s="7"/>
      <c r="BA73" s="7"/>
      <c r="BB73" s="14"/>
      <c r="BC73" s="14"/>
      <c r="BE73" s="24"/>
    </row>
    <row r="74" spans="3:61" s="1" customFormat="1" ht="4" customHeight="1">
      <c r="C74" s="8"/>
      <c r="U74" s="25"/>
    </row>
    <row r="75" spans="3:61" s="1" customFormat="1" ht="12.65" customHeight="1">
      <c r="C75" s="8"/>
      <c r="G75" s="9" t="s">
        <v>3239</v>
      </c>
      <c r="K75" s="1145" t="s">
        <v>3240</v>
      </c>
      <c r="L75" s="1145"/>
      <c r="M75" s="1145"/>
      <c r="N75" s="1145"/>
      <c r="O75" s="1145"/>
      <c r="P75" s="1145"/>
      <c r="Q75" s="1145"/>
      <c r="R75" s="1145"/>
      <c r="S75" s="1145"/>
      <c r="T75" s="1145"/>
      <c r="U75" s="1146"/>
      <c r="AA75" s="9"/>
      <c r="AE75" s="15"/>
      <c r="AF75" s="15"/>
      <c r="AG75" s="15"/>
      <c r="AH75" s="15"/>
      <c r="AI75" s="15"/>
      <c r="AJ75" s="15"/>
      <c r="AK75" s="15"/>
      <c r="AL75" s="15"/>
      <c r="AM75" s="15"/>
      <c r="AN75" s="15"/>
      <c r="AO75" s="15"/>
      <c r="AU75" s="9"/>
      <c r="AY75" s="15"/>
      <c r="AZ75" s="15"/>
      <c r="BA75" s="15"/>
      <c r="BB75" s="15"/>
      <c r="BC75" s="15"/>
      <c r="BD75" s="15"/>
      <c r="BE75" s="15"/>
      <c r="BF75" s="15"/>
      <c r="BG75" s="15"/>
      <c r="BH75" s="15"/>
      <c r="BI75" s="15"/>
    </row>
    <row r="76" spans="3:61" s="1" customFormat="1" ht="4" customHeight="1">
      <c r="C76" s="8"/>
      <c r="U76" s="25"/>
    </row>
    <row r="77" spans="3:61" s="1" customFormat="1" ht="14" customHeight="1">
      <c r="C77" s="8"/>
      <c r="P77" s="9" t="s">
        <v>3241</v>
      </c>
      <c r="T77" s="26" t="s">
        <v>3242</v>
      </c>
      <c r="U77" s="25"/>
      <c r="AJ77" s="9"/>
      <c r="AN77" s="26"/>
      <c r="BD77" s="9"/>
      <c r="BH77" s="26"/>
    </row>
    <row r="78" spans="3:61" s="1" customFormat="1" ht="13" customHeight="1">
      <c r="C78" s="10"/>
      <c r="D78" s="11"/>
      <c r="E78" s="11"/>
      <c r="F78" s="11"/>
      <c r="G78" s="11"/>
      <c r="H78" s="11"/>
      <c r="I78" s="11"/>
      <c r="J78" s="11"/>
      <c r="K78" s="11"/>
      <c r="L78" s="11"/>
      <c r="M78" s="11"/>
      <c r="N78" s="11"/>
      <c r="O78" s="11"/>
      <c r="P78" s="11"/>
      <c r="Q78" s="11"/>
      <c r="R78" s="11"/>
      <c r="S78" s="11"/>
      <c r="T78" s="11"/>
      <c r="U78" s="27"/>
      <c r="AO78" s="32"/>
      <c r="BI78" s="32"/>
    </row>
  </sheetData>
  <mergeCells count="68">
    <mergeCell ref="K15:U15"/>
    <mergeCell ref="K30:U30"/>
    <mergeCell ref="K45:U45"/>
    <mergeCell ref="K60:U60"/>
    <mergeCell ref="K75:U75"/>
    <mergeCell ref="D68:T70"/>
    <mergeCell ref="F71:M73"/>
    <mergeCell ref="N71:O73"/>
    <mergeCell ref="Q65:T67"/>
    <mergeCell ref="F35:F37"/>
    <mergeCell ref="F50:F52"/>
    <mergeCell ref="F65:F67"/>
    <mergeCell ref="H35:H37"/>
    <mergeCell ref="H50:H52"/>
    <mergeCell ref="H65:H67"/>
    <mergeCell ref="J65:J67"/>
    <mergeCell ref="D5:D7"/>
    <mergeCell ref="D20:D22"/>
    <mergeCell ref="D35:D37"/>
    <mergeCell ref="D50:D52"/>
    <mergeCell ref="D65:D67"/>
    <mergeCell ref="E5:E7"/>
    <mergeCell ref="E20:E22"/>
    <mergeCell ref="E35:E37"/>
    <mergeCell ref="E50:E52"/>
    <mergeCell ref="E65:E67"/>
    <mergeCell ref="G5:G7"/>
    <mergeCell ref="G20:G22"/>
    <mergeCell ref="G35:G37"/>
    <mergeCell ref="G50:G52"/>
    <mergeCell ref="G65:G67"/>
    <mergeCell ref="I5:I7"/>
    <mergeCell ref="I20:I22"/>
    <mergeCell ref="I35:I37"/>
    <mergeCell ref="I50:I52"/>
    <mergeCell ref="I65:I67"/>
    <mergeCell ref="K35:K37"/>
    <mergeCell ref="K50:K52"/>
    <mergeCell ref="K65:K67"/>
    <mergeCell ref="D23:T25"/>
    <mergeCell ref="F26:M28"/>
    <mergeCell ref="N26:O28"/>
    <mergeCell ref="D38:T40"/>
    <mergeCell ref="F41:M43"/>
    <mergeCell ref="N41:O43"/>
    <mergeCell ref="Q50:T52"/>
    <mergeCell ref="D53:T55"/>
    <mergeCell ref="F56:M58"/>
    <mergeCell ref="N56:O58"/>
    <mergeCell ref="Q35:T37"/>
    <mergeCell ref="J35:J37"/>
    <mergeCell ref="J50:J52"/>
    <mergeCell ref="N11:O13"/>
    <mergeCell ref="Q20:T22"/>
    <mergeCell ref="BK4:BR5"/>
    <mergeCell ref="Q5:T7"/>
    <mergeCell ref="BK6:BX7"/>
    <mergeCell ref="D8:T10"/>
    <mergeCell ref="BK8:BX9"/>
    <mergeCell ref="F11:M13"/>
    <mergeCell ref="K5:K7"/>
    <mergeCell ref="K20:K22"/>
    <mergeCell ref="J5:J7"/>
    <mergeCell ref="J20:J22"/>
    <mergeCell ref="H5:H7"/>
    <mergeCell ref="H20:H22"/>
    <mergeCell ref="F5:F7"/>
    <mergeCell ref="F20:F22"/>
  </mergeCells>
  <phoneticPr fontId="59"/>
  <printOptions horizontalCentered="1" verticalCentered="1"/>
  <pageMargins left="0.23622047244094499" right="0.23622047244094499" top="0.23622047244094499" bottom="0.23622047244094499" header="0" footer="0"/>
  <pageSetup paperSize="9" scale="50" orientation="landscape" r:id="rId1"/>
  <headerFooter scaleWithDoc="0"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AB1046-35A3-4713-BDD1-6DF11504F46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9</vt:i4>
      </vt:variant>
    </vt:vector>
  </HeadingPairs>
  <TitlesOfParts>
    <vt:vector size="22" baseType="lpstr">
      <vt:lpstr>所持リスト</vt:lpstr>
      <vt:lpstr>別名リスト</vt:lpstr>
      <vt:lpstr>説明用文章</vt:lpstr>
      <vt:lpstr>設定ファイル</vt:lpstr>
      <vt:lpstr>購入者リスト</vt:lpstr>
      <vt:lpstr>フォロワー</vt:lpstr>
      <vt:lpstr>販売実績</vt:lpstr>
      <vt:lpstr>帳簿</vt:lpstr>
      <vt:lpstr>メルカリ多肉屋さん</vt:lpstr>
      <vt:lpstr>26-02-27</vt:lpstr>
      <vt:lpstr>26-01-30</vt:lpstr>
      <vt:lpstr>25-11-28</vt:lpstr>
      <vt:lpstr>25-11-07</vt:lpstr>
      <vt:lpstr>CELL_FOLDER_NAME1</vt:lpstr>
      <vt:lpstr>CELL_FOLDER_NAME2</vt:lpstr>
      <vt:lpstr>CELL_FOLDER_NAME3</vt:lpstr>
      <vt:lpstr>CELL_FOLDER_NAME4</vt:lpstr>
      <vt:lpstr>CELL_FOLDER_NAME5</vt:lpstr>
      <vt:lpstr>'25-11-07'!Print_Area</vt:lpstr>
      <vt:lpstr>'25-11-28'!Print_Area</vt:lpstr>
      <vt:lpstr>'26-01-30'!Print_Area</vt:lpstr>
      <vt:lpstr>'26-02-27'!Print_Area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NiiokaTakashi(新岡貴之)_製品技術ｸﾞﾙｰﾌﾟ(青森)</dc:creator>
  <cp:lastModifiedBy>NiiokaTakashi(新岡貴之)_製品技術ｸﾞﾙｰﾌﾟ(青森)</cp:lastModifiedBy>
  <cp:lastPrinted>2025-05-31T02:43:00Z</cp:lastPrinted>
  <dcterms:created xsi:type="dcterms:W3CDTF">2024-07-03T05:34:00Z</dcterms:created>
  <dcterms:modified xsi:type="dcterms:W3CDTF">2026-03-30T23:44:29Z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B0EC7285A20A48A7B761AD3659A55D6E_12</vt:lpwstr>
  </property>
  <property fmtid="{D5CDD505-2E9C-101B-9397-08002B2CF9AE}" pid="3" name="KSOProductBuildVer">
    <vt:lpwstr>1041-12.2.0.22549</vt:lpwstr>
  </property>
</Properties>
</file>